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_Data" sheetId="2" state="visible" r:id="rId4"/>
    <sheet name="Data_Dictionary" sheetId="3" state="visible" r:id="rId5"/>
  </sheets>
  <definedNames>
    <definedName function="false" hidden="true" localSheetId="1" name="_xlnm._FilterDatabase" vbProcedure="false">Clean_Data!$A$1:$S$401</definedName>
    <definedName function="false" hidden="true" localSheetId="0" name="_xlnm._FilterDatabase" vbProcedure="false">Raw_Data!$A$1:$M$401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<sst xmlns="http://schemas.openxmlformats.org/spreadsheetml/2006/main" count="4696" uniqueCount="1404">
  <si>
    <t xml:space="preserve">order_id</t>
  </si>
  <si>
    <t xml:space="preserve">OrderDate</t>
  </si>
  <si>
    <t xml:space="preserve">Customer</t>
  </si>
  <si>
    <t xml:space="preserve">region</t>
  </si>
  <si>
    <t xml:space="preserve">City </t>
  </si>
  <si>
    <t xml:space="preserve">Category</t>
  </si>
  <si>
    <t xml:space="preserve">product_name</t>
  </si>
  <si>
    <t xml:space="preserve">Qty</t>
  </si>
  <si>
    <t xml:space="preserve">Price</t>
  </si>
  <si>
    <t xml:space="preserve">Disc</t>
  </si>
  <si>
    <t xml:space="preserve">SalesRep</t>
  </si>
  <si>
    <t xml:space="preserve">Pay Method</t>
  </si>
  <si>
    <t xml:space="preserve">Status</t>
  </si>
  <si>
    <t xml:space="preserve">ORD-1001</t>
  </si>
  <si>
    <t xml:space="preserve">Fatima Mirza</t>
  </si>
  <si>
    <t xml:space="preserve">kpk</t>
  </si>
  <si>
    <t xml:space="preserve">Peshawar</t>
  </si>
  <si>
    <t xml:space="preserve">Beauty</t>
  </si>
  <si>
    <t xml:space="preserve">Hair  Dryer</t>
  </si>
  <si>
    <t xml:space="preserve">PKR 4,050</t>
  </si>
  <si>
    <t xml:space="preserve">  Nimra Aslam </t>
  </si>
  <si>
    <t xml:space="preserve">Cash</t>
  </si>
  <si>
    <t xml:space="preserve">completed</t>
  </si>
  <si>
    <t xml:space="preserve">ORD-1002</t>
  </si>
  <si>
    <t xml:space="preserve">11-Nov-2025</t>
  </si>
  <si>
    <t xml:space="preserve">Bilal  Qureshi</t>
  </si>
  <si>
    <t xml:space="preserve">SINDH </t>
  </si>
  <si>
    <t xml:space="preserve">  Karachi </t>
  </si>
  <si>
    <t xml:space="preserve">Electronics </t>
  </si>
  <si>
    <t xml:space="preserve">Bluetooth Speaker</t>
  </si>
  <si>
    <t xml:space="preserve">PKR 4,450</t>
  </si>
  <si>
    <t xml:space="preserve">waqar ahmed</t>
  </si>
  <si>
    <t xml:space="preserve">CC</t>
  </si>
  <si>
    <t xml:space="preserve">COMPLETE</t>
  </si>
  <si>
    <t xml:space="preserve">ORD-1003</t>
  </si>
  <si>
    <t xml:space="preserve">2025-05-15</t>
  </si>
  <si>
    <t xml:space="preserve">nida siddiqui</t>
  </si>
  <si>
    <t xml:space="preserve">Sind</t>
  </si>
  <si>
    <t xml:space="preserve">Karachi</t>
  </si>
  <si>
    <t xml:space="preserve">Home &amp; Kitchen</t>
  </si>
  <si>
    <t xml:space="preserve">HAND BLENDER</t>
  </si>
  <si>
    <t xml:space="preserve">1</t>
  </si>
  <si>
    <t xml:space="preserve">PKR 3,700</t>
  </si>
  <si>
    <t xml:space="preserve">  Zoya Tariq </t>
  </si>
  <si>
    <t xml:space="preserve">Debit</t>
  </si>
  <si>
    <t xml:space="preserve">Completed </t>
  </si>
  <si>
    <t xml:space="preserve">ORD-1004</t>
  </si>
  <si>
    <t xml:space="preserve">2025-04-12</t>
  </si>
  <si>
    <t xml:space="preserve">Hassan Siddiqui</t>
  </si>
  <si>
    <t xml:space="preserve">Hyderabad</t>
  </si>
  <si>
    <t xml:space="preserve">Home&amp;Kitchen</t>
  </si>
  <si>
    <t xml:space="preserve">Hand Blender</t>
  </si>
  <si>
    <t xml:space="preserve">3</t>
  </si>
  <si>
    <t xml:space="preserve">3850</t>
  </si>
  <si>
    <t xml:space="preserve">Faisal  Mehmood</t>
  </si>
  <si>
    <t xml:space="preserve">credit card</t>
  </si>
  <si>
    <t xml:space="preserve">ORD-1005</t>
  </si>
  <si>
    <t xml:space="preserve">Maryam Qureshi</t>
  </si>
  <si>
    <t xml:space="preserve">Khyber Pakhtunkhwa</t>
  </si>
  <si>
    <t xml:space="preserve">  Peshawar </t>
  </si>
  <si>
    <t xml:space="preserve">grocery</t>
  </si>
  <si>
    <t xml:space="preserve">Refined Sugar 10 Kg</t>
  </si>
  <si>
    <t xml:space="preserve">1650</t>
  </si>
  <si>
    <t xml:space="preserve">10%</t>
  </si>
  <si>
    <t xml:space="preserve">Nimra Aslam</t>
  </si>
  <si>
    <t xml:space="preserve">paypal</t>
  </si>
  <si>
    <t xml:space="preserve">ord-1006</t>
  </si>
  <si>
    <t xml:space="preserve">2025-02-21</t>
  </si>
  <si>
    <t xml:space="preserve">Hassan Raza</t>
  </si>
  <si>
    <t xml:space="preserve">BALOCHISTAN</t>
  </si>
  <si>
    <t xml:space="preserve">quetta</t>
  </si>
  <si>
    <t xml:space="preserve">BEAUTY</t>
  </si>
  <si>
    <t xml:space="preserve">Perfume Spray</t>
  </si>
  <si>
    <t xml:space="preserve">PKR 3,750</t>
  </si>
  <si>
    <t xml:space="preserve">20%</t>
  </si>
  <si>
    <t xml:space="preserve">Faisal Mehmood</t>
  </si>
  <si>
    <t xml:space="preserve">PAYPAL</t>
  </si>
  <si>
    <t xml:space="preserve">ORD-1007</t>
  </si>
  <si>
    <t xml:space="preserve">2025-03-08</t>
  </si>
  <si>
    <t xml:space="preserve">Tariq Siddiqui</t>
  </si>
  <si>
    <t xml:space="preserve">Punjab </t>
  </si>
  <si>
    <t xml:space="preserve">Gujranwala</t>
  </si>
  <si>
    <t xml:space="preserve">home and kitchen</t>
  </si>
  <si>
    <t xml:space="preserve">Rice Cooker</t>
  </si>
  <si>
    <t xml:space="preserve">4</t>
  </si>
  <si>
    <t xml:space="preserve">Rs. 7,750</t>
  </si>
  <si>
    <t xml:space="preserve">  Imran Shah </t>
  </si>
  <si>
    <t xml:space="preserve">Completed</t>
  </si>
  <si>
    <t xml:space="preserve">ORD-1008</t>
  </si>
  <si>
    <t xml:space="preserve">ZAIN RAZA</t>
  </si>
  <si>
    <t xml:space="preserve">Sindh</t>
  </si>
  <si>
    <t xml:space="preserve">electronics</t>
  </si>
  <si>
    <t xml:space="preserve">  Wireless Earbuds </t>
  </si>
  <si>
    <t xml:space="preserve">PKR 6,650</t>
  </si>
  <si>
    <t xml:space="preserve">0%</t>
  </si>
  <si>
    <t xml:space="preserve">Zoya Tariq</t>
  </si>
  <si>
    <t xml:space="preserve">Debit Card</t>
  </si>
  <si>
    <t xml:space="preserve">ORD-1009</t>
  </si>
  <si>
    <t xml:space="preserve">punjab</t>
  </si>
  <si>
    <t xml:space="preserve">Lahore</t>
  </si>
  <si>
    <t xml:space="preserve">Black  Tea Pack</t>
  </si>
  <si>
    <t xml:space="preserve">1550</t>
  </si>
  <si>
    <t xml:space="preserve">Sadia Noor</t>
  </si>
  <si>
    <t xml:space="preserve">Credit Card</t>
  </si>
  <si>
    <t xml:space="preserve">RETURNED</t>
  </si>
  <si>
    <t xml:space="preserve">ORD-1010</t>
  </si>
  <si>
    <t xml:space="preserve">05-Apr-2025</t>
  </si>
  <si>
    <t xml:space="preserve">SANA RAZA</t>
  </si>
  <si>
    <t xml:space="preserve">Faisalabad</t>
  </si>
  <si>
    <t xml:space="preserve">Groceries </t>
  </si>
  <si>
    <t xml:space="preserve">Refined  Sugar 10 Kg</t>
  </si>
  <si>
    <t xml:space="preserve">2</t>
  </si>
  <si>
    <t xml:space="preserve">0</t>
  </si>
  <si>
    <t xml:space="preserve">nimra aslam</t>
  </si>
  <si>
    <t xml:space="preserve">cash</t>
  </si>
  <si>
    <t xml:space="preserve">ORD-1011</t>
  </si>
  <si>
    <t xml:space="preserve">Hassan  Raza</t>
  </si>
  <si>
    <t xml:space="preserve">3700</t>
  </si>
  <si>
    <t xml:space="preserve">0.1</t>
  </si>
  <si>
    <t xml:space="preserve">ORD-1012</t>
  </si>
  <si>
    <t xml:space="preserve">08/09/2025</t>
  </si>
  <si>
    <t xml:space="preserve">Ahmed  Hussain</t>
  </si>
  <si>
    <t xml:space="preserve"> PUNJAB</t>
  </si>
  <si>
    <t xml:space="preserve"> Beauty</t>
  </si>
  <si>
    <t xml:space="preserve">face wash</t>
  </si>
  <si>
    <t xml:space="preserve">850.00</t>
  </si>
  <si>
    <t xml:space="preserve">ORD-1013</t>
  </si>
  <si>
    <t xml:space="preserve">07-Feb-2025</t>
  </si>
  <si>
    <t xml:space="preserve">  Hina Chaudhry </t>
  </si>
  <si>
    <t xml:space="preserve">KPK</t>
  </si>
  <si>
    <t xml:space="preserve">Mardan</t>
  </si>
  <si>
    <t xml:space="preserve">HOME &amp; KITCHEN</t>
  </si>
  <si>
    <t xml:space="preserve">Rice  Cooker</t>
  </si>
  <si>
    <t xml:space="preserve">  Sadia Noor </t>
  </si>
  <si>
    <t xml:space="preserve">ORD-1014</t>
  </si>
  <si>
    <t xml:space="preserve">2025-04-15</t>
  </si>
  <si>
    <t xml:space="preserve">AHMED QURESHI</t>
  </si>
  <si>
    <t xml:space="preserve">Face Wash</t>
  </si>
  <si>
    <t xml:space="preserve">ord-1015</t>
  </si>
  <si>
    <t xml:space="preserve">saad iqbal</t>
  </si>
  <si>
    <t xml:space="preserve">  Gujranwala </t>
  </si>
  <si>
    <t xml:space="preserve">Groceries</t>
  </si>
  <si>
    <t xml:space="preserve">PKR 1,600</t>
  </si>
  <si>
    <t xml:space="preserve">Waqar Ahmed</t>
  </si>
  <si>
    <t xml:space="preserve">ORD-1016</t>
  </si>
  <si>
    <t xml:space="preserve">Iqra Butt</t>
  </si>
  <si>
    <t xml:space="preserve">K.P.K</t>
  </si>
  <si>
    <t xml:space="preserve">Electronics</t>
  </si>
  <si>
    <t xml:space="preserve">Smart Watch</t>
  </si>
  <si>
    <t xml:space="preserve">9950</t>
  </si>
  <si>
    <t xml:space="preserve">Imran Shah</t>
  </si>
  <si>
    <t xml:space="preserve">CASH </t>
  </si>
  <si>
    <t xml:space="preserve">pending</t>
  </si>
  <si>
    <t xml:space="preserve">ORD-1017</t>
  </si>
  <si>
    <t xml:space="preserve">Hina Qureshi</t>
  </si>
  <si>
    <t xml:space="preserve">Pnjab</t>
  </si>
  <si>
    <t xml:space="preserve">air fryer</t>
  </si>
  <si>
    <t xml:space="preserve"> 3 </t>
  </si>
  <si>
    <t xml:space="preserve">18600</t>
  </si>
  <si>
    <t xml:space="preserve">ord-1018</t>
  </si>
  <si>
    <t xml:space="preserve">Hassan  Iqbal</t>
  </si>
  <si>
    <t xml:space="preserve">Punjab</t>
  </si>
  <si>
    <t xml:space="preserve">multan</t>
  </si>
  <si>
    <t xml:space="preserve">GROCERIES</t>
  </si>
  <si>
    <t xml:space="preserve">refined sugar 10 kg</t>
  </si>
  <si>
    <t xml:space="preserve">zoya tariq</t>
  </si>
  <si>
    <t xml:space="preserve">ORD-1019</t>
  </si>
  <si>
    <t xml:space="preserve">2025-06-09</t>
  </si>
  <si>
    <t xml:space="preserve">Ahmed Hussain</t>
  </si>
  <si>
    <t xml:space="preserve">sindh</t>
  </si>
  <si>
    <t xml:space="preserve">Clothing</t>
  </si>
  <si>
    <t xml:space="preserve">Running  Shoes</t>
  </si>
  <si>
    <t xml:space="preserve">PKR 7,550</t>
  </si>
  <si>
    <t xml:space="preserve">NIMRA ASLAM</t>
  </si>
  <si>
    <t xml:space="preserve">Cancelled</t>
  </si>
  <si>
    <t xml:space="preserve">ORD-1020</t>
  </si>
  <si>
    <t xml:space="preserve">fatima qureshi</t>
  </si>
  <si>
    <t xml:space="preserve">Lawn Suit 3 Piece</t>
  </si>
  <si>
    <t xml:space="preserve">5</t>
  </si>
  <si>
    <t xml:space="preserve">PKR 6,700</t>
  </si>
  <si>
    <t xml:space="preserve">ORD-1021</t>
  </si>
  <si>
    <t xml:space="preserve">25/08/2025</t>
  </si>
  <si>
    <t xml:space="preserve">sana sheikh</t>
  </si>
  <si>
    <t xml:space="preserve">abbottabad</t>
  </si>
  <si>
    <t xml:space="preserve">ORD-1022</t>
  </si>
  <si>
    <t xml:space="preserve">Ayesha Sheikh</t>
  </si>
  <si>
    <t xml:space="preserve">KARACHI</t>
  </si>
  <si>
    <t xml:space="preserve">  Phone Charger </t>
  </si>
  <si>
    <t xml:space="preserve">10</t>
  </si>
  <si>
    <t xml:space="preserve">ORD-1023</t>
  </si>
  <si>
    <t xml:space="preserve">2025-11-23</t>
  </si>
  <si>
    <t xml:space="preserve">BILAL QURESHI</t>
  </si>
  <si>
    <t xml:space="preserve">peshawar</t>
  </si>
  <si>
    <t xml:space="preserve">Rs. 850</t>
  </si>
  <si>
    <t xml:space="preserve">debit card</t>
  </si>
  <si>
    <t xml:space="preserve">ORD-1024</t>
  </si>
  <si>
    <t xml:space="preserve">Tariq Qureshi</t>
  </si>
  <si>
    <t xml:space="preserve">Rawalpindi</t>
  </si>
  <si>
    <t xml:space="preserve">  Winter Jacket </t>
  </si>
  <si>
    <t xml:space="preserve">ORD-1025</t>
  </si>
  <si>
    <t xml:space="preserve">Maryam  Raza</t>
  </si>
  <si>
    <t xml:space="preserve">ORD-1026</t>
  </si>
  <si>
    <t xml:space="preserve">21-Jan-2025</t>
  </si>
  <si>
    <t xml:space="preserve">Nida Siddiqui</t>
  </si>
  <si>
    <t xml:space="preserve">ELECTRONICS</t>
  </si>
  <si>
    <t xml:space="preserve">Phone Charger</t>
  </si>
  <si>
    <t xml:space="preserve">7</t>
  </si>
  <si>
    <t xml:space="preserve">ORD-1027</t>
  </si>
  <si>
    <t xml:space="preserve">20-Nov-2025</t>
  </si>
  <si>
    <t xml:space="preserve">Ahmed  Siddiqui</t>
  </si>
  <si>
    <t xml:space="preserve">  Lahore </t>
  </si>
  <si>
    <t xml:space="preserve">hand blender</t>
  </si>
  <si>
    <t xml:space="preserve">Rs. 3,900</t>
  </si>
  <si>
    <t xml:space="preserve">ORD-1028</t>
  </si>
  <si>
    <t xml:space="preserve">rice cooker</t>
  </si>
  <si>
    <t xml:space="preserve">CREDIT CARD</t>
  </si>
  <si>
    <t xml:space="preserve">ORD-1029</t>
  </si>
  <si>
    <t xml:space="preserve">Fatima Hussain</t>
  </si>
  <si>
    <t xml:space="preserve">SMART WATCH</t>
  </si>
  <si>
    <t xml:space="preserve"> ORD-1030 </t>
  </si>
  <si>
    <t xml:space="preserve">Iqra Ansari</t>
  </si>
  <si>
    <t xml:space="preserve">Multan</t>
  </si>
  <si>
    <t xml:space="preserve">Bedsheet Set</t>
  </si>
  <si>
    <t xml:space="preserve">ord-1031</t>
  </si>
  <si>
    <t xml:space="preserve">2025-12-03</t>
  </si>
  <si>
    <t xml:space="preserve">ZAIN IQBAL</t>
  </si>
  <si>
    <t xml:space="preserve">Smart Television 43 Inch</t>
  </si>
  <si>
    <t xml:space="preserve">Rs. 51,800</t>
  </si>
  <si>
    <t xml:space="preserve">ORD-1032</t>
  </si>
  <si>
    <t xml:space="preserve">28-Aug-2025</t>
  </si>
  <si>
    <t xml:space="preserve">CLOTHING </t>
  </si>
  <si>
    <t xml:space="preserve">Running Shoes</t>
  </si>
  <si>
    <t xml:space="preserve">8,250.00</t>
  </si>
  <si>
    <t xml:space="preserve">ORD-1033</t>
  </si>
  <si>
    <t xml:space="preserve">30-Sep-2025</t>
  </si>
  <si>
    <t xml:space="preserve">Saad Iqbal</t>
  </si>
  <si>
    <t xml:space="preserve">Baluchistan</t>
  </si>
  <si>
    <t xml:space="preserve">Quetta</t>
  </si>
  <si>
    <t xml:space="preserve">lawn suit 3 piece</t>
  </si>
  <si>
    <t xml:space="preserve"> 2 </t>
  </si>
  <si>
    <t xml:space="preserve">PKR 6,750</t>
  </si>
  <si>
    <t xml:space="preserve">15%</t>
  </si>
  <si>
    <t xml:space="preserve">PENDING</t>
  </si>
  <si>
    <t xml:space="preserve">ORD-1034</t>
  </si>
  <si>
    <t xml:space="preserve">24/07/2025</t>
  </si>
  <si>
    <t xml:space="preserve">Sana Raza</t>
  </si>
  <si>
    <t xml:space="preserve">Abbottabad</t>
  </si>
  <si>
    <t xml:space="preserve">Cooking Oil 5 Litre</t>
  </si>
  <si>
    <t xml:space="preserve">0.2</t>
  </si>
  <si>
    <t xml:space="preserve">ORD-1035</t>
  </si>
  <si>
    <t xml:space="preserve">Noor Sheikh</t>
  </si>
  <si>
    <t xml:space="preserve">  Cooking Oil 5 Litre </t>
  </si>
  <si>
    <t xml:space="preserve">Rs. 2,350</t>
  </si>
  <si>
    <t xml:space="preserve">ORD-1036</t>
  </si>
  <si>
    <t xml:space="preserve">gujranwala</t>
  </si>
  <si>
    <t xml:space="preserve">WIRELESS EARBUDS</t>
  </si>
  <si>
    <t xml:space="preserve">PKR 6,350</t>
  </si>
  <si>
    <t xml:space="preserve"> ORD-1037 </t>
  </si>
  <si>
    <t xml:space="preserve">12-Jul-2025</t>
  </si>
  <si>
    <t xml:space="preserve">Saad Siddiqui</t>
  </si>
  <si>
    <t xml:space="preserve">GUJRANWALA</t>
  </si>
  <si>
    <t xml:space="preserve">beauty</t>
  </si>
  <si>
    <t xml:space="preserve">FACE WASH</t>
  </si>
  <si>
    <t xml:space="preserve">ORD-1038</t>
  </si>
  <si>
    <t xml:space="preserve">Usman Raza</t>
  </si>
  <si>
    <t xml:space="preserve">  Black Tea Pack </t>
  </si>
  <si>
    <t xml:space="preserve">1500</t>
  </si>
  <si>
    <t xml:space="preserve">Sadia  Noor</t>
  </si>
  <si>
    <t xml:space="preserve">Pending</t>
  </si>
  <si>
    <t xml:space="preserve">ORD-1039</t>
  </si>
  <si>
    <t xml:space="preserve">Hamza Hussain</t>
  </si>
  <si>
    <t xml:space="preserve">-4</t>
  </si>
  <si>
    <t xml:space="preserve">20</t>
  </si>
  <si>
    <t xml:space="preserve">Imran  Shah</t>
  </si>
  <si>
    <t xml:space="preserve"> ORD-1040 </t>
  </si>
  <si>
    <t xml:space="preserve">2025-01-02</t>
  </si>
  <si>
    <t xml:space="preserve">Bilal Hussain</t>
  </si>
  <si>
    <t xml:space="preserve">Rs. 4,300</t>
  </si>
  <si>
    <t xml:space="preserve">PayPal</t>
  </si>
  <si>
    <t xml:space="preserve"> ORD-1041 </t>
  </si>
  <si>
    <t xml:space="preserve">29-Jun-2025</t>
  </si>
  <si>
    <t xml:space="preserve">Saad  Siddiqui</t>
  </si>
  <si>
    <t xml:space="preserve">rawalpindi</t>
  </si>
  <si>
    <t xml:space="preserve">PHONE CHARGER</t>
  </si>
  <si>
    <t xml:space="preserve">N/A</t>
  </si>
  <si>
    <t xml:space="preserve">Rs. 1,200</t>
  </si>
  <si>
    <t xml:space="preserve"> ORD-1042 </t>
  </si>
  <si>
    <t xml:space="preserve">  Rawalpindi </t>
  </si>
  <si>
    <t xml:space="preserve">15</t>
  </si>
  <si>
    <t xml:space="preserve">Waqar  Ahmed</t>
  </si>
  <si>
    <t xml:space="preserve"> ORD-1043 </t>
  </si>
  <si>
    <t xml:space="preserve">2025-08-04</t>
  </si>
  <si>
    <t xml:space="preserve">kashif sheikh</t>
  </si>
  <si>
    <t xml:space="preserve">ORD-1044</t>
  </si>
  <si>
    <t xml:space="preserve">karachi</t>
  </si>
  <si>
    <t xml:space="preserve">-3</t>
  </si>
  <si>
    <t xml:space="preserve">Rs. 2,300</t>
  </si>
  <si>
    <t xml:space="preserve">ORD-1045</t>
  </si>
  <si>
    <t xml:space="preserve">2025-06-02</t>
  </si>
  <si>
    <t xml:space="preserve">SANA SHEIKH</t>
  </si>
  <si>
    <t xml:space="preserve">Clothes</t>
  </si>
  <si>
    <t xml:space="preserve">LAWN SUIT 3 PIECE</t>
  </si>
  <si>
    <t xml:space="preserve">6,550.00</t>
  </si>
  <si>
    <t xml:space="preserve">0.05</t>
  </si>
  <si>
    <t xml:space="preserve">Nimra  Aslam</t>
  </si>
  <si>
    <t xml:space="preserve">ORD-1046</t>
  </si>
  <si>
    <t xml:space="preserve">2025-02-12</t>
  </si>
  <si>
    <t xml:space="preserve">kashif malik</t>
  </si>
  <si>
    <t xml:space="preserve">clothing</t>
  </si>
  <si>
    <t xml:space="preserve">Mens Kurta</t>
  </si>
  <si>
    <t xml:space="preserve"> ORD-1047 </t>
  </si>
  <si>
    <t xml:space="preserve">2025-12-19</t>
  </si>
  <si>
    <t xml:space="preserve">Hamza Malik</t>
  </si>
  <si>
    <t xml:space="preserve">PESHAWAR</t>
  </si>
  <si>
    <t xml:space="preserve">PKR 51,800</t>
  </si>
  <si>
    <t xml:space="preserve"> ORD-1048 </t>
  </si>
  <si>
    <t xml:space="preserve">Ali Malik</t>
  </si>
  <si>
    <t xml:space="preserve">Basmati Rice 5 Kg</t>
  </si>
  <si>
    <t xml:space="preserve">Rs. 2,700</t>
  </si>
  <si>
    <t xml:space="preserve">ORD-1049</t>
  </si>
  <si>
    <t xml:space="preserve">Kashif Malik</t>
  </si>
  <si>
    <t xml:space="preserve">PKR 900</t>
  </si>
  <si>
    <t xml:space="preserve">ORD-1050</t>
  </si>
  <si>
    <t xml:space="preserve">02/08/2025</t>
  </si>
  <si>
    <t xml:space="preserve">Noor  Sheikh</t>
  </si>
  <si>
    <t xml:space="preserve">LAHORE</t>
  </si>
  <si>
    <t xml:space="preserve">1600</t>
  </si>
  <si>
    <t xml:space="preserve">Ord-1051</t>
  </si>
  <si>
    <t xml:space="preserve">2025-02-23</t>
  </si>
  <si>
    <t xml:space="preserve">Zain Raza</t>
  </si>
  <si>
    <t xml:space="preserve"> 6 </t>
  </si>
  <si>
    <t xml:space="preserve">51450</t>
  </si>
  <si>
    <t xml:space="preserve">Ord-1052</t>
  </si>
  <si>
    <t xml:space="preserve">Rabia  Iqbal</t>
  </si>
  <si>
    <t xml:space="preserve">ORD-1053</t>
  </si>
  <si>
    <t xml:space="preserve">ali butt</t>
  </si>
  <si>
    <t xml:space="preserve">Winter Jacket</t>
  </si>
  <si>
    <t xml:space="preserve">5%</t>
  </si>
  <si>
    <t xml:space="preserve">ORD-1054</t>
  </si>
  <si>
    <t xml:space="preserve">Kashif  Sheikh</t>
  </si>
  <si>
    <t xml:space="preserve">Wireless  Earbuds</t>
  </si>
  <si>
    <t xml:space="preserve">Rs. 6,750</t>
  </si>
  <si>
    <t xml:space="preserve"> ORD-1055 </t>
  </si>
  <si>
    <t xml:space="preserve">09-Sep-2025</t>
  </si>
  <si>
    <t xml:space="preserve">USMAN QURESHI</t>
  </si>
  <si>
    <t xml:space="preserve">Rs. 9,700</t>
  </si>
  <si>
    <t xml:space="preserve">ORD-1056</t>
  </si>
  <si>
    <t xml:space="preserve">2025-04-19</t>
  </si>
  <si>
    <t xml:space="preserve">Ahmed Siddiqui</t>
  </si>
  <si>
    <t xml:space="preserve">PKR 800</t>
  </si>
  <si>
    <t xml:space="preserve">ORD-1057</t>
  </si>
  <si>
    <t xml:space="preserve">hassan qureshi</t>
  </si>
  <si>
    <t xml:space="preserve">lahore</t>
  </si>
  <si>
    <t xml:space="preserve">  Refined Sugar 10 Kg </t>
  </si>
  <si>
    <t xml:space="preserve">Rs. 1,550</t>
  </si>
  <si>
    <t xml:space="preserve">CANCELLED </t>
  </si>
  <si>
    <t xml:space="preserve">ord-1058</t>
  </si>
  <si>
    <t xml:space="preserve">2025-09-29</t>
  </si>
  <si>
    <t xml:space="preserve">hina qureshi</t>
  </si>
  <si>
    <t xml:space="preserve">Rs. 3,200</t>
  </si>
  <si>
    <t xml:space="preserve">SADIA NOOR</t>
  </si>
  <si>
    <t xml:space="preserve">ORD-1059</t>
  </si>
  <si>
    <t xml:space="preserve">20/04/2025</t>
  </si>
  <si>
    <t xml:space="preserve">Hassan Butt</t>
  </si>
  <si>
    <t xml:space="preserve">SUKKUR</t>
  </si>
  <si>
    <t xml:space="preserve">faisal mehmood</t>
  </si>
  <si>
    <t xml:space="preserve"> ORD-1060 </t>
  </si>
  <si>
    <t xml:space="preserve">Hair Dryer</t>
  </si>
  <si>
    <t xml:space="preserve">4300</t>
  </si>
  <si>
    <t xml:space="preserve">ORD-1061</t>
  </si>
  <si>
    <t xml:space="preserve">2025-06-18</t>
  </si>
  <si>
    <t xml:space="preserve">Fatima  Mirza</t>
  </si>
  <si>
    <t xml:space="preserve">sadia noor</t>
  </si>
  <si>
    <t xml:space="preserve">ORD-1062</t>
  </si>
  <si>
    <t xml:space="preserve">06-Jul-2025</t>
  </si>
  <si>
    <t xml:space="preserve">Iqra  Butt</t>
  </si>
  <si>
    <t xml:space="preserve">3,900.00</t>
  </si>
  <si>
    <t xml:space="preserve">ORD-1063</t>
  </si>
  <si>
    <t xml:space="preserve">08/02/2025</t>
  </si>
  <si>
    <t xml:space="preserve">fatima hussain</t>
  </si>
  <si>
    <t xml:space="preserve">Electronic </t>
  </si>
  <si>
    <t xml:space="preserve">SMART TELEVISION 43 INCH</t>
  </si>
  <si>
    <t xml:space="preserve">ORD-1064</t>
  </si>
  <si>
    <t xml:space="preserve">16-Nov-2025</t>
  </si>
  <si>
    <t xml:space="preserve">Zain Iqbal</t>
  </si>
  <si>
    <t xml:space="preserve">3,100.00</t>
  </si>
  <si>
    <t xml:space="preserve">Zoya  Tariq</t>
  </si>
  <si>
    <t xml:space="preserve">Returned</t>
  </si>
  <si>
    <t xml:space="preserve">ORD-1065</t>
  </si>
  <si>
    <t xml:space="preserve">23-Jul-2025</t>
  </si>
  <si>
    <t xml:space="preserve">Iqra Sheikh</t>
  </si>
  <si>
    <t xml:space="preserve">  Sukkur </t>
  </si>
  <si>
    <t xml:space="preserve">BLACK TEA PACK</t>
  </si>
  <si>
    <t xml:space="preserve"> ORD-1066 </t>
  </si>
  <si>
    <t xml:space="preserve">2025-12-22</t>
  </si>
  <si>
    <t xml:space="preserve">OMAR SHEIKH</t>
  </si>
  <si>
    <t xml:space="preserve">PKR 3,950</t>
  </si>
  <si>
    <t xml:space="preserve">FAISAL MEHMOOD</t>
  </si>
  <si>
    <t xml:space="preserve">DC</t>
  </si>
  <si>
    <t xml:space="preserve">ORD-1067</t>
  </si>
  <si>
    <t xml:space="preserve">Rs. 9,500</t>
  </si>
  <si>
    <t xml:space="preserve">ORD-1068</t>
  </si>
  <si>
    <t xml:space="preserve">5,250.00</t>
  </si>
  <si>
    <t xml:space="preserve">ORD-1069</t>
  </si>
  <si>
    <t xml:space="preserve">Rs. 6,500</t>
  </si>
  <si>
    <t xml:space="preserve">ord-1070</t>
  </si>
  <si>
    <t xml:space="preserve">13/09/2025</t>
  </si>
  <si>
    <t xml:space="preserve">hassan siddiqui</t>
  </si>
  <si>
    <t xml:space="preserve">hyderabad</t>
  </si>
  <si>
    <t xml:space="preserve">Black Tea Pack</t>
  </si>
  <si>
    <t xml:space="preserve">two</t>
  </si>
  <si>
    <t xml:space="preserve">PKR 1,550</t>
  </si>
  <si>
    <t xml:space="preserve">returned</t>
  </si>
  <si>
    <t xml:space="preserve">ORD-1071</t>
  </si>
  <si>
    <t xml:space="preserve">12-Aug-2025</t>
  </si>
  <si>
    <t xml:space="preserve">850</t>
  </si>
  <si>
    <t xml:space="preserve">ORD-1072</t>
  </si>
  <si>
    <t xml:space="preserve">06-Nov-2025</t>
  </si>
  <si>
    <t xml:space="preserve">hina siddiqui</t>
  </si>
  <si>
    <t xml:space="preserve">  Multan </t>
  </si>
  <si>
    <t xml:space="preserve">  Running Shoes </t>
  </si>
  <si>
    <t xml:space="preserve">ORD-1073</t>
  </si>
  <si>
    <t xml:space="preserve">18-Mar-2025</t>
  </si>
  <si>
    <t xml:space="preserve">Kashif Khan</t>
  </si>
  <si>
    <t xml:space="preserve">wireless earbuds</t>
  </si>
  <si>
    <t xml:space="preserve">Rs. 6,400</t>
  </si>
  <si>
    <t xml:space="preserve">ORD-1074</t>
  </si>
  <si>
    <t xml:space="preserve">10/11/2025</t>
  </si>
  <si>
    <t xml:space="preserve">Ayesha Malik</t>
  </si>
  <si>
    <t xml:space="preserve">ORD-1075</t>
  </si>
  <si>
    <t xml:space="preserve">2025-10-23</t>
  </si>
  <si>
    <t xml:space="preserve">  Hina Qureshi </t>
  </si>
  <si>
    <t xml:space="preserve">faisalabad</t>
  </si>
  <si>
    <t xml:space="preserve">smart television 43 inch</t>
  </si>
  <si>
    <t xml:space="preserve">Rs. 52,650</t>
  </si>
  <si>
    <t xml:space="preserve">Ord-1076</t>
  </si>
  <si>
    <t xml:space="preserve">27/07/2025</t>
  </si>
  <si>
    <t xml:space="preserve">Ahmed Qureshi</t>
  </si>
  <si>
    <t xml:space="preserve">PKR 850</t>
  </si>
  <si>
    <t xml:space="preserve">ORD-1077</t>
  </si>
  <si>
    <t xml:space="preserve">2025-12-11</t>
  </si>
  <si>
    <t xml:space="preserve">  Sana Raza </t>
  </si>
  <si>
    <t xml:space="preserve">PKR 1,450</t>
  </si>
  <si>
    <t xml:space="preserve">Ord-1078</t>
  </si>
  <si>
    <t xml:space="preserve">25/12/2025</t>
  </si>
  <si>
    <t xml:space="preserve">  Basmati Rice 5 Kg </t>
  </si>
  <si>
    <t xml:space="preserve">  Faisal Mehmood </t>
  </si>
  <si>
    <t xml:space="preserve">ORD-1079</t>
  </si>
  <si>
    <t xml:space="preserve">20-Jan-2025</t>
  </si>
  <si>
    <t xml:space="preserve">PKR 4,150</t>
  </si>
  <si>
    <t xml:space="preserve">WAQAR AHMED</t>
  </si>
  <si>
    <t xml:space="preserve">ORD-1080</t>
  </si>
  <si>
    <t xml:space="preserve">22/09/2025</t>
  </si>
  <si>
    <t xml:space="preserve">Sukkur</t>
  </si>
  <si>
    <t xml:space="preserve">8,000.00</t>
  </si>
  <si>
    <t xml:space="preserve">ORD-1081</t>
  </si>
  <si>
    <t xml:space="preserve">17-Oct-2025</t>
  </si>
  <si>
    <t xml:space="preserve">Tariq Khan</t>
  </si>
  <si>
    <t xml:space="preserve">Rs. 2,500</t>
  </si>
  <si>
    <t xml:space="preserve">ORD-1082</t>
  </si>
  <si>
    <t xml:space="preserve">12/02/2025</t>
  </si>
  <si>
    <t xml:space="preserve">Ayesha Siddiqui</t>
  </si>
  <si>
    <t xml:space="preserve">Lawn  Suit 3 Piece</t>
  </si>
  <si>
    <t xml:space="preserve">Ord-1083</t>
  </si>
  <si>
    <t xml:space="preserve">Usman Mirza</t>
  </si>
  <si>
    <t xml:space="preserve"> 5 </t>
  </si>
  <si>
    <t xml:space="preserve">4,650.00</t>
  </si>
  <si>
    <t xml:space="preserve">canceled</t>
  </si>
  <si>
    <t xml:space="preserve">ORD-1084</t>
  </si>
  <si>
    <t xml:space="preserve">2025-07-15</t>
  </si>
  <si>
    <t xml:space="preserve">KASHIF ANSARI</t>
  </si>
  <si>
    <t xml:space="preserve">balochistan</t>
  </si>
  <si>
    <t xml:space="preserve">ORD-1085</t>
  </si>
  <si>
    <t xml:space="preserve">03-Mar-2025</t>
  </si>
  <si>
    <t xml:space="preserve">  Nida Siddiqui </t>
  </si>
  <si>
    <t xml:space="preserve">winter jacket</t>
  </si>
  <si>
    <t xml:space="preserve">ORD-1086</t>
  </si>
  <si>
    <t xml:space="preserve">20/10/2025</t>
  </si>
  <si>
    <t xml:space="preserve">usman chaudhry</t>
  </si>
  <si>
    <t xml:space="preserve">Air Fryer</t>
  </si>
  <si>
    <t xml:space="preserve">18,900.00</t>
  </si>
  <si>
    <t xml:space="preserve">imran shah</t>
  </si>
  <si>
    <t xml:space="preserve">Ord-1087</t>
  </si>
  <si>
    <t xml:space="preserve">11-Jun-2025</t>
  </si>
  <si>
    <t xml:space="preserve">black tea pack</t>
  </si>
  <si>
    <t xml:space="preserve">1,450.00</t>
  </si>
  <si>
    <t xml:space="preserve">0.15</t>
  </si>
  <si>
    <t xml:space="preserve">ORD-1088</t>
  </si>
  <si>
    <t xml:space="preserve">08/01/2025</t>
  </si>
  <si>
    <t xml:space="preserve">Hamza  Malik</t>
  </si>
  <si>
    <t xml:space="preserve">RAWALPINDI</t>
  </si>
  <si>
    <t xml:space="preserve">PKR 1,650</t>
  </si>
  <si>
    <t xml:space="preserve">ORD-1089</t>
  </si>
  <si>
    <t xml:space="preserve">04-Jun-2025</t>
  </si>
  <si>
    <t xml:space="preserve">Rabia Khan</t>
  </si>
  <si>
    <t xml:space="preserve">MULTAN</t>
  </si>
  <si>
    <t xml:space="preserve">ord-1090</t>
  </si>
  <si>
    <t xml:space="preserve">2025-10-15</t>
  </si>
  <si>
    <t xml:space="preserve">  Iqra Ansari </t>
  </si>
  <si>
    <t xml:space="preserve">9,950.00</t>
  </si>
  <si>
    <t xml:space="preserve">  Waqar Ahmed </t>
  </si>
  <si>
    <t xml:space="preserve">ORD-1091</t>
  </si>
  <si>
    <t xml:space="preserve">21/07/2025</t>
  </si>
  <si>
    <t xml:space="preserve">Hina  Hussain</t>
  </si>
  <si>
    <t xml:space="preserve">ORD-1092</t>
  </si>
  <si>
    <t xml:space="preserve">REFINED SUGAR 10 KG</t>
  </si>
  <si>
    <t xml:space="preserve">ORD-1093</t>
  </si>
  <si>
    <t xml:space="preserve">2025-07-03</t>
  </si>
  <si>
    <t xml:space="preserve">bilal hussain</t>
  </si>
  <si>
    <t xml:space="preserve">PKR 9,600</t>
  </si>
  <si>
    <t xml:space="preserve">ORD-1094</t>
  </si>
  <si>
    <t xml:space="preserve">02-Dec-2025</t>
  </si>
  <si>
    <t xml:space="preserve">ORD-1095</t>
  </si>
  <si>
    <t xml:space="preserve">ORD-1096</t>
  </si>
  <si>
    <t xml:space="preserve"> 1 </t>
  </si>
  <si>
    <t xml:space="preserve">PKR 9,900</t>
  </si>
  <si>
    <t xml:space="preserve">ORD-1097</t>
  </si>
  <si>
    <t xml:space="preserve">15/03/2025</t>
  </si>
  <si>
    <t xml:space="preserve">Ord-1098</t>
  </si>
  <si>
    <t xml:space="preserve">25/06/2025</t>
  </si>
  <si>
    <t xml:space="preserve">Wireless Earbuds</t>
  </si>
  <si>
    <t xml:space="preserve">Ord-1099</t>
  </si>
  <si>
    <t xml:space="preserve">Ayesha  Sheikh</t>
  </si>
  <si>
    <t xml:space="preserve">Bedsheet  Set</t>
  </si>
  <si>
    <t xml:space="preserve">5,400.00</t>
  </si>
  <si>
    <t xml:space="preserve"> ORD-1100 </t>
  </si>
  <si>
    <t xml:space="preserve">Rs. 2,250</t>
  </si>
  <si>
    <t xml:space="preserve">ORD-1101</t>
  </si>
  <si>
    <t xml:space="preserve">2025-10-27</t>
  </si>
  <si>
    <t xml:space="preserve">  Bilal Hussain </t>
  </si>
  <si>
    <t xml:space="preserve">1,500.00</t>
  </si>
  <si>
    <t xml:space="preserve">ord-1102</t>
  </si>
  <si>
    <t xml:space="preserve">Ord-1103</t>
  </si>
  <si>
    <t xml:space="preserve">2025-07-13</t>
  </si>
  <si>
    <t xml:space="preserve">smart watch</t>
  </si>
  <si>
    <t xml:space="preserve">PKR 9,650</t>
  </si>
  <si>
    <t xml:space="preserve">ORD-1104</t>
  </si>
  <si>
    <t xml:space="preserve">2025-09-02</t>
  </si>
  <si>
    <t xml:space="preserve">Fatima Khan</t>
  </si>
  <si>
    <t xml:space="preserve">7,700.00</t>
  </si>
  <si>
    <t xml:space="preserve">ORD-1105</t>
  </si>
  <si>
    <t xml:space="preserve">09-Jun-2025</t>
  </si>
  <si>
    <t xml:space="preserve">Rs. 6,300</t>
  </si>
  <si>
    <t xml:space="preserve">ORD-1106</t>
  </si>
  <si>
    <t xml:space="preserve">26/01/2025</t>
  </si>
  <si>
    <t xml:space="preserve">PKR 2,650</t>
  </si>
  <si>
    <t xml:space="preserve">ORD-1107</t>
  </si>
  <si>
    <t xml:space="preserve">  Hassan Butt </t>
  </si>
  <si>
    <t xml:space="preserve">Rs. 2,200</t>
  </si>
  <si>
    <t xml:space="preserve">ORD-1108</t>
  </si>
  <si>
    <t xml:space="preserve">21/10/2025</t>
  </si>
  <si>
    <t xml:space="preserve">ayesha sheikh</t>
  </si>
  <si>
    <t xml:space="preserve">7100</t>
  </si>
  <si>
    <t xml:space="preserve">ZOYA TARIQ</t>
  </si>
  <si>
    <t xml:space="preserve">ORD-1109</t>
  </si>
  <si>
    <t xml:space="preserve">24-May-2025</t>
  </si>
  <si>
    <t xml:space="preserve">Kashif Butt</t>
  </si>
  <si>
    <t xml:space="preserve">2,200.00</t>
  </si>
  <si>
    <t xml:space="preserve">ORD-1110</t>
  </si>
  <si>
    <t xml:space="preserve">09/04/2025</t>
  </si>
  <si>
    <t xml:space="preserve">fatima mirza</t>
  </si>
  <si>
    <t xml:space="preserve">  Air Fryer </t>
  </si>
  <si>
    <t xml:space="preserve">Rs. 19,250</t>
  </si>
  <si>
    <t xml:space="preserve">Ord-1111</t>
  </si>
  <si>
    <t xml:space="preserve">02/12/2025</t>
  </si>
  <si>
    <t xml:space="preserve">  Maryam Hussain </t>
  </si>
  <si>
    <t xml:space="preserve">running shoes</t>
  </si>
  <si>
    <t xml:space="preserve">ORD-1112</t>
  </si>
  <si>
    <t xml:space="preserve">11/02/2025</t>
  </si>
  <si>
    <t xml:space="preserve">Ali  Butt</t>
  </si>
  <si>
    <t xml:space="preserve">Gwadar</t>
  </si>
  <si>
    <t xml:space="preserve">Air  Fryer</t>
  </si>
  <si>
    <t xml:space="preserve">18,950.00</t>
  </si>
  <si>
    <t xml:space="preserve">ord-1113</t>
  </si>
  <si>
    <t xml:space="preserve">6900</t>
  </si>
  <si>
    <t xml:space="preserve">ORD-1114</t>
  </si>
  <si>
    <t xml:space="preserve">kashif ansari</t>
  </si>
  <si>
    <t xml:space="preserve">Rs. 9,050</t>
  </si>
  <si>
    <t xml:space="preserve">ORD-1115</t>
  </si>
  <si>
    <t xml:space="preserve">Rs. 4,200</t>
  </si>
  <si>
    <t xml:space="preserve">ORD-1116</t>
  </si>
  <si>
    <t xml:space="preserve">2025-03-14</t>
  </si>
  <si>
    <t xml:space="preserve">HASSAN SIDDIQUI</t>
  </si>
  <si>
    <t xml:space="preserve">QUETTA</t>
  </si>
  <si>
    <t xml:space="preserve">Ord-1117</t>
  </si>
  <si>
    <t xml:space="preserve">2025-06-07</t>
  </si>
  <si>
    <t xml:space="preserve">ORD-1118</t>
  </si>
  <si>
    <t xml:space="preserve">4,700.00</t>
  </si>
  <si>
    <t xml:space="preserve">ORD-1119</t>
  </si>
  <si>
    <t xml:space="preserve">28/03/2025</t>
  </si>
  <si>
    <t xml:space="preserve">  Smart Television 43 Inch </t>
  </si>
  <si>
    <t xml:space="preserve">PKR 53,200</t>
  </si>
  <si>
    <t xml:space="preserve">ORD-1120</t>
  </si>
  <si>
    <t xml:space="preserve">Usman Chaudhry</t>
  </si>
  <si>
    <t xml:space="preserve">Cooking  Oil 5 Litre</t>
  </si>
  <si>
    <t xml:space="preserve">2250</t>
  </si>
  <si>
    <t xml:space="preserve">ORD-1121</t>
  </si>
  <si>
    <t xml:space="preserve">2025-09-09</t>
  </si>
  <si>
    <t xml:space="preserve">  Saad Qureshi </t>
  </si>
  <si>
    <t xml:space="preserve">4250</t>
  </si>
  <si>
    <t xml:space="preserve">ord-1122</t>
  </si>
  <si>
    <t xml:space="preserve">2025-08-26</t>
  </si>
  <si>
    <t xml:space="preserve">  Rabia Khan </t>
  </si>
  <si>
    <t xml:space="preserve">ORD-1123</t>
  </si>
  <si>
    <t xml:space="preserve">17-Mar-2025</t>
  </si>
  <si>
    <t xml:space="preserve">Rs. 1,500</t>
  </si>
  <si>
    <t xml:space="preserve">ORD-1124</t>
  </si>
  <si>
    <t xml:space="preserve">2025-08-23</t>
  </si>
  <si>
    <t xml:space="preserve">1450</t>
  </si>
  <si>
    <t xml:space="preserve">ORD-1125</t>
  </si>
  <si>
    <t xml:space="preserve">Rabia Qureshi</t>
  </si>
  <si>
    <t xml:space="preserve">ORD-1126</t>
  </si>
  <si>
    <t xml:space="preserve">04-Feb-2025</t>
  </si>
  <si>
    <t xml:space="preserve">  Saad Iqbal </t>
  </si>
  <si>
    <t xml:space="preserve">PKR 19,050</t>
  </si>
  <si>
    <t xml:space="preserve">ORD-1127</t>
  </si>
  <si>
    <t xml:space="preserve">Usman  Qureshi</t>
  </si>
  <si>
    <t xml:space="preserve">Rs. 4,000</t>
  </si>
  <si>
    <t xml:space="preserve">ord-1085</t>
  </si>
  <si>
    <t xml:space="preserve">2025-03-03</t>
  </si>
  <si>
    <t xml:space="preserve">Nida  Siddiqui</t>
  </si>
  <si>
    <t xml:space="preserve">Rs. 9,900</t>
  </si>
  <si>
    <t xml:space="preserve">ORD-1128</t>
  </si>
  <si>
    <t xml:space="preserve">26/07/2025</t>
  </si>
  <si>
    <t xml:space="preserve">hamza hussain</t>
  </si>
  <si>
    <t xml:space="preserve">PKR 2,350</t>
  </si>
  <si>
    <t xml:space="preserve">ORD-1129</t>
  </si>
  <si>
    <t xml:space="preserve">11/08/2025</t>
  </si>
  <si>
    <t xml:space="preserve">fatima khan</t>
  </si>
  <si>
    <t xml:space="preserve">PKR 2,300</t>
  </si>
  <si>
    <t xml:space="preserve">ORD-1130</t>
  </si>
  <si>
    <t xml:space="preserve">02-Feb-2025</t>
  </si>
  <si>
    <t xml:space="preserve">PERFUME SPRAY</t>
  </si>
  <si>
    <t xml:space="preserve">PKR 4,100</t>
  </si>
  <si>
    <t xml:space="preserve">ORD-1131</t>
  </si>
  <si>
    <t xml:space="preserve">Rabia Butt</t>
  </si>
  <si>
    <t xml:space="preserve">Mens  Kurta</t>
  </si>
  <si>
    <t xml:space="preserve">3,200.00</t>
  </si>
  <si>
    <t xml:space="preserve">ORD-1132</t>
  </si>
  <si>
    <t xml:space="preserve">usman hussain</t>
  </si>
  <si>
    <t xml:space="preserve">ORD-1133</t>
  </si>
  <si>
    <t xml:space="preserve">Iqra  Sheikh</t>
  </si>
  <si>
    <t xml:space="preserve">3650</t>
  </si>
  <si>
    <t xml:space="preserve">Ord-1134</t>
  </si>
  <si>
    <t xml:space="preserve">2025-08-24</t>
  </si>
  <si>
    <t xml:space="preserve">Omar Raza</t>
  </si>
  <si>
    <t xml:space="preserve"> ORD-1135 </t>
  </si>
  <si>
    <t xml:space="preserve">Balochistan</t>
  </si>
  <si>
    <t xml:space="preserve">GWADAR</t>
  </si>
  <si>
    <t xml:space="preserve">800</t>
  </si>
  <si>
    <t xml:space="preserve">ORD-1136</t>
  </si>
  <si>
    <t xml:space="preserve">05-Jan-2025</t>
  </si>
  <si>
    <t xml:space="preserve">  Usman Hussain </t>
  </si>
  <si>
    <t xml:space="preserve">Ord-1137</t>
  </si>
  <si>
    <t xml:space="preserve">18-Jun-2025</t>
  </si>
  <si>
    <t xml:space="preserve">6</t>
  </si>
  <si>
    <t xml:space="preserve">ORD-1138</t>
  </si>
  <si>
    <t xml:space="preserve">-5</t>
  </si>
  <si>
    <t xml:space="preserve">Rs. 1,650</t>
  </si>
  <si>
    <t xml:space="preserve">ORD-1139</t>
  </si>
  <si>
    <t xml:space="preserve">tariq khan</t>
  </si>
  <si>
    <t xml:space="preserve">PKR 2,250</t>
  </si>
  <si>
    <t xml:space="preserve">ORD-1140</t>
  </si>
  <si>
    <t xml:space="preserve">2025-02-09</t>
  </si>
  <si>
    <t xml:space="preserve">noor sheikh</t>
  </si>
  <si>
    <t xml:space="preserve">Bluetooth  Speaker</t>
  </si>
  <si>
    <t xml:space="preserve">ORD-1141</t>
  </si>
  <si>
    <t xml:space="preserve">ORD-1142</t>
  </si>
  <si>
    <t xml:space="preserve">MENS KURTA</t>
  </si>
  <si>
    <t xml:space="preserve">PKR 3,100</t>
  </si>
  <si>
    <t xml:space="preserve">ORD-1143</t>
  </si>
  <si>
    <t xml:space="preserve">2025-07-29</t>
  </si>
  <si>
    <t xml:space="preserve">ahmed qureshi</t>
  </si>
  <si>
    <t xml:space="preserve">9850</t>
  </si>
  <si>
    <t xml:space="preserve">Ord-1144</t>
  </si>
  <si>
    <t xml:space="preserve">hassan raza</t>
  </si>
  <si>
    <t xml:space="preserve">6600</t>
  </si>
  <si>
    <t xml:space="preserve"> ORD-1145 </t>
  </si>
  <si>
    <t xml:space="preserve">ali malik</t>
  </si>
  <si>
    <t xml:space="preserve">PKR 4,600</t>
  </si>
  <si>
    <t xml:space="preserve">ORD-1146</t>
  </si>
  <si>
    <t xml:space="preserve">21/12/2025</t>
  </si>
  <si>
    <t xml:space="preserve">ORD-1147</t>
  </si>
  <si>
    <t xml:space="preserve">6,400.00</t>
  </si>
  <si>
    <t xml:space="preserve">ord-1148</t>
  </si>
  <si>
    <t xml:space="preserve">19/04/2025</t>
  </si>
  <si>
    <t xml:space="preserve">Fatima Qureshi</t>
  </si>
  <si>
    <t xml:space="preserve">Perfume  Spray</t>
  </si>
  <si>
    <t xml:space="preserve">4050</t>
  </si>
  <si>
    <t xml:space="preserve">Ord-1149</t>
  </si>
  <si>
    <t xml:space="preserve">ord-1150</t>
  </si>
  <si>
    <t xml:space="preserve">01-Dec-2025</t>
  </si>
  <si>
    <t xml:space="preserve">  Hina Malik </t>
  </si>
  <si>
    <t xml:space="preserve">3,650.00</t>
  </si>
  <si>
    <t xml:space="preserve">ORD-1151</t>
  </si>
  <si>
    <t xml:space="preserve">29/07/2025</t>
  </si>
  <si>
    <t xml:space="preserve">hamza malik</t>
  </si>
  <si>
    <t xml:space="preserve">ORD-1152</t>
  </si>
  <si>
    <t xml:space="preserve">ayesha qureshi</t>
  </si>
  <si>
    <t xml:space="preserve">Rs. 3,700</t>
  </si>
  <si>
    <t xml:space="preserve">ORD-1153</t>
  </si>
  <si>
    <t xml:space="preserve">PKR 9,350</t>
  </si>
  <si>
    <t xml:space="preserve">ORD-1154</t>
  </si>
  <si>
    <t xml:space="preserve">12/04/2025</t>
  </si>
  <si>
    <t xml:space="preserve">bilal qureshi</t>
  </si>
  <si>
    <t xml:space="preserve">-1</t>
  </si>
  <si>
    <t xml:space="preserve">Rs. 3,100</t>
  </si>
  <si>
    <t xml:space="preserve">ORD-1155</t>
  </si>
  <si>
    <t xml:space="preserve">29-Jan-2025</t>
  </si>
  <si>
    <t xml:space="preserve">  Saad Chaudhry </t>
  </si>
  <si>
    <t xml:space="preserve">ORD-1156</t>
  </si>
  <si>
    <t xml:space="preserve">02/05/2025</t>
  </si>
  <si>
    <t xml:space="preserve">Hassan Iqbal</t>
  </si>
  <si>
    <t xml:space="preserve">11/12/2025</t>
  </si>
  <si>
    <t xml:space="preserve">ORD-1157</t>
  </si>
  <si>
    <t xml:space="preserve">06/12/2025</t>
  </si>
  <si>
    <t xml:space="preserve">8</t>
  </si>
  <si>
    <t xml:space="preserve">3950</t>
  </si>
  <si>
    <t xml:space="preserve">ORD-1158</t>
  </si>
  <si>
    <t xml:space="preserve">Omar Sheikh</t>
  </si>
  <si>
    <t xml:space="preserve">  Quetta </t>
  </si>
  <si>
    <t xml:space="preserve">7,550.00</t>
  </si>
  <si>
    <t xml:space="preserve">ord-1191</t>
  </si>
  <si>
    <t xml:space="preserve">Rs. 4,350</t>
  </si>
  <si>
    <t xml:space="preserve"> ORD-1159 </t>
  </si>
  <si>
    <t xml:space="preserve">  Fatima Qureshi </t>
  </si>
  <si>
    <t xml:space="preserve">gwadar</t>
  </si>
  <si>
    <t xml:space="preserve">BASMATI RICE 5 KG</t>
  </si>
  <si>
    <t xml:space="preserve">ORD-1160</t>
  </si>
  <si>
    <t xml:space="preserve">Tariq  Ansari</t>
  </si>
  <si>
    <t xml:space="preserve">Winter  Jacket</t>
  </si>
  <si>
    <t xml:space="preserve">Rs. 10,150</t>
  </si>
  <si>
    <t xml:space="preserve">ORD-1161</t>
  </si>
  <si>
    <t xml:space="preserve">17/09/2025</t>
  </si>
  <si>
    <t xml:space="preserve">ayesha malik</t>
  </si>
  <si>
    <t xml:space="preserve">ORD-1162</t>
  </si>
  <si>
    <t xml:space="preserve">05-Jun-2025</t>
  </si>
  <si>
    <t xml:space="preserve">Maryam Raza</t>
  </si>
  <si>
    <t xml:space="preserve">1,700.00</t>
  </si>
  <si>
    <t xml:space="preserve">ORD-1163</t>
  </si>
  <si>
    <t xml:space="preserve">15/09/2025</t>
  </si>
  <si>
    <t xml:space="preserve">Usman  Chaudhry</t>
  </si>
  <si>
    <t xml:space="preserve">  Abbottabad </t>
  </si>
  <si>
    <t xml:space="preserve">6,800.00</t>
  </si>
  <si>
    <t xml:space="preserve">ORD-1164</t>
  </si>
  <si>
    <t xml:space="preserve">Kashif Sheikh</t>
  </si>
  <si>
    <t xml:space="preserve">6,700.00</t>
  </si>
  <si>
    <t xml:space="preserve">ORD-1165</t>
  </si>
  <si>
    <t xml:space="preserve">ord-1166</t>
  </si>
  <si>
    <t xml:space="preserve">Noor Butt</t>
  </si>
  <si>
    <t xml:space="preserve">Rs. 3,250</t>
  </si>
  <si>
    <t xml:space="preserve">ORD-1167</t>
  </si>
  <si>
    <t xml:space="preserve">2025-05-29</t>
  </si>
  <si>
    <t xml:space="preserve">Smart  Watch</t>
  </si>
  <si>
    <t xml:space="preserve">ORD-1168</t>
  </si>
  <si>
    <t xml:space="preserve">3800</t>
  </si>
  <si>
    <t xml:space="preserve">ORD-1169</t>
  </si>
  <si>
    <t xml:space="preserve">2025-02-28</t>
  </si>
  <si>
    <t xml:space="preserve">OMAR RAZA</t>
  </si>
  <si>
    <t xml:space="preserve">ORD-1170</t>
  </si>
  <si>
    <t xml:space="preserve">Rs. 6,350</t>
  </si>
  <si>
    <t xml:space="preserve">ORD-1171</t>
  </si>
  <si>
    <t xml:space="preserve">PKR 3,850</t>
  </si>
  <si>
    <t xml:space="preserve">ORD-1172</t>
  </si>
  <si>
    <t xml:space="preserve">20/03/2025</t>
  </si>
  <si>
    <t xml:space="preserve">  Maryam Qureshi </t>
  </si>
  <si>
    <t xml:space="preserve">02-May-2025</t>
  </si>
  <si>
    <t xml:space="preserve">  Hassan Iqbal </t>
  </si>
  <si>
    <t xml:space="preserve">mardan</t>
  </si>
  <si>
    <t xml:space="preserve">Hand  Blender</t>
  </si>
  <si>
    <t xml:space="preserve">3750</t>
  </si>
  <si>
    <t xml:space="preserve">Ord-1173</t>
  </si>
  <si>
    <t xml:space="preserve">Rs. 4,600</t>
  </si>
  <si>
    <t xml:space="preserve">ORD-1174</t>
  </si>
  <si>
    <t xml:space="preserve">19-Jun-2025</t>
  </si>
  <si>
    <t xml:space="preserve">Iqra Malik</t>
  </si>
  <si>
    <t xml:space="preserve">perfume spray</t>
  </si>
  <si>
    <t xml:space="preserve">Rs. 3,800</t>
  </si>
  <si>
    <t xml:space="preserve">ORD-1175</t>
  </si>
  <si>
    <t xml:space="preserve">2350</t>
  </si>
  <si>
    <t xml:space="preserve">ord-1176</t>
  </si>
  <si>
    <t xml:space="preserve">ORD-1177</t>
  </si>
  <si>
    <t xml:space="preserve">ord-1178</t>
  </si>
  <si>
    <t xml:space="preserve">06/10/2025</t>
  </si>
  <si>
    <t xml:space="preserve">Bilal Qureshi</t>
  </si>
  <si>
    <t xml:space="preserve">Ord-1179</t>
  </si>
  <si>
    <t xml:space="preserve">14-Jul-2025</t>
  </si>
  <si>
    <t xml:space="preserve">  Rabia Iqbal </t>
  </si>
  <si>
    <t xml:space="preserve">ORD-1180</t>
  </si>
  <si>
    <t xml:space="preserve">Saad Chaudhry</t>
  </si>
  <si>
    <t xml:space="preserve">8,300.00</t>
  </si>
  <si>
    <t xml:space="preserve">ORD-1181</t>
  </si>
  <si>
    <t xml:space="preserve">19-Apr-2025</t>
  </si>
  <si>
    <t xml:space="preserve">  Smart Watch </t>
  </si>
  <si>
    <t xml:space="preserve">Rs. 9,650</t>
  </si>
  <si>
    <t xml:space="preserve">ORD-1182</t>
  </si>
  <si>
    <t xml:space="preserve">RABIA IQBAL</t>
  </si>
  <si>
    <t xml:space="preserve">PKR 7,950</t>
  </si>
  <si>
    <t xml:space="preserve">ord-1183</t>
  </si>
  <si>
    <t xml:space="preserve">Rs. 18,550</t>
  </si>
  <si>
    <t xml:space="preserve">ord-1318</t>
  </si>
  <si>
    <t xml:space="preserve">USMAN HUSSAIN</t>
  </si>
  <si>
    <t xml:space="preserve">Rs. 7,850</t>
  </si>
  <si>
    <t xml:space="preserve">ORD-1184</t>
  </si>
  <si>
    <t xml:space="preserve">11/04/2025</t>
  </si>
  <si>
    <t xml:space="preserve">Hina Malik</t>
  </si>
  <si>
    <t xml:space="preserve">Rs. 2,650</t>
  </si>
  <si>
    <t xml:space="preserve">ORD-1185</t>
  </si>
  <si>
    <t xml:space="preserve">2025-04-05</t>
  </si>
  <si>
    <t xml:space="preserve">Kashif  Butt</t>
  </si>
  <si>
    <t xml:space="preserve"> ORD-1186 </t>
  </si>
  <si>
    <t xml:space="preserve">2025-04-06</t>
  </si>
  <si>
    <t xml:space="preserve">cooking oil 5 litre</t>
  </si>
  <si>
    <t xml:space="preserve"> ORD-1320 </t>
  </si>
  <si>
    <t xml:space="preserve">ORD-1187</t>
  </si>
  <si>
    <t xml:space="preserve">17/07/2025</t>
  </si>
  <si>
    <t xml:space="preserve">Sana  Raza</t>
  </si>
  <si>
    <t xml:space="preserve">hair dryer</t>
  </si>
  <si>
    <t xml:space="preserve">ORD-1188</t>
  </si>
  <si>
    <t xml:space="preserve">Ord-1189</t>
  </si>
  <si>
    <t xml:space="preserve">Maryam Hussain</t>
  </si>
  <si>
    <t xml:space="preserve">17,750.00</t>
  </si>
  <si>
    <t xml:space="preserve">ORD-1190</t>
  </si>
  <si>
    <t xml:space="preserve">26-Apr-2025</t>
  </si>
  <si>
    <t xml:space="preserve">Saad Qureshi</t>
  </si>
  <si>
    <t xml:space="preserve">7800</t>
  </si>
  <si>
    <t xml:space="preserve">ORD-1191</t>
  </si>
  <si>
    <t xml:space="preserve">2025-06-10</t>
  </si>
  <si>
    <t xml:space="preserve">  Bluetooth Speaker </t>
  </si>
  <si>
    <t xml:space="preserve">PKR 4,350</t>
  </si>
  <si>
    <t xml:space="preserve">ORD-1192</t>
  </si>
  <si>
    <t xml:space="preserve">23/05/2025</t>
  </si>
  <si>
    <t xml:space="preserve">53600</t>
  </si>
  <si>
    <t xml:space="preserve">ord-1193</t>
  </si>
  <si>
    <t xml:space="preserve">2025-10-25</t>
  </si>
  <si>
    <t xml:space="preserve">sukkur</t>
  </si>
  <si>
    <t xml:space="preserve">4400</t>
  </si>
  <si>
    <t xml:space="preserve">ORD-1194</t>
  </si>
  <si>
    <t xml:space="preserve">KASHIF RAZA</t>
  </si>
  <si>
    <t xml:space="preserve">1,250.00</t>
  </si>
  <si>
    <t xml:space="preserve">ORD-1195</t>
  </si>
  <si>
    <t xml:space="preserve">2025-08-21</t>
  </si>
  <si>
    <t xml:space="preserve">AYESHA MALIK</t>
  </si>
  <si>
    <t xml:space="preserve">Rs. 50,900</t>
  </si>
  <si>
    <t xml:space="preserve">Ord-1196</t>
  </si>
  <si>
    <t xml:space="preserve">2025-06-01</t>
  </si>
  <si>
    <t xml:space="preserve">Rabia Iqbal</t>
  </si>
  <si>
    <t xml:space="preserve">  Faisalabad </t>
  </si>
  <si>
    <t xml:space="preserve">Rs. 1,600</t>
  </si>
  <si>
    <t xml:space="preserve">ORD-1197</t>
  </si>
  <si>
    <t xml:space="preserve">2025-12-02</t>
  </si>
  <si>
    <t xml:space="preserve">  Kashif Ansari </t>
  </si>
  <si>
    <t xml:space="preserve">Rs. 7,150</t>
  </si>
  <si>
    <t xml:space="preserve">ORD-1198</t>
  </si>
  <si>
    <t xml:space="preserve">08-Oct-2025</t>
  </si>
  <si>
    <t xml:space="preserve">ORD-1199</t>
  </si>
  <si>
    <t xml:space="preserve">ali siddiqui</t>
  </si>
  <si>
    <t xml:space="preserve">ORD-1200</t>
  </si>
  <si>
    <t xml:space="preserve">15-Jun-2025</t>
  </si>
  <si>
    <t xml:space="preserve">Ayesha Qureshi</t>
  </si>
  <si>
    <t xml:space="preserve">ORD-1201</t>
  </si>
  <si>
    <t xml:space="preserve">19-May-2025</t>
  </si>
  <si>
    <t xml:space="preserve">iqra sheikh</t>
  </si>
  <si>
    <t xml:space="preserve">Rs. 9,850</t>
  </si>
  <si>
    <t xml:space="preserve">ORD-1202</t>
  </si>
  <si>
    <t xml:space="preserve">HASSAN BUTT</t>
  </si>
  <si>
    <t xml:space="preserve">4200</t>
  </si>
  <si>
    <t xml:space="preserve">ord-1203</t>
  </si>
  <si>
    <t xml:space="preserve">Rs. 6,650</t>
  </si>
  <si>
    <t xml:space="preserve">ORD-1204</t>
  </si>
  <si>
    <t xml:space="preserve">2025-05-06</t>
  </si>
  <si>
    <t xml:space="preserve">PKR 1,250</t>
  </si>
  <si>
    <t xml:space="preserve">ORD-1205</t>
  </si>
  <si>
    <t xml:space="preserve">  Kashif Sheikh </t>
  </si>
  <si>
    <t xml:space="preserve">Rs. 1,250</t>
  </si>
  <si>
    <t xml:space="preserve">ORD-1206</t>
  </si>
  <si>
    <t xml:space="preserve">4,000.00</t>
  </si>
  <si>
    <t xml:space="preserve">ORD-1207</t>
  </si>
  <si>
    <t xml:space="preserve"> 4 </t>
  </si>
  <si>
    <t xml:space="preserve">49950</t>
  </si>
  <si>
    <t xml:space="preserve">ORD-1208</t>
  </si>
  <si>
    <t xml:space="preserve">10-Nov-2025</t>
  </si>
  <si>
    <t xml:space="preserve">mens kurta</t>
  </si>
  <si>
    <t xml:space="preserve">3250</t>
  </si>
  <si>
    <t xml:space="preserve"> ORD-1209 </t>
  </si>
  <si>
    <t xml:space="preserve">2025-01-29</t>
  </si>
  <si>
    <t xml:space="preserve">rabia iqbal</t>
  </si>
  <si>
    <t xml:space="preserve">basmati rice 5 kg</t>
  </si>
  <si>
    <t xml:space="preserve">2,650.00</t>
  </si>
  <si>
    <t xml:space="preserve">ORD-1210</t>
  </si>
  <si>
    <t xml:space="preserve">2025-08-06</t>
  </si>
  <si>
    <t xml:space="preserve">Rs. 7,000</t>
  </si>
  <si>
    <t xml:space="preserve">Ord-1211</t>
  </si>
  <si>
    <t xml:space="preserve">Kashif Raza</t>
  </si>
  <si>
    <t xml:space="preserve">ord-1212</t>
  </si>
  <si>
    <t xml:space="preserve">Rs. 3,350</t>
  </si>
  <si>
    <t xml:space="preserve">ORD-1213</t>
  </si>
  <si>
    <t xml:space="preserve">ORD-1214</t>
  </si>
  <si>
    <t xml:space="preserve">2025-07-24</t>
  </si>
  <si>
    <t xml:space="preserve">SANA SIDDIQUI</t>
  </si>
  <si>
    <t xml:space="preserve">ORD-1215</t>
  </si>
  <si>
    <t xml:space="preserve">2025-06-13</t>
  </si>
  <si>
    <t xml:space="preserve">6,500.00</t>
  </si>
  <si>
    <t xml:space="preserve">ORD-1216</t>
  </si>
  <si>
    <t xml:space="preserve">03/04/2025</t>
  </si>
  <si>
    <t xml:space="preserve">MARDAN</t>
  </si>
  <si>
    <t xml:space="preserve">ORD-1217</t>
  </si>
  <si>
    <t xml:space="preserve">03-Apr-2025</t>
  </si>
  <si>
    <t xml:space="preserve">Kashif  Ansari</t>
  </si>
  <si>
    <t xml:space="preserve">Face  Wash</t>
  </si>
  <si>
    <t xml:space="preserve">ORD-1218</t>
  </si>
  <si>
    <t xml:space="preserve">05/12/2025</t>
  </si>
  <si>
    <t xml:space="preserve">ORD-1219</t>
  </si>
  <si>
    <t xml:space="preserve">2025-11-21</t>
  </si>
  <si>
    <t xml:space="preserve">PKR 7,250</t>
  </si>
  <si>
    <t xml:space="preserve">ORD-1220</t>
  </si>
  <si>
    <t xml:space="preserve">ORD-1221</t>
  </si>
  <si>
    <t xml:space="preserve">2025-10-20</t>
  </si>
  <si>
    <t xml:space="preserve">HINA QURESHI</t>
  </si>
  <si>
    <t xml:space="preserve"> ORD-1222 </t>
  </si>
  <si>
    <t xml:space="preserve">Hina Siddiqui</t>
  </si>
  <si>
    <t xml:space="preserve">9,550.00</t>
  </si>
  <si>
    <t xml:space="preserve">ORD-1223</t>
  </si>
  <si>
    <t xml:space="preserve">TARIQ QURESHI</t>
  </si>
  <si>
    <t xml:space="preserve">PKR 5,150</t>
  </si>
  <si>
    <t xml:space="preserve">ord-1224</t>
  </si>
  <si>
    <t xml:space="preserve">  Fatima Hussain </t>
  </si>
  <si>
    <t xml:space="preserve">phone charger</t>
  </si>
  <si>
    <t xml:space="preserve">1,200.00</t>
  </si>
  <si>
    <t xml:space="preserve">ORD-1225</t>
  </si>
  <si>
    <t xml:space="preserve">21-Oct-2025</t>
  </si>
  <si>
    <t xml:space="preserve">Rs. 49,500</t>
  </si>
  <si>
    <t xml:space="preserve">ORD-1226</t>
  </si>
  <si>
    <t xml:space="preserve">20-Aug-2025</t>
  </si>
  <si>
    <t xml:space="preserve">PKR 8,000</t>
  </si>
  <si>
    <t xml:space="preserve">ORD-1227</t>
  </si>
  <si>
    <t xml:space="preserve">09/07/2025</t>
  </si>
  <si>
    <t xml:space="preserve">ORD-1228</t>
  </si>
  <si>
    <t xml:space="preserve">hina malik</t>
  </si>
  <si>
    <t xml:space="preserve">PKR 3,300</t>
  </si>
  <si>
    <t xml:space="preserve">Ord-1229</t>
  </si>
  <si>
    <t xml:space="preserve">2025-12-20</t>
  </si>
  <si>
    <t xml:space="preserve">15/04/2025</t>
  </si>
  <si>
    <t xml:space="preserve">ORD-1230</t>
  </si>
  <si>
    <t xml:space="preserve">24/04/2025</t>
  </si>
  <si>
    <t xml:space="preserve">hina hussain</t>
  </si>
  <si>
    <t xml:space="preserve">Rs. 50,550</t>
  </si>
  <si>
    <t xml:space="preserve">ord-1231</t>
  </si>
  <si>
    <t xml:space="preserve">2025-05-12</t>
  </si>
  <si>
    <t xml:space="preserve">  Rabia Butt </t>
  </si>
  <si>
    <t xml:space="preserve">4,350.00</t>
  </si>
  <si>
    <t xml:space="preserve">ORD-1232</t>
  </si>
  <si>
    <t xml:space="preserve">Hassan Qureshi</t>
  </si>
  <si>
    <t xml:space="preserve">  Mardan </t>
  </si>
  <si>
    <t xml:space="preserve">ORD-1233</t>
  </si>
  <si>
    <t xml:space="preserve">iqra ansari</t>
  </si>
  <si>
    <t xml:space="preserve">Rs. 7,300</t>
  </si>
  <si>
    <t xml:space="preserve">ORD-1234</t>
  </si>
  <si>
    <t xml:space="preserve">2025-01-04</t>
  </si>
  <si>
    <t xml:space="preserve">Fatima  Hussain</t>
  </si>
  <si>
    <t xml:space="preserve">Ord-1235</t>
  </si>
  <si>
    <t xml:space="preserve">2025-06-05</t>
  </si>
  <si>
    <t xml:space="preserve">  Hassan Siddiqui </t>
  </si>
  <si>
    <t xml:space="preserve">Rs. 900</t>
  </si>
  <si>
    <t xml:space="preserve">Kashif Ansari</t>
  </si>
  <si>
    <t xml:space="preserve">RICE COOKER</t>
  </si>
  <si>
    <t xml:space="preserve">ord-1236</t>
  </si>
  <si>
    <t xml:space="preserve">16-Jan-2025</t>
  </si>
  <si>
    <t xml:space="preserve">HASSAN QURESHI</t>
  </si>
  <si>
    <t xml:space="preserve">PKR 4,500</t>
  </si>
  <si>
    <t xml:space="preserve">ord-1237</t>
  </si>
  <si>
    <t xml:space="preserve">09-Dec-2025</t>
  </si>
  <si>
    <t xml:space="preserve">ORD-1238</t>
  </si>
  <si>
    <t xml:space="preserve">2025-12-18</t>
  </si>
  <si>
    <t xml:space="preserve">3050</t>
  </si>
  <si>
    <t xml:space="preserve"> ORD-1239 </t>
  </si>
  <si>
    <t xml:space="preserve">17-Aug-2025</t>
  </si>
  <si>
    <t xml:space="preserve">Kashif  Malik</t>
  </si>
  <si>
    <t xml:space="preserve">ORD-1240</t>
  </si>
  <si>
    <t xml:space="preserve">27/08/2025</t>
  </si>
  <si>
    <t xml:space="preserve">2025-04-09</t>
  </si>
  <si>
    <t xml:space="preserve">1,650.00</t>
  </si>
  <si>
    <t xml:space="preserve">Ord-1241</t>
  </si>
  <si>
    <t xml:space="preserve">2025-06-28</t>
  </si>
  <si>
    <t xml:space="preserve"> 7 </t>
  </si>
  <si>
    <t xml:space="preserve">PKR 3,150</t>
  </si>
  <si>
    <t xml:space="preserve">ORD-1242</t>
  </si>
  <si>
    <t xml:space="preserve">13/05/2025</t>
  </si>
  <si>
    <t xml:space="preserve">PKR 7,600</t>
  </si>
  <si>
    <t xml:space="preserve">ORD-1090</t>
  </si>
  <si>
    <t xml:space="preserve">15-Oct-2025</t>
  </si>
  <si>
    <t xml:space="preserve">WINTER JACKET</t>
  </si>
  <si>
    <t xml:space="preserve">ord-1243</t>
  </si>
  <si>
    <t xml:space="preserve">13-Feb-2025</t>
  </si>
  <si>
    <t xml:space="preserve">ORD-1244</t>
  </si>
  <si>
    <t xml:space="preserve">20/07/2025</t>
  </si>
  <si>
    <t xml:space="preserve">Kashif  Khan</t>
  </si>
  <si>
    <t xml:space="preserve">ORD-1245</t>
  </si>
  <si>
    <t xml:space="preserve">Rs. 8,200</t>
  </si>
  <si>
    <t xml:space="preserve">ORD-1246</t>
  </si>
  <si>
    <t xml:space="preserve">ord-1247</t>
  </si>
  <si>
    <t xml:space="preserve">20-Jun-2025</t>
  </si>
  <si>
    <t xml:space="preserve">  Tariq Ansari </t>
  </si>
  <si>
    <t xml:space="preserve">Rs. 5,000</t>
  </si>
  <si>
    <t xml:space="preserve">ORD-1248</t>
  </si>
  <si>
    <t xml:space="preserve">21/02/2025</t>
  </si>
  <si>
    <t xml:space="preserve">ORD-1249</t>
  </si>
  <si>
    <t xml:space="preserve">HAIR DRYER</t>
  </si>
  <si>
    <t xml:space="preserve">ORD-1250</t>
  </si>
  <si>
    <t xml:space="preserve">ord-1251</t>
  </si>
  <si>
    <t xml:space="preserve">25-Dec-2025</t>
  </si>
  <si>
    <t xml:space="preserve">PKR 18,750</t>
  </si>
  <si>
    <t xml:space="preserve">ord-1252</t>
  </si>
  <si>
    <t xml:space="preserve">AHMED HUSSAIN</t>
  </si>
  <si>
    <t xml:space="preserve">ORD-1253</t>
  </si>
  <si>
    <t xml:space="preserve">2025-07-26</t>
  </si>
  <si>
    <t xml:space="preserve">Rs. 7,500</t>
  </si>
  <si>
    <t xml:space="preserve">ord-1254</t>
  </si>
  <si>
    <t xml:space="preserve">2025-01-20</t>
  </si>
  <si>
    <t xml:space="preserve">Phone  Charger</t>
  </si>
  <si>
    <t xml:space="preserve">1250</t>
  </si>
  <si>
    <t xml:space="preserve">Ord-1255</t>
  </si>
  <si>
    <t xml:space="preserve">2025-06-25</t>
  </si>
  <si>
    <t xml:space="preserve">PKR 5,100</t>
  </si>
  <si>
    <t xml:space="preserve">ord-1223</t>
  </si>
  <si>
    <t xml:space="preserve">20/06/2025</t>
  </si>
  <si>
    <t xml:space="preserve">ORD-1304</t>
  </si>
  <si>
    <t xml:space="preserve">ORD-1256</t>
  </si>
  <si>
    <t xml:space="preserve">PKR 5,200</t>
  </si>
  <si>
    <t xml:space="preserve"> ORD-1257 </t>
  </si>
  <si>
    <t xml:space="preserve">2025-01-08</t>
  </si>
  <si>
    <t xml:space="preserve">PKR 3,200</t>
  </si>
  <si>
    <t xml:space="preserve">ORD-1258</t>
  </si>
  <si>
    <t xml:space="preserve">15-Mar-2025</t>
  </si>
  <si>
    <t xml:space="preserve">Rs. 9,750</t>
  </si>
  <si>
    <t xml:space="preserve">Ord-1259</t>
  </si>
  <si>
    <t xml:space="preserve">  Maryam Raza </t>
  </si>
  <si>
    <t xml:space="preserve">4,300.00</t>
  </si>
  <si>
    <t xml:space="preserve">ORD-1260</t>
  </si>
  <si>
    <t xml:space="preserve">27-Jul-2025</t>
  </si>
  <si>
    <t xml:space="preserve">ORD-1261</t>
  </si>
  <si>
    <t xml:space="preserve">ALI SIDDIQUI</t>
  </si>
  <si>
    <t xml:space="preserve">ORD-1262</t>
  </si>
  <si>
    <t xml:space="preserve">Hina Hussain</t>
  </si>
  <si>
    <t xml:space="preserve">ORD-1263</t>
  </si>
  <si>
    <t xml:space="preserve">23/07/2025</t>
  </si>
  <si>
    <t xml:space="preserve">usman raza</t>
  </si>
  <si>
    <t xml:space="preserve">PKR 6,800</t>
  </si>
  <si>
    <t xml:space="preserve">ord-1264</t>
  </si>
  <si>
    <t xml:space="preserve">PKR 6,950</t>
  </si>
  <si>
    <t xml:space="preserve"> ORD-1297 </t>
  </si>
  <si>
    <t xml:space="preserve">19-Nov-2025</t>
  </si>
  <si>
    <t xml:space="preserve">saad qureshi</t>
  </si>
  <si>
    <t xml:space="preserve">  Bedsheet Set </t>
  </si>
  <si>
    <t xml:space="preserve">ORD-1265</t>
  </si>
  <si>
    <t xml:space="preserve">SAAD SIDDIQUI</t>
  </si>
  <si>
    <t xml:space="preserve">ORD-1266</t>
  </si>
  <si>
    <t xml:space="preserve">2025-12-24</t>
  </si>
  <si>
    <t xml:space="preserve"> ORD-1084 </t>
  </si>
  <si>
    <t xml:space="preserve">Rs. 6,700</t>
  </si>
  <si>
    <t xml:space="preserve">ORD-1267</t>
  </si>
  <si>
    <t xml:space="preserve">ALI MALIK</t>
  </si>
  <si>
    <t xml:space="preserve">ORD-1268</t>
  </si>
  <si>
    <t xml:space="preserve">ORD-1269</t>
  </si>
  <si>
    <t xml:space="preserve">2025-05-31</t>
  </si>
  <si>
    <t xml:space="preserve">FAISALABAD</t>
  </si>
  <si>
    <t xml:space="preserve">Rs. 6,550</t>
  </si>
  <si>
    <t xml:space="preserve">ORD-1270</t>
  </si>
  <si>
    <t xml:space="preserve">2700</t>
  </si>
  <si>
    <t xml:space="preserve">ORD-1271</t>
  </si>
  <si>
    <t xml:space="preserve">Rs. 4,100</t>
  </si>
  <si>
    <t xml:space="preserve">ORD-1272</t>
  </si>
  <si>
    <t xml:space="preserve">  Kashif Malik </t>
  </si>
  <si>
    <t xml:space="preserve"> 8 </t>
  </si>
  <si>
    <t xml:space="preserve">3,700.00</t>
  </si>
  <si>
    <t xml:space="preserve">ORD-1273</t>
  </si>
  <si>
    <t xml:space="preserve"> ORD-1274 </t>
  </si>
  <si>
    <t xml:space="preserve">  Gwadar </t>
  </si>
  <si>
    <t xml:space="preserve">ORD-1100</t>
  </si>
  <si>
    <t xml:space="preserve">10-Feb-2025</t>
  </si>
  <si>
    <t xml:space="preserve">COOKING OIL 5 LITRE</t>
  </si>
  <si>
    <t xml:space="preserve">07-Jun-2025</t>
  </si>
  <si>
    <t xml:space="preserve">Rs. 6,600</t>
  </si>
  <si>
    <t xml:space="preserve">ORD-1275</t>
  </si>
  <si>
    <t xml:space="preserve">ord-1276</t>
  </si>
  <si>
    <t xml:space="preserve">16-Oct-2025</t>
  </si>
  <si>
    <t xml:space="preserve">Hina Chaudhry</t>
  </si>
  <si>
    <t xml:space="preserve">ord-1277</t>
  </si>
  <si>
    <t xml:space="preserve">ORD-1278</t>
  </si>
  <si>
    <t xml:space="preserve">16-May-2025</t>
  </si>
  <si>
    <t xml:space="preserve">Noor  Butt</t>
  </si>
  <si>
    <t xml:space="preserve">Rs. 1,150</t>
  </si>
  <si>
    <t xml:space="preserve">ORD-1279</t>
  </si>
  <si>
    <t xml:space="preserve">21/06/2025</t>
  </si>
  <si>
    <t xml:space="preserve">ord-1280</t>
  </si>
  <si>
    <t xml:space="preserve">PKR 8,050</t>
  </si>
  <si>
    <t xml:space="preserve">ORD-1281</t>
  </si>
  <si>
    <t xml:space="preserve">2025-09-04</t>
  </si>
  <si>
    <t xml:space="preserve">PKR 10,150</t>
  </si>
  <si>
    <t xml:space="preserve">ORD-1282</t>
  </si>
  <si>
    <t xml:space="preserve">4000</t>
  </si>
  <si>
    <t xml:space="preserve">ORD-1283</t>
  </si>
  <si>
    <t xml:space="preserve">2,700.00</t>
  </si>
  <si>
    <t xml:space="preserve"> ORD-1284 </t>
  </si>
  <si>
    <t xml:space="preserve">2025-12-10</t>
  </si>
  <si>
    <t xml:space="preserve">Rs. 53,000</t>
  </si>
  <si>
    <t xml:space="preserve">ORD-1285</t>
  </si>
  <si>
    <t xml:space="preserve">19-Oct-2025</t>
  </si>
  <si>
    <t xml:space="preserve">PKR 7,150</t>
  </si>
  <si>
    <t xml:space="preserve">ORD-1286</t>
  </si>
  <si>
    <t xml:space="preserve">31-Jan-2025</t>
  </si>
  <si>
    <t xml:space="preserve">Bilal Iqbal</t>
  </si>
  <si>
    <t xml:space="preserve">PKR 4,300</t>
  </si>
  <si>
    <t xml:space="preserve">ORD-1287</t>
  </si>
  <si>
    <t xml:space="preserve">27/06/2025</t>
  </si>
  <si>
    <t xml:space="preserve">Bilal  Iqbal</t>
  </si>
  <si>
    <t xml:space="preserve">ord-1288</t>
  </si>
  <si>
    <t xml:space="preserve">04/10/2025</t>
  </si>
  <si>
    <t xml:space="preserve">Rs. 5,250</t>
  </si>
  <si>
    <t xml:space="preserve">ORD-1289</t>
  </si>
  <si>
    <t xml:space="preserve">24-Nov-2025</t>
  </si>
  <si>
    <t xml:space="preserve">Ali  Malik</t>
  </si>
  <si>
    <t xml:space="preserve">Rs. 8,150</t>
  </si>
  <si>
    <t xml:space="preserve">ORD-1290</t>
  </si>
  <si>
    <t xml:space="preserve">24-Jan-2025</t>
  </si>
  <si>
    <t xml:space="preserve">  Lawn Suit 3 Piece </t>
  </si>
  <si>
    <t xml:space="preserve">ORD-1291</t>
  </si>
  <si>
    <t xml:space="preserve">23/01/2025</t>
  </si>
  <si>
    <t xml:space="preserve">USMAN CHAUDHRY</t>
  </si>
  <si>
    <t xml:space="preserve">1,150.00</t>
  </si>
  <si>
    <t xml:space="preserve">ORD-1292</t>
  </si>
  <si>
    <t xml:space="preserve">2025-07-31</t>
  </si>
  <si>
    <t xml:space="preserve">Rs. 6,200</t>
  </si>
  <si>
    <t xml:space="preserve">ORD-1293</t>
  </si>
  <si>
    <t xml:space="preserve">2025-09-25</t>
  </si>
  <si>
    <t xml:space="preserve">kashif raza</t>
  </si>
  <si>
    <t xml:space="preserve">Rs. 9,200</t>
  </si>
  <si>
    <t xml:space="preserve">ORD-1294</t>
  </si>
  <si>
    <t xml:space="preserve">PKR 50,300</t>
  </si>
  <si>
    <t xml:space="preserve">ORD-1295</t>
  </si>
  <si>
    <t xml:space="preserve">15/10/2025</t>
  </si>
  <si>
    <t xml:space="preserve">ORD-1296</t>
  </si>
  <si>
    <t xml:space="preserve">ORD-1297</t>
  </si>
  <si>
    <t xml:space="preserve">ORD-1298</t>
  </si>
  <si>
    <t xml:space="preserve">hassan butt</t>
  </si>
  <si>
    <t xml:space="preserve">PKR 6,900</t>
  </si>
  <si>
    <t xml:space="preserve">ord-1299</t>
  </si>
  <si>
    <t xml:space="preserve">Tariq Ansari</t>
  </si>
  <si>
    <t xml:space="preserve">Rs. 6,450</t>
  </si>
  <si>
    <t xml:space="preserve">ORD-1300</t>
  </si>
  <si>
    <t xml:space="preserve">2025-09-20</t>
  </si>
  <si>
    <t xml:space="preserve">7,450.00</t>
  </si>
  <si>
    <t xml:space="preserve">ORD-1301</t>
  </si>
  <si>
    <t xml:space="preserve">01-Nov-2025</t>
  </si>
  <si>
    <t xml:space="preserve">ord-1302</t>
  </si>
  <si>
    <t xml:space="preserve">Rs. 3,750</t>
  </si>
  <si>
    <t xml:space="preserve">Ord-1303</t>
  </si>
  <si>
    <t xml:space="preserve">03/09/2025</t>
  </si>
  <si>
    <t xml:space="preserve">2025-04-24</t>
  </si>
  <si>
    <t xml:space="preserve">zain iqbal</t>
  </si>
  <si>
    <t xml:space="preserve">ORD-1305</t>
  </si>
  <si>
    <t xml:space="preserve">22/08/2025</t>
  </si>
  <si>
    <t xml:space="preserve">Rs. 17,850</t>
  </si>
  <si>
    <t xml:space="preserve">ORD-1306</t>
  </si>
  <si>
    <t xml:space="preserve">Omar  Sheikh</t>
  </si>
  <si>
    <t xml:space="preserve"> ORD-1307 </t>
  </si>
  <si>
    <t xml:space="preserve">07-Dec-2025</t>
  </si>
  <si>
    <t xml:space="preserve">ORD-1308</t>
  </si>
  <si>
    <t xml:space="preserve">Rs. 7,100</t>
  </si>
  <si>
    <t xml:space="preserve">ORD-1309</t>
  </si>
  <si>
    <t xml:space="preserve">Rs. 1,450</t>
  </si>
  <si>
    <t xml:space="preserve"> ORD-1310 </t>
  </si>
  <si>
    <t xml:space="preserve">Rs. 53,750</t>
  </si>
  <si>
    <t xml:space="preserve">ORD-1311</t>
  </si>
  <si>
    <t xml:space="preserve">25-Jan-2025</t>
  </si>
  <si>
    <t xml:space="preserve">3200</t>
  </si>
  <si>
    <t xml:space="preserve">ORD-1312</t>
  </si>
  <si>
    <t xml:space="preserve">18/06/2025</t>
  </si>
  <si>
    <t xml:space="preserve">hina chaudhry</t>
  </si>
  <si>
    <t xml:space="preserve">BLUETOOTH SPEAKER</t>
  </si>
  <si>
    <t xml:space="preserve">ORD-1313</t>
  </si>
  <si>
    <t xml:space="preserve">12-Jan-2025</t>
  </si>
  <si>
    <t xml:space="preserve">Ord-1314</t>
  </si>
  <si>
    <t xml:space="preserve">TARIQ KHAN</t>
  </si>
  <si>
    <t xml:space="preserve">ORD-1315</t>
  </si>
  <si>
    <t xml:space="preserve">ORD-1316</t>
  </si>
  <si>
    <t xml:space="preserve">16/11/2025</t>
  </si>
  <si>
    <t xml:space="preserve">Ord-1317</t>
  </si>
  <si>
    <t xml:space="preserve">18/11/2025</t>
  </si>
  <si>
    <t xml:space="preserve">PKR 1,700</t>
  </si>
  <si>
    <t xml:space="preserve">ORD-1318</t>
  </si>
  <si>
    <t xml:space="preserve">2025-02-24</t>
  </si>
  <si>
    <t xml:space="preserve">Usman  Hussain</t>
  </si>
  <si>
    <t xml:space="preserve">PKR 7,850</t>
  </si>
  <si>
    <t xml:space="preserve">ord-1319</t>
  </si>
  <si>
    <t xml:space="preserve">15/08/2025</t>
  </si>
  <si>
    <t xml:space="preserve">PKR 4,950</t>
  </si>
  <si>
    <t xml:space="preserve">ORD-1320</t>
  </si>
  <si>
    <t xml:space="preserve">ORD-1321</t>
  </si>
  <si>
    <t xml:space="preserve">ORD-1322</t>
  </si>
  <si>
    <t xml:space="preserve">3350</t>
  </si>
  <si>
    <t xml:space="preserve">Ord-1323</t>
  </si>
  <si>
    <t xml:space="preserve">ORD-1324</t>
  </si>
  <si>
    <t xml:space="preserve">Rs. 4,700</t>
  </si>
  <si>
    <t xml:space="preserve">ORD-1325</t>
  </si>
  <si>
    <t xml:space="preserve">1700</t>
  </si>
  <si>
    <t xml:space="preserve">ORD-1326</t>
  </si>
  <si>
    <t xml:space="preserve">ORD-1327</t>
  </si>
  <si>
    <t xml:space="preserve">2025-11-05</t>
  </si>
  <si>
    <t xml:space="preserve">8,050.00</t>
  </si>
  <si>
    <t xml:space="preserve">ORD-1328</t>
  </si>
  <si>
    <t xml:space="preserve">  Tariq Siddiqui </t>
  </si>
  <si>
    <t xml:space="preserve">ORD-1329</t>
  </si>
  <si>
    <t xml:space="preserve">  Tariq Qureshi </t>
  </si>
  <si>
    <t xml:space="preserve">Ord-1330</t>
  </si>
  <si>
    <t xml:space="preserve">20-Mar-2025</t>
  </si>
  <si>
    <t xml:space="preserve">ord-1331</t>
  </si>
  <si>
    <t xml:space="preserve">ORD-1332</t>
  </si>
  <si>
    <t xml:space="preserve">2025-03-22</t>
  </si>
  <si>
    <t xml:space="preserve"> ORD-1333 </t>
  </si>
  <si>
    <t xml:space="preserve">ORD-1334</t>
  </si>
  <si>
    <t xml:space="preserve">17-Feb-2025</t>
  </si>
  <si>
    <t xml:space="preserve">Ali Butt</t>
  </si>
  <si>
    <t xml:space="preserve">Rs. 51,000</t>
  </si>
  <si>
    <t xml:space="preserve">ord-1335</t>
  </si>
  <si>
    <t xml:space="preserve">ORD-1336</t>
  </si>
  <si>
    <t xml:space="preserve">ORD-1337</t>
  </si>
  <si>
    <t xml:space="preserve">ORD-1338</t>
  </si>
  <si>
    <t xml:space="preserve">ORD-1339</t>
  </si>
  <si>
    <t xml:space="preserve">2500</t>
  </si>
  <si>
    <t xml:space="preserve">ORD-1340</t>
  </si>
  <si>
    <t xml:space="preserve">RUNNING SHOES</t>
  </si>
  <si>
    <t xml:space="preserve">Rs. 7,650</t>
  </si>
  <si>
    <t xml:space="preserve">ORD-1341</t>
  </si>
  <si>
    <t xml:space="preserve">2025-04-03</t>
  </si>
  <si>
    <t xml:space="preserve">ORD-1342</t>
  </si>
  <si>
    <t xml:space="preserve">Sana Sheikh</t>
  </si>
  <si>
    <t xml:space="preserve">ord-1343</t>
  </si>
  <si>
    <t xml:space="preserve">2025-04-16</t>
  </si>
  <si>
    <t xml:space="preserve">Hamza  Hussain</t>
  </si>
  <si>
    <t xml:space="preserve">Ord-1264</t>
  </si>
  <si>
    <t xml:space="preserve">6,950.00</t>
  </si>
  <si>
    <t xml:space="preserve">ORD-1344</t>
  </si>
  <si>
    <t xml:space="preserve">4500</t>
  </si>
  <si>
    <t xml:space="preserve">Ord-1345</t>
  </si>
  <si>
    <t xml:space="preserve">01-Jun-2025</t>
  </si>
  <si>
    <t xml:space="preserve">Sana Siddiqui</t>
  </si>
  <si>
    <t xml:space="preserve">ord-1346</t>
  </si>
  <si>
    <t xml:space="preserve">07/11/2025</t>
  </si>
  <si>
    <t xml:space="preserve">5400</t>
  </si>
  <si>
    <t xml:space="preserve">ORD-1347</t>
  </si>
  <si>
    <t xml:space="preserve">2025-01-05</t>
  </si>
  <si>
    <t xml:space="preserve">ORD-1348</t>
  </si>
  <si>
    <t xml:space="preserve">ORD-1349</t>
  </si>
  <si>
    <t xml:space="preserve">31-Dec-2025</t>
  </si>
  <si>
    <t xml:space="preserve">9,500.00</t>
  </si>
  <si>
    <t xml:space="preserve">ORD-1350</t>
  </si>
  <si>
    <t xml:space="preserve">11-Jul-2025</t>
  </si>
  <si>
    <t xml:space="preserve">07-Jan-2025</t>
  </si>
  <si>
    <t xml:space="preserve">zain raza</t>
  </si>
  <si>
    <t xml:space="preserve">ORD-1351</t>
  </si>
  <si>
    <t xml:space="preserve">2025-11-24</t>
  </si>
  <si>
    <t xml:space="preserve">ORD-1352</t>
  </si>
  <si>
    <t xml:space="preserve">27/11/2025</t>
  </si>
  <si>
    <t xml:space="preserve">ORD-1353</t>
  </si>
  <si>
    <t xml:space="preserve">09/11/2025</t>
  </si>
  <si>
    <t xml:space="preserve">ord-1354</t>
  </si>
  <si>
    <t xml:space="preserve">ahmed hussain</t>
  </si>
  <si>
    <t xml:space="preserve">ORD-1355</t>
  </si>
  <si>
    <t xml:space="preserve">2025-03-12</t>
  </si>
  <si>
    <t xml:space="preserve">Rs. 7,250</t>
  </si>
  <si>
    <t xml:space="preserve">ORD-1356</t>
  </si>
  <si>
    <t xml:space="preserve">2025-12-25</t>
  </si>
  <si>
    <t xml:space="preserve">Rs. 2,400</t>
  </si>
  <si>
    <t xml:space="preserve">ORD-1357</t>
  </si>
  <si>
    <t xml:space="preserve">ORD-1358</t>
  </si>
  <si>
    <t xml:space="preserve">03/03/2025</t>
  </si>
  <si>
    <t xml:space="preserve">Rs. 52,500</t>
  </si>
  <si>
    <t xml:space="preserve">ORD-1359</t>
  </si>
  <si>
    <t xml:space="preserve">08-May-2025</t>
  </si>
  <si>
    <t xml:space="preserve">3,800.00</t>
  </si>
  <si>
    <t xml:space="preserve">ORD-1360</t>
  </si>
  <si>
    <t xml:space="preserve">22/01/2025</t>
  </si>
  <si>
    <t xml:space="preserve">Rs. 9,450</t>
  </si>
  <si>
    <t xml:space="preserve">ORD-1361</t>
  </si>
  <si>
    <t xml:space="preserve">  Hamza Hussain </t>
  </si>
  <si>
    <t xml:space="preserve">5300</t>
  </si>
  <si>
    <t xml:space="preserve">ORD-1362</t>
  </si>
  <si>
    <t xml:space="preserve">3100</t>
  </si>
  <si>
    <t xml:space="preserve">ORD-1363</t>
  </si>
  <si>
    <t xml:space="preserve">ORD-1364</t>
  </si>
  <si>
    <t xml:space="preserve">25/03/2025</t>
  </si>
  <si>
    <t xml:space="preserve">ORD-1365</t>
  </si>
  <si>
    <t xml:space="preserve">2025-12-28</t>
  </si>
  <si>
    <t xml:space="preserve">  Ahmed Qureshi </t>
  </si>
  <si>
    <t xml:space="preserve">Rs. 9,400</t>
  </si>
  <si>
    <t xml:space="preserve">ord-1366</t>
  </si>
  <si>
    <t xml:space="preserve">Smart  Television 43 Inch</t>
  </si>
  <si>
    <t xml:space="preserve">PKR 52,850</t>
  </si>
  <si>
    <t xml:space="preserve">ORD-1367</t>
  </si>
  <si>
    <t xml:space="preserve">Hina  Siddiqui</t>
  </si>
  <si>
    <t xml:space="preserve">ORD-1368</t>
  </si>
  <si>
    <t xml:space="preserve">30-Mar-2025</t>
  </si>
  <si>
    <t xml:space="preserve">2025-03-18</t>
  </si>
  <si>
    <t xml:space="preserve">ORD-1369</t>
  </si>
  <si>
    <t xml:space="preserve">PKR 9,800</t>
  </si>
  <si>
    <t xml:space="preserve">ord-1370</t>
  </si>
  <si>
    <t xml:space="preserve">6650</t>
  </si>
  <si>
    <t xml:space="preserve">ORD-1371</t>
  </si>
  <si>
    <t xml:space="preserve">ord-1372</t>
  </si>
  <si>
    <t xml:space="preserve">27/01/2025</t>
  </si>
  <si>
    <t xml:space="preserve">bedsheet set</t>
  </si>
  <si>
    <t xml:space="preserve">5450</t>
  </si>
  <si>
    <t xml:space="preserve">ord-1373</t>
  </si>
  <si>
    <t xml:space="preserve">9400</t>
  </si>
  <si>
    <t xml:space="preserve">ORD-1374</t>
  </si>
  <si>
    <t xml:space="preserve">1200</t>
  </si>
  <si>
    <t xml:space="preserve">ORD-1375</t>
  </si>
  <si>
    <t xml:space="preserve">  Hyderabad </t>
  </si>
  <si>
    <t xml:space="preserve">PKR 52,950</t>
  </si>
  <si>
    <t xml:space="preserve">ORD-1376</t>
  </si>
  <si>
    <t xml:space="preserve">2025-07-22</t>
  </si>
  <si>
    <t xml:space="preserve">ORD-1377</t>
  </si>
  <si>
    <t xml:space="preserve">23/09/2025</t>
  </si>
  <si>
    <t xml:space="preserve">Sana  Siddiqui</t>
  </si>
  <si>
    <t xml:space="preserve">ORD-1378</t>
  </si>
  <si>
    <t xml:space="preserve">ORD-1379</t>
  </si>
  <si>
    <t xml:space="preserve">19/08/2025</t>
  </si>
  <si>
    <t xml:space="preserve">PKR 3,900</t>
  </si>
  <si>
    <t xml:space="preserve">ORD-1380</t>
  </si>
  <si>
    <t xml:space="preserve">PKR 10,200</t>
  </si>
  <si>
    <t xml:space="preserve">Order ID</t>
  </si>
  <si>
    <t xml:space="preserve">Order Date</t>
  </si>
  <si>
    <t xml:space="preserve">Customer Name</t>
  </si>
  <si>
    <t xml:space="preserve">Region</t>
  </si>
  <si>
    <t xml:space="preserve">City</t>
  </si>
  <si>
    <t xml:space="preserve">Product</t>
  </si>
  <si>
    <t xml:space="preserve">Quantity</t>
  </si>
  <si>
    <t xml:space="preserve">Unit Price (PKR)</t>
  </si>
  <si>
    <t xml:space="preserve">Discount %</t>
  </si>
  <si>
    <t xml:space="preserve">Sales Rep</t>
  </si>
  <si>
    <t xml:space="preserve">Payment Method</t>
  </si>
  <si>
    <t xml:space="preserve">Order Status</t>
  </si>
  <si>
    <t xml:space="preserve">Gross Sales (PKR)</t>
  </si>
  <si>
    <t xml:space="preserve">Discount Amount (PKR)</t>
  </si>
  <si>
    <t xml:space="preserve">Net Revenue (PKR)</t>
  </si>
  <si>
    <t xml:space="preserve">Order Month</t>
  </si>
  <si>
    <t xml:space="preserve">Row Status</t>
  </si>
  <si>
    <t xml:space="preserve">Issue Note</t>
  </si>
  <si>
    <t xml:space="preserve">Data Dictionary - Retail Sales &amp; Regional Performance</t>
  </si>
  <si>
    <t xml:space="preserve">Lookup: City to Region</t>
  </si>
  <si>
    <t xml:space="preserve">Column</t>
  </si>
  <si>
    <t xml:space="preserve">Data Type</t>
  </si>
  <si>
    <t xml:space="preserve">Problem in raw data</t>
  </si>
  <si>
    <t xml:space="preserve">What I did to clean it</t>
  </si>
  <si>
    <t xml:space="preserve">Text</t>
  </si>
  <si>
    <t xml:space="preserve">Mixed upper/lower case, extra spaces, repeated orders</t>
  </si>
  <si>
    <t xml:space="preserve">Removed spaces and made upper case (TRIM, UPPER)</t>
  </si>
  <si>
    <t xml:space="preserve">Date</t>
  </si>
  <si>
    <t xml:space="preserve">4 different date formats, some blanks</t>
  </si>
  <si>
    <t xml:space="preserve">Converted all to one date format using DATE; blanks left empty and flagged</t>
  </si>
  <si>
    <t xml:space="preserve">Wrong case, extra spaces, blanks</t>
  </si>
  <si>
    <t xml:space="preserve">TRIM and PROPER; blanks set to Unknown</t>
  </si>
  <si>
    <t xml:space="preserve">Spelling mistakes, short forms, blanks</t>
  </si>
  <si>
    <t xml:space="preserve">Matched to Punjab, Sindh, KPK, Balochistan; blanks filled from City using the lookup table</t>
  </si>
  <si>
    <t xml:space="preserve">Typos like Electronic, grocery, Clothes</t>
  </si>
  <si>
    <t xml:space="preserve">Matched to 5 standard categories; blanks set to Uncategorised</t>
  </si>
  <si>
    <t xml:space="preserve">Wrong case, extra spaces</t>
  </si>
  <si>
    <t xml:space="preserve">TRIM and PROPER</t>
  </si>
  <si>
    <t xml:space="preserve">Number</t>
  </si>
  <si>
    <t xml:space="preserve">Stored as text, negatives, N/A, words, blanks</t>
  </si>
  <si>
    <t xml:space="preserve">VALUE and ABS; unreadable values left empty and row flagged</t>
  </si>
  <si>
    <t xml:space="preserve">Rs. and PKR written in the cell, commas, N/A</t>
  </si>
  <si>
    <t xml:space="preserve">Removed Rs., PKR and commas with SUBSTITUTE, then VALUE</t>
  </si>
  <si>
    <t xml:space="preserve">Percentage</t>
  </si>
  <si>
    <t xml:space="preserve">Written as 10%, 0.1 or 10; some blanks</t>
  </si>
  <si>
    <t xml:space="preserve">Converted all to a percentage; blank treated as 0%</t>
  </si>
  <si>
    <t xml:space="preserve">TRIM and PROPER; blanks set to Unassigned</t>
  </si>
  <si>
    <t xml:space="preserve">Short forms like CC and DC, different case</t>
  </si>
  <si>
    <t xml:space="preserve">Matched to Credit Card, Debit Card, Cash, PayPal</t>
  </si>
  <si>
    <t xml:space="preserve">Spelling and case differences (canceled, COMPLETE)</t>
  </si>
  <si>
    <t xml:space="preserve">Matched to Completed, Returned, Cancelled, Pending</t>
  </si>
  <si>
    <t xml:space="preserve">New column</t>
  </si>
  <si>
    <t xml:space="preserve">Quantity x Unit Price</t>
  </si>
  <si>
    <t xml:space="preserve">Gross Sales x Discount %</t>
  </si>
  <si>
    <t xml:space="preserve">Gross Sales - Discount Amount</t>
  </si>
  <si>
    <t xml:space="preserve">First day of the order month, used for monthly trends</t>
  </si>
  <si>
    <t xml:space="preserve">Valid, Duplicate - Exclude or Invalid - Exclude</t>
  </si>
  <si>
    <t xml:space="preserve">Reason a row was excluded</t>
  </si>
  <si>
    <t xml:space="preserve">Cleaning Summary</t>
  </si>
  <si>
    <t xml:space="preserve">Total rows in raw data</t>
  </si>
  <si>
    <t xml:space="preserve">Valid rows</t>
  </si>
  <si>
    <t xml:space="preserve">Duplicate rows</t>
  </si>
  <si>
    <t xml:space="preserve">Invalid rows</t>
  </si>
  <si>
    <t xml:space="preserve">Blank regions filled from City</t>
  </si>
  <si>
    <t xml:space="preserve">Negative quantities corrected</t>
  </si>
  <si>
    <t xml:space="preserve">Total net revenue of valid rows (PKR)</t>
  </si>
  <si>
    <t xml:space="preserve">Assumptions</t>
  </si>
  <si>
    <t xml:space="preserve">1. First time an Order ID appears it is kept, later repeats are marked Duplicate. No rows were deleted.</t>
  </si>
  <si>
    <t xml:space="preserve">2. Negative quantities were treated as typing mistakes and made positive.</t>
  </si>
  <si>
    <t xml:space="preserve">3. Blank discount is treated as 0%.</t>
  </si>
  <si>
    <t xml:space="preserve">4. Rows with unreadable quantity, price or date are marked Invalid and left out of revenue totals.</t>
  </si>
  <si>
    <t xml:space="preserve">5. Returned and Cancelled orders are still in the data, check with the stakeholder if they should be excluded.</t>
  </si>
  <si>
    <t xml:space="preserve">6. All amounts are in PKR. The data is synthetic, made for practice.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</si>
</sst>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dd\-mmm\-yyyy"/>
    <numFmt numFmtId="167" formatCode="0"/>
    <numFmt numFmtId="168" formatCode="#,##0"/>
    <numFmt numFmtId="169" formatCode="0%"/>
    <numFmt numFmtId="170" formatCode="mmm\-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55A11"/>
        <bgColor rgb="FF8A5A00"/>
      </patternFill>
    </fill>
    <fill>
      <patternFill patternType="solid">
        <fgColor rgb="FFFDF3EA"/>
        <bgColor rgb="FFF1ECF8"/>
      </patternFill>
    </fill>
    <fill>
      <patternFill patternType="solid">
        <fgColor rgb="FF0F6B6B"/>
        <bgColor rgb="FF008080"/>
      </patternFill>
    </fill>
    <fill>
      <patternFill patternType="solid">
        <fgColor rgb="FF5B3A8C"/>
        <bgColor rgb="FF666699"/>
      </patternFill>
    </fill>
    <fill>
      <patternFill patternType="solid">
        <fgColor rgb="FFEAF5F3"/>
        <bgColor rgb="FFF1ECF8"/>
      </patternFill>
    </fill>
    <fill>
      <patternFill patternType="solid">
        <fgColor rgb="FFF1ECF8"/>
        <bgColor rgb="FFEAF5F3"/>
      </patternFill>
    </fill>
    <fill>
      <patternFill patternType="solid">
        <fgColor rgb="FFFFFFFF"/>
        <bgColor rgb="FFFD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C55A11"/>
          <bgColor rgb="FF000000"/>
        </patternFill>
      </fill>
    </dxf>
    <dxf>
      <fill>
        <patternFill patternType="solid">
          <fgColor rgb="FFFDF3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6B6B"/>
          <bgColor rgb="FF000000"/>
        </patternFill>
      </fill>
    </dxf>
    <dxf>
      <fill>
        <patternFill patternType="solid">
          <fgColor rgb="FFEAF5F3"/>
          <bgColor rgb="FF000000"/>
        </patternFill>
      </fill>
    </dxf>
    <dxf>
      <fill>
        <patternFill patternType="solid">
          <fgColor rgb="FF5B3A8C"/>
          <bgColor rgb="FF000000"/>
        </patternFill>
      </fill>
    </dxf>
    <dxf>
      <fill>
        <patternFill patternType="solid">
          <fgColor rgb="FFF1ECF8"/>
          <bgColor rgb="FF000000"/>
        </patternFill>
      </fill>
    </dxf>
    <dxf>
      <fill>
        <patternFill patternType="solid">
          <fgColor rgb="FFD5F0DC"/>
          <bgColor rgb="FF000000"/>
        </patternFill>
      </fill>
    </dxf>
    <dxf>
      <fill>
        <patternFill patternType="solid">
          <fgColor rgb="FFF8D4D4"/>
          <bgColor rgb="FF000000"/>
        </patternFill>
      </fill>
    </dxf>
    <dxf>
      <fill>
        <patternFill patternType="solid">
          <fgColor rgb="FFFFEFC2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9C1C1C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5F0DC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EFC2"/>
        </patternFill>
      </fill>
    </dxf>
    <dxf>
      <font>
        <name val="Arial"/>
        <charset val="1"/>
        <family val="0"/>
        <b val="1"/>
        <color rgb="FF9C1C1C"/>
      </font>
      <fill>
        <patternFill>
          <bgColor rgb="FFF8D4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8A5A00"/>
      <rgbColor rgb="FF800080"/>
      <rgbColor rgb="FF0F6B6B"/>
      <rgbColor rgb="FFC0C0C0"/>
      <rgbColor rgb="FF808080"/>
      <rgbColor rgb="FF9999FF"/>
      <rgbColor rgb="FF993366"/>
      <rgbColor rgb="FFFFEFC2"/>
      <rgbColor rgb="FFEAF5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CF8"/>
      <rgbColor rgb="FFD5F0DC"/>
      <rgbColor rgb="FFFDF3EA"/>
      <rgbColor rgb="FF99CCFF"/>
      <rgbColor rgb="FFFF99CC"/>
      <rgbColor rgb="FFCC99FF"/>
      <rgbColor rgb="FFF8D4D4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C1C1C"/>
      <rgbColor rgb="FF993366"/>
      <rgbColor rgb="FF5B3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M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7"/>
    <col collapsed="false" customWidth="true" hidden="false" outlineLevel="0" max="7" min="7" style="1" width="25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8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3" min="13" style="1" width="13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4" t="n">
        <v>45716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n">
        <v>2</v>
      </c>
      <c r="I2" s="3" t="s">
        <v>19</v>
      </c>
      <c r="J2" s="3"/>
      <c r="K2" s="3" t="s">
        <v>20</v>
      </c>
      <c r="L2" s="3" t="s">
        <v>21</v>
      </c>
      <c r="M2" s="3" t="s">
        <v>22</v>
      </c>
    </row>
    <row r="3" customFormat="false" ht="15" hidden="false" customHeight="tru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n">
        <v>6</v>
      </c>
      <c r="I3" s="5" t="s">
        <v>30</v>
      </c>
      <c r="J3" s="5"/>
      <c r="K3" s="5" t="s">
        <v>31</v>
      </c>
      <c r="L3" s="5" t="s">
        <v>32</v>
      </c>
      <c r="M3" s="5" t="s">
        <v>33</v>
      </c>
    </row>
    <row r="4" customFormat="false" ht="15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n">
        <v>0</v>
      </c>
      <c r="K4" s="3" t="s">
        <v>43</v>
      </c>
      <c r="L4" s="3" t="s">
        <v>44</v>
      </c>
      <c r="M4" s="3" t="s">
        <v>45</v>
      </c>
    </row>
    <row r="5" customFormat="false" ht="15" hidden="false" customHeight="true" outlineLevel="0" collapsed="false">
      <c r="A5" s="5" t="s">
        <v>46</v>
      </c>
      <c r="B5" s="5" t="s">
        <v>47</v>
      </c>
      <c r="C5" s="5" t="s">
        <v>48</v>
      </c>
      <c r="D5" s="5" t="s">
        <v>37</v>
      </c>
      <c r="E5" s="5" t="s">
        <v>49</v>
      </c>
      <c r="F5" s="5" t="s">
        <v>50</v>
      </c>
      <c r="G5" s="5" t="s">
        <v>51</v>
      </c>
      <c r="H5" s="5" t="s">
        <v>52</v>
      </c>
      <c r="I5" s="5" t="s">
        <v>53</v>
      </c>
      <c r="J5" s="5"/>
      <c r="K5" s="5" t="s">
        <v>54</v>
      </c>
      <c r="L5" s="5" t="s">
        <v>55</v>
      </c>
      <c r="M5" s="5" t="s">
        <v>45</v>
      </c>
    </row>
    <row r="6" customFormat="false" ht="15" hidden="false" customHeight="true" outlineLevel="0" collapsed="false">
      <c r="A6" s="3" t="s">
        <v>56</v>
      </c>
      <c r="B6" s="4" t="n">
        <v>46014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  <c r="H6" s="3" t="n">
        <v>6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33</v>
      </c>
    </row>
    <row r="7" customFormat="false" ht="15" hidden="false" customHeight="true" outlineLevel="0" collapsed="false">
      <c r="A7" s="5" t="s">
        <v>66</v>
      </c>
      <c r="B7" s="5" t="s">
        <v>67</v>
      </c>
      <c r="C7" s="5" t="s">
        <v>68</v>
      </c>
      <c r="D7" s="5" t="s">
        <v>69</v>
      </c>
      <c r="E7" s="5" t="s">
        <v>70</v>
      </c>
      <c r="F7" s="5" t="s">
        <v>71</v>
      </c>
      <c r="G7" s="5" t="s">
        <v>72</v>
      </c>
      <c r="H7" s="5" t="n">
        <v>3</v>
      </c>
      <c r="I7" s="5" t="s">
        <v>73</v>
      </c>
      <c r="J7" s="5" t="s">
        <v>74</v>
      </c>
      <c r="K7" s="5" t="s">
        <v>75</v>
      </c>
      <c r="L7" s="5" t="s">
        <v>76</v>
      </c>
      <c r="M7" s="5" t="s">
        <v>33</v>
      </c>
    </row>
    <row r="8" customFormat="false" ht="15" hidden="false" customHeight="true" outlineLevel="0" collapsed="false">
      <c r="A8" s="3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n">
        <v>0.05</v>
      </c>
      <c r="K8" s="3" t="s">
        <v>86</v>
      </c>
      <c r="L8" s="3" t="s">
        <v>44</v>
      </c>
      <c r="M8" s="3" t="s">
        <v>87</v>
      </c>
    </row>
    <row r="9" customFormat="false" ht="15" hidden="false" customHeight="true" outlineLevel="0" collapsed="false">
      <c r="A9" s="5" t="s">
        <v>88</v>
      </c>
      <c r="B9" s="6" t="n">
        <v>45810</v>
      </c>
      <c r="C9" s="5" t="s">
        <v>89</v>
      </c>
      <c r="D9" s="5" t="s">
        <v>90</v>
      </c>
      <c r="E9" s="5" t="s">
        <v>38</v>
      </c>
      <c r="F9" s="5" t="s">
        <v>91</v>
      </c>
      <c r="G9" s="5" t="s">
        <v>92</v>
      </c>
      <c r="H9" s="5" t="n">
        <v>1</v>
      </c>
      <c r="I9" s="5" t="s">
        <v>93</v>
      </c>
      <c r="J9" s="5" t="s">
        <v>94</v>
      </c>
      <c r="K9" s="5" t="s">
        <v>95</v>
      </c>
      <c r="L9" s="5" t="s">
        <v>96</v>
      </c>
      <c r="M9" s="5" t="s">
        <v>22</v>
      </c>
    </row>
    <row r="10" customFormat="false" ht="15" hidden="false" customHeight="true" outlineLevel="0" collapsed="false">
      <c r="A10" s="3" t="s">
        <v>97</v>
      </c>
      <c r="B10" s="4" t="n">
        <v>45937</v>
      </c>
      <c r="C10" s="3" t="s">
        <v>14</v>
      </c>
      <c r="D10" s="3" t="s">
        <v>98</v>
      </c>
      <c r="E10" s="3" t="s">
        <v>99</v>
      </c>
      <c r="F10" s="3" t="s">
        <v>60</v>
      </c>
      <c r="G10" s="3" t="s">
        <v>100</v>
      </c>
      <c r="H10" s="3" t="n">
        <v>4</v>
      </c>
      <c r="I10" s="3" t="s">
        <v>101</v>
      </c>
      <c r="J10" s="3"/>
      <c r="K10" s="3" t="s">
        <v>102</v>
      </c>
      <c r="L10" s="3" t="s">
        <v>103</v>
      </c>
      <c r="M10" s="3" t="s">
        <v>104</v>
      </c>
    </row>
    <row r="11" customFormat="false" ht="15" hidden="false" customHeight="true" outlineLevel="0" collapsed="false">
      <c r="A11" s="5" t="s">
        <v>105</v>
      </c>
      <c r="B11" s="5" t="s">
        <v>106</v>
      </c>
      <c r="C11" s="5" t="s">
        <v>107</v>
      </c>
      <c r="D11" s="5" t="s">
        <v>80</v>
      </c>
      <c r="E11" s="5" t="s">
        <v>108</v>
      </c>
      <c r="F11" s="5" t="s">
        <v>109</v>
      </c>
      <c r="G11" s="5" t="s">
        <v>110</v>
      </c>
      <c r="H11" s="5" t="s">
        <v>111</v>
      </c>
      <c r="I11" s="5" t="n">
        <v>1650</v>
      </c>
      <c r="J11" s="5" t="s">
        <v>112</v>
      </c>
      <c r="K11" s="5" t="s">
        <v>113</v>
      </c>
      <c r="L11" s="5" t="s">
        <v>114</v>
      </c>
      <c r="M11" s="5" t="s">
        <v>45</v>
      </c>
    </row>
    <row r="12" customFormat="false" ht="15" hidden="false" customHeight="true" outlineLevel="0" collapsed="false">
      <c r="A12" s="3" t="s">
        <v>115</v>
      </c>
      <c r="B12" s="4" t="n">
        <v>45872</v>
      </c>
      <c r="C12" s="3" t="s">
        <v>116</v>
      </c>
      <c r="D12" s="3" t="s">
        <v>98</v>
      </c>
      <c r="E12" s="3" t="s">
        <v>99</v>
      </c>
      <c r="F12" s="3" t="s">
        <v>82</v>
      </c>
      <c r="G12" s="3" t="s">
        <v>40</v>
      </c>
      <c r="H12" s="3" t="n">
        <v>3</v>
      </c>
      <c r="I12" s="3" t="s">
        <v>117</v>
      </c>
      <c r="J12" s="3" t="s">
        <v>118</v>
      </c>
      <c r="K12" s="3" t="s">
        <v>95</v>
      </c>
      <c r="L12" s="3" t="s">
        <v>114</v>
      </c>
      <c r="M12" s="3" t="s">
        <v>87</v>
      </c>
    </row>
    <row r="13" customFormat="false" ht="15" hidden="false" customHeight="true" outlineLevel="0" collapsed="false">
      <c r="A13" s="5" t="s">
        <v>119</v>
      </c>
      <c r="B13" s="5" t="s">
        <v>120</v>
      </c>
      <c r="C13" s="5" t="s">
        <v>121</v>
      </c>
      <c r="D13" s="5" t="s">
        <v>122</v>
      </c>
      <c r="E13" s="5" t="s">
        <v>99</v>
      </c>
      <c r="F13" s="5" t="s">
        <v>123</v>
      </c>
      <c r="G13" s="5" t="s">
        <v>124</v>
      </c>
      <c r="H13" s="5" t="n">
        <v>2</v>
      </c>
      <c r="I13" s="5" t="s">
        <v>125</v>
      </c>
      <c r="J13" s="5" t="s">
        <v>112</v>
      </c>
      <c r="K13" s="5" t="s">
        <v>75</v>
      </c>
      <c r="L13" s="5" t="s">
        <v>103</v>
      </c>
      <c r="M13" s="5" t="s">
        <v>45</v>
      </c>
    </row>
    <row r="14" customFormat="false" ht="15" hidden="false" customHeight="true" outlineLevel="0" collapsed="false">
      <c r="A14" s="3" t="s">
        <v>126</v>
      </c>
      <c r="B14" s="3" t="s">
        <v>127</v>
      </c>
      <c r="C14" s="3" t="s">
        <v>128</v>
      </c>
      <c r="D14" s="3" t="s">
        <v>129</v>
      </c>
      <c r="E14" s="3" t="s">
        <v>130</v>
      </c>
      <c r="F14" s="3" t="s">
        <v>131</v>
      </c>
      <c r="G14" s="3" t="s">
        <v>132</v>
      </c>
      <c r="H14" s="3" t="n">
        <v>4</v>
      </c>
      <c r="I14" s="3" t="n">
        <v>7200</v>
      </c>
      <c r="J14" s="3" t="n">
        <v>0</v>
      </c>
      <c r="K14" s="3" t="s">
        <v>133</v>
      </c>
      <c r="L14" s="3" t="s">
        <v>32</v>
      </c>
      <c r="M14" s="3" t="s">
        <v>33</v>
      </c>
    </row>
    <row r="15" customFormat="false" ht="15" hidden="false" customHeight="true" outlineLevel="0" collapsed="false">
      <c r="A15" s="5" t="s">
        <v>134</v>
      </c>
      <c r="B15" s="5" t="s">
        <v>135</v>
      </c>
      <c r="C15" s="5" t="s">
        <v>136</v>
      </c>
      <c r="D15" s="5" t="s">
        <v>90</v>
      </c>
      <c r="E15" s="5" t="s">
        <v>38</v>
      </c>
      <c r="F15" s="5"/>
      <c r="G15" s="5" t="s">
        <v>137</v>
      </c>
      <c r="H15" s="5" t="n">
        <v>4</v>
      </c>
      <c r="I15" s="5"/>
      <c r="J15" s="5"/>
      <c r="K15" s="5" t="s">
        <v>75</v>
      </c>
      <c r="L15" s="5" t="s">
        <v>55</v>
      </c>
      <c r="M15" s="5" t="s">
        <v>87</v>
      </c>
    </row>
    <row r="16" customFormat="false" ht="15" hidden="false" customHeight="true" outlineLevel="0" collapsed="false">
      <c r="A16" s="3" t="s">
        <v>138</v>
      </c>
      <c r="B16" s="4" t="n">
        <v>45825</v>
      </c>
      <c r="C16" s="3" t="s">
        <v>139</v>
      </c>
      <c r="D16" s="3" t="s">
        <v>80</v>
      </c>
      <c r="E16" s="3" t="s">
        <v>140</v>
      </c>
      <c r="F16" s="3" t="s">
        <v>141</v>
      </c>
      <c r="G16" s="3" t="s">
        <v>61</v>
      </c>
      <c r="H16" s="3" t="n">
        <v>4</v>
      </c>
      <c r="I16" s="3" t="s">
        <v>142</v>
      </c>
      <c r="J16" s="3" t="n">
        <v>0.05</v>
      </c>
      <c r="K16" s="3" t="s">
        <v>143</v>
      </c>
      <c r="L16" s="3" t="s">
        <v>32</v>
      </c>
      <c r="M16" s="3" t="s">
        <v>22</v>
      </c>
    </row>
    <row r="17" customFormat="false" ht="15" hidden="false" customHeight="true" outlineLevel="0" collapsed="false">
      <c r="A17" s="5" t="s">
        <v>144</v>
      </c>
      <c r="B17" s="6" t="n">
        <v>45880</v>
      </c>
      <c r="C17" s="5" t="s">
        <v>145</v>
      </c>
      <c r="D17" s="5" t="s">
        <v>146</v>
      </c>
      <c r="E17" s="5" t="s">
        <v>16</v>
      </c>
      <c r="F17" s="5" t="s">
        <v>147</v>
      </c>
      <c r="G17" s="5" t="s">
        <v>148</v>
      </c>
      <c r="H17" s="5" t="s">
        <v>84</v>
      </c>
      <c r="I17" s="5" t="s">
        <v>149</v>
      </c>
      <c r="J17" s="5"/>
      <c r="K17" s="5" t="s">
        <v>150</v>
      </c>
      <c r="L17" s="5" t="s">
        <v>151</v>
      </c>
      <c r="M17" s="5" t="s">
        <v>152</v>
      </c>
    </row>
    <row r="18" customFormat="false" ht="15" hidden="false" customHeight="true" outlineLevel="0" collapsed="false">
      <c r="A18" s="3" t="s">
        <v>153</v>
      </c>
      <c r="B18" s="4" t="n">
        <v>45933</v>
      </c>
      <c r="C18" s="3" t="s">
        <v>154</v>
      </c>
      <c r="D18" s="3" t="s">
        <v>155</v>
      </c>
      <c r="E18" s="3" t="s">
        <v>99</v>
      </c>
      <c r="F18" s="3" t="s">
        <v>39</v>
      </c>
      <c r="G18" s="3" t="s">
        <v>156</v>
      </c>
      <c r="H18" s="3" t="s">
        <v>157</v>
      </c>
      <c r="I18" s="3" t="s">
        <v>158</v>
      </c>
      <c r="J18" s="3" t="s">
        <v>63</v>
      </c>
      <c r="K18" s="3" t="s">
        <v>64</v>
      </c>
      <c r="L18" s="3" t="s">
        <v>65</v>
      </c>
      <c r="M18" s="3" t="s">
        <v>87</v>
      </c>
    </row>
    <row r="19" customFormat="false" ht="15" hidden="false" customHeight="true" outlineLevel="0" collapsed="false">
      <c r="A19" s="5" t="s">
        <v>159</v>
      </c>
      <c r="B19" s="6" t="n">
        <v>45719</v>
      </c>
      <c r="C19" s="5" t="s">
        <v>160</v>
      </c>
      <c r="D19" s="5" t="s">
        <v>161</v>
      </c>
      <c r="E19" s="5" t="s">
        <v>162</v>
      </c>
      <c r="F19" s="5" t="s">
        <v>163</v>
      </c>
      <c r="G19" s="5" t="s">
        <v>164</v>
      </c>
      <c r="H19" s="5" t="n">
        <v>1</v>
      </c>
      <c r="I19" s="5" t="n">
        <v>1600</v>
      </c>
      <c r="J19" s="5"/>
      <c r="K19" s="5" t="s">
        <v>165</v>
      </c>
      <c r="L19" s="5" t="s">
        <v>114</v>
      </c>
      <c r="M19" s="5" t="s">
        <v>33</v>
      </c>
    </row>
    <row r="20" customFormat="false" ht="15" hidden="false" customHeight="true" outlineLevel="0" collapsed="false">
      <c r="A20" s="3" t="s">
        <v>166</v>
      </c>
      <c r="B20" s="3" t="s">
        <v>167</v>
      </c>
      <c r="C20" s="3" t="s">
        <v>168</v>
      </c>
      <c r="D20" s="3" t="s">
        <v>169</v>
      </c>
      <c r="E20" s="3" t="s">
        <v>38</v>
      </c>
      <c r="F20" s="3" t="s">
        <v>170</v>
      </c>
      <c r="G20" s="3" t="s">
        <v>171</v>
      </c>
      <c r="H20" s="3" t="n">
        <v>2</v>
      </c>
      <c r="I20" s="3" t="s">
        <v>172</v>
      </c>
      <c r="J20" s="3"/>
      <c r="K20" s="3" t="s">
        <v>173</v>
      </c>
      <c r="L20" s="3" t="s">
        <v>96</v>
      </c>
      <c r="M20" s="3" t="s">
        <v>174</v>
      </c>
    </row>
    <row r="21" customFormat="false" ht="15" hidden="false" customHeight="true" outlineLevel="0" collapsed="false">
      <c r="A21" s="5" t="s">
        <v>175</v>
      </c>
      <c r="B21" s="6" t="n">
        <v>45726</v>
      </c>
      <c r="C21" s="5" t="s">
        <v>176</v>
      </c>
      <c r="D21" s="5" t="s">
        <v>122</v>
      </c>
      <c r="E21" s="5" t="s">
        <v>99</v>
      </c>
      <c r="F21" s="5" t="s">
        <v>170</v>
      </c>
      <c r="G21" s="5" t="s">
        <v>177</v>
      </c>
      <c r="H21" s="5" t="s">
        <v>178</v>
      </c>
      <c r="I21" s="5" t="s">
        <v>179</v>
      </c>
      <c r="J21" s="5" t="s">
        <v>118</v>
      </c>
      <c r="K21" s="5" t="s">
        <v>95</v>
      </c>
      <c r="L21" s="5" t="s">
        <v>151</v>
      </c>
      <c r="M21" s="5" t="s">
        <v>174</v>
      </c>
    </row>
    <row r="22" customFormat="false" ht="15" hidden="false" customHeight="true" outlineLevel="0" collapsed="false">
      <c r="A22" s="3" t="s">
        <v>180</v>
      </c>
      <c r="B22" s="3" t="s">
        <v>181</v>
      </c>
      <c r="C22" s="3" t="s">
        <v>182</v>
      </c>
      <c r="D22" s="3" t="s">
        <v>58</v>
      </c>
      <c r="E22" s="3" t="s">
        <v>183</v>
      </c>
      <c r="F22" s="3" t="s">
        <v>50</v>
      </c>
      <c r="G22" s="3" t="s">
        <v>83</v>
      </c>
      <c r="H22" s="3" t="s">
        <v>84</v>
      </c>
      <c r="I22" s="3" t="n">
        <v>7200</v>
      </c>
      <c r="J22" s="3"/>
      <c r="K22" s="3" t="s">
        <v>95</v>
      </c>
      <c r="L22" s="3" t="s">
        <v>44</v>
      </c>
      <c r="M22" s="3" t="s">
        <v>104</v>
      </c>
    </row>
    <row r="23" customFormat="false" ht="15" hidden="false" customHeight="true" outlineLevel="0" collapsed="false">
      <c r="A23" s="5" t="s">
        <v>184</v>
      </c>
      <c r="B23" s="6" t="n">
        <v>45920</v>
      </c>
      <c r="C23" s="5" t="s">
        <v>185</v>
      </c>
      <c r="D23" s="5" t="s">
        <v>26</v>
      </c>
      <c r="E23" s="5" t="s">
        <v>186</v>
      </c>
      <c r="F23" s="5" t="s">
        <v>147</v>
      </c>
      <c r="G23" s="5" t="s">
        <v>187</v>
      </c>
      <c r="H23" s="5"/>
      <c r="I23" s="5" t="n">
        <v>1200</v>
      </c>
      <c r="J23" s="5" t="s">
        <v>188</v>
      </c>
      <c r="K23" s="5" t="s">
        <v>64</v>
      </c>
      <c r="L23" s="5" t="s">
        <v>32</v>
      </c>
      <c r="M23" s="5" t="s">
        <v>45</v>
      </c>
    </row>
    <row r="24" customFormat="false" ht="15" hidden="false" customHeight="true" outlineLevel="0" collapsed="false">
      <c r="A24" s="3" t="s">
        <v>189</v>
      </c>
      <c r="B24" s="3" t="s">
        <v>190</v>
      </c>
      <c r="C24" s="3" t="s">
        <v>191</v>
      </c>
      <c r="D24" s="3" t="s">
        <v>129</v>
      </c>
      <c r="E24" s="3" t="s">
        <v>192</v>
      </c>
      <c r="F24" s="3" t="s">
        <v>71</v>
      </c>
      <c r="G24" s="3" t="s">
        <v>137</v>
      </c>
      <c r="H24" s="3" t="n">
        <v>3</v>
      </c>
      <c r="I24" s="3" t="s">
        <v>193</v>
      </c>
      <c r="J24" s="3" t="s">
        <v>112</v>
      </c>
      <c r="K24" s="3" t="s">
        <v>95</v>
      </c>
      <c r="L24" s="3" t="s">
        <v>194</v>
      </c>
      <c r="M24" s="3" t="s">
        <v>33</v>
      </c>
    </row>
    <row r="25" customFormat="false" ht="15" hidden="false" customHeight="true" outlineLevel="0" collapsed="false">
      <c r="A25" s="5" t="s">
        <v>195</v>
      </c>
      <c r="B25" s="6" t="n">
        <v>45722</v>
      </c>
      <c r="C25" s="5" t="s">
        <v>196</v>
      </c>
      <c r="D25" s="5" t="s">
        <v>122</v>
      </c>
      <c r="E25" s="5" t="s">
        <v>197</v>
      </c>
      <c r="F25" s="5" t="s">
        <v>170</v>
      </c>
      <c r="G25" s="5" t="s">
        <v>198</v>
      </c>
      <c r="H25" s="5" t="s">
        <v>111</v>
      </c>
      <c r="I25" s="5" t="n">
        <v>9800</v>
      </c>
      <c r="J25" s="5" t="n">
        <v>0.1</v>
      </c>
      <c r="K25" s="5" t="s">
        <v>75</v>
      </c>
      <c r="L25" s="5" t="s">
        <v>55</v>
      </c>
      <c r="M25" s="5" t="s">
        <v>45</v>
      </c>
    </row>
    <row r="26" customFormat="false" ht="15" hidden="false" customHeight="true" outlineLevel="0" collapsed="false">
      <c r="A26" s="3" t="s">
        <v>199</v>
      </c>
      <c r="B26" s="4" t="n">
        <v>45883</v>
      </c>
      <c r="C26" s="3" t="s">
        <v>200</v>
      </c>
      <c r="D26" s="3" t="s">
        <v>37</v>
      </c>
      <c r="E26" s="3" t="s">
        <v>38</v>
      </c>
      <c r="F26" s="3" t="s">
        <v>39</v>
      </c>
      <c r="G26" s="3" t="s">
        <v>51</v>
      </c>
      <c r="H26" s="3" t="s">
        <v>52</v>
      </c>
      <c r="I26" s="3" t="s">
        <v>42</v>
      </c>
      <c r="J26" s="3"/>
      <c r="K26" s="3" t="s">
        <v>102</v>
      </c>
      <c r="L26" s="3" t="s">
        <v>114</v>
      </c>
      <c r="M26" s="3" t="s">
        <v>33</v>
      </c>
    </row>
    <row r="27" customFormat="false" ht="15" hidden="false" customHeight="true" outlineLevel="0" collapsed="false">
      <c r="A27" s="5" t="s">
        <v>201</v>
      </c>
      <c r="B27" s="5" t="s">
        <v>202</v>
      </c>
      <c r="C27" s="5" t="s">
        <v>203</v>
      </c>
      <c r="D27" s="5"/>
      <c r="E27" s="5" t="s">
        <v>108</v>
      </c>
      <c r="F27" s="5" t="s">
        <v>204</v>
      </c>
      <c r="G27" s="5" t="s">
        <v>205</v>
      </c>
      <c r="H27" s="5" t="s">
        <v>206</v>
      </c>
      <c r="I27" s="5" t="n">
        <v>1250</v>
      </c>
      <c r="J27" s="5"/>
      <c r="K27" s="5" t="s">
        <v>95</v>
      </c>
      <c r="L27" s="5" t="s">
        <v>103</v>
      </c>
      <c r="M27" s="5" t="s">
        <v>22</v>
      </c>
    </row>
    <row r="28" customFormat="false" ht="15" hidden="false" customHeight="true" outlineLevel="0" collapsed="false">
      <c r="A28" s="3" t="s">
        <v>207</v>
      </c>
      <c r="B28" s="3" t="s">
        <v>208</v>
      </c>
      <c r="C28" s="3" t="s">
        <v>209</v>
      </c>
      <c r="D28" s="3" t="s">
        <v>122</v>
      </c>
      <c r="E28" s="3" t="s">
        <v>210</v>
      </c>
      <c r="F28" s="3" t="s">
        <v>39</v>
      </c>
      <c r="G28" s="3" t="s">
        <v>211</v>
      </c>
      <c r="H28" s="3" t="n">
        <v>2</v>
      </c>
      <c r="I28" s="3" t="s">
        <v>212</v>
      </c>
      <c r="J28" s="3" t="s">
        <v>94</v>
      </c>
      <c r="K28" s="3" t="s">
        <v>43</v>
      </c>
      <c r="L28" s="3" t="s">
        <v>21</v>
      </c>
      <c r="M28" s="3" t="s">
        <v>22</v>
      </c>
    </row>
    <row r="29" customFormat="false" ht="15" hidden="false" customHeight="true" outlineLevel="0" collapsed="false">
      <c r="A29" s="5" t="s">
        <v>213</v>
      </c>
      <c r="B29" s="6" t="n">
        <v>46004</v>
      </c>
      <c r="C29" s="5" t="s">
        <v>14</v>
      </c>
      <c r="D29" s="5" t="s">
        <v>155</v>
      </c>
      <c r="E29" s="5" t="s">
        <v>99</v>
      </c>
      <c r="F29" s="5" t="s">
        <v>50</v>
      </c>
      <c r="G29" s="5" t="s">
        <v>214</v>
      </c>
      <c r="H29" s="5" t="n">
        <v>3</v>
      </c>
      <c r="I29" s="5" t="n">
        <v>7200</v>
      </c>
      <c r="J29" s="5" t="s">
        <v>112</v>
      </c>
      <c r="K29" s="5" t="s">
        <v>95</v>
      </c>
      <c r="L29" s="5" t="s">
        <v>215</v>
      </c>
      <c r="M29" s="5" t="s">
        <v>33</v>
      </c>
    </row>
    <row r="30" customFormat="false" ht="15" hidden="false" customHeight="true" outlineLevel="0" collapsed="false">
      <c r="A30" s="3" t="s">
        <v>216</v>
      </c>
      <c r="B30" s="4" t="n">
        <v>45836</v>
      </c>
      <c r="C30" s="3" t="s">
        <v>217</v>
      </c>
      <c r="D30" s="3" t="s">
        <v>90</v>
      </c>
      <c r="E30" s="3" t="s">
        <v>38</v>
      </c>
      <c r="F30" s="3" t="s">
        <v>91</v>
      </c>
      <c r="G30" s="3" t="s">
        <v>218</v>
      </c>
      <c r="H30" s="3" t="n">
        <v>3</v>
      </c>
      <c r="I30" s="3" t="n">
        <v>9250</v>
      </c>
      <c r="J30" s="3"/>
      <c r="K30" s="3" t="s">
        <v>64</v>
      </c>
      <c r="L30" s="3" t="s">
        <v>114</v>
      </c>
      <c r="M30" s="3" t="s">
        <v>33</v>
      </c>
    </row>
    <row r="31" customFormat="false" ht="15" hidden="false" customHeight="true" outlineLevel="0" collapsed="false">
      <c r="A31" s="5" t="s">
        <v>219</v>
      </c>
      <c r="B31" s="6" t="n">
        <v>45881</v>
      </c>
      <c r="C31" s="5" t="s">
        <v>220</v>
      </c>
      <c r="D31" s="5" t="s">
        <v>80</v>
      </c>
      <c r="E31" s="5" t="s">
        <v>221</v>
      </c>
      <c r="F31" s="5" t="s">
        <v>82</v>
      </c>
      <c r="G31" s="5" t="s">
        <v>222</v>
      </c>
      <c r="H31" s="5"/>
      <c r="I31" s="5" t="n">
        <v>5300</v>
      </c>
      <c r="J31" s="5" t="s">
        <v>74</v>
      </c>
      <c r="K31" s="5" t="s">
        <v>102</v>
      </c>
      <c r="L31" s="5" t="s">
        <v>65</v>
      </c>
      <c r="M31" s="5" t="s">
        <v>22</v>
      </c>
    </row>
    <row r="32" customFormat="false" ht="15" hidden="false" customHeight="true" outlineLevel="0" collapsed="false">
      <c r="A32" s="3" t="s">
        <v>223</v>
      </c>
      <c r="B32" s="3" t="s">
        <v>224</v>
      </c>
      <c r="C32" s="3" t="s">
        <v>225</v>
      </c>
      <c r="D32" s="3" t="s">
        <v>155</v>
      </c>
      <c r="E32" s="3" t="s">
        <v>108</v>
      </c>
      <c r="F32" s="3" t="s">
        <v>91</v>
      </c>
      <c r="G32" s="3" t="s">
        <v>226</v>
      </c>
      <c r="H32" s="3" t="s">
        <v>41</v>
      </c>
      <c r="I32" s="3" t="s">
        <v>227</v>
      </c>
      <c r="J32" s="3"/>
      <c r="K32" s="3" t="s">
        <v>86</v>
      </c>
      <c r="L32" s="3" t="s">
        <v>44</v>
      </c>
      <c r="M32" s="3" t="s">
        <v>87</v>
      </c>
    </row>
    <row r="33" customFormat="false" ht="15" hidden="false" customHeight="true" outlineLevel="0" collapsed="false">
      <c r="A33" s="5" t="s">
        <v>228</v>
      </c>
      <c r="B33" s="5" t="s">
        <v>229</v>
      </c>
      <c r="C33" s="5" t="s">
        <v>128</v>
      </c>
      <c r="D33" s="5"/>
      <c r="E33" s="5" t="s">
        <v>183</v>
      </c>
      <c r="F33" s="5" t="s">
        <v>230</v>
      </c>
      <c r="G33" s="5" t="s">
        <v>231</v>
      </c>
      <c r="H33" s="5" t="n">
        <v>2</v>
      </c>
      <c r="I33" s="5" t="s">
        <v>232</v>
      </c>
      <c r="J33" s="5"/>
      <c r="K33" s="5" t="s">
        <v>64</v>
      </c>
      <c r="L33" s="5" t="s">
        <v>103</v>
      </c>
      <c r="M33" s="5" t="s">
        <v>22</v>
      </c>
    </row>
    <row r="34" customFormat="false" ht="15" hidden="false" customHeight="true" outlineLevel="0" collapsed="false">
      <c r="A34" s="3" t="s">
        <v>233</v>
      </c>
      <c r="B34" s="3" t="s">
        <v>234</v>
      </c>
      <c r="C34" s="3" t="s">
        <v>235</v>
      </c>
      <c r="D34" s="3" t="s">
        <v>236</v>
      </c>
      <c r="E34" s="3" t="s">
        <v>237</v>
      </c>
      <c r="F34" s="3" t="s">
        <v>230</v>
      </c>
      <c r="G34" s="3" t="s">
        <v>238</v>
      </c>
      <c r="H34" s="3" t="s">
        <v>239</v>
      </c>
      <c r="I34" s="3" t="s">
        <v>240</v>
      </c>
      <c r="J34" s="3" t="s">
        <v>241</v>
      </c>
      <c r="K34" s="3" t="s">
        <v>64</v>
      </c>
      <c r="L34" s="3" t="s">
        <v>103</v>
      </c>
      <c r="M34" s="3" t="s">
        <v>242</v>
      </c>
    </row>
    <row r="35" customFormat="false" ht="15" hidden="false" customHeight="true" outlineLevel="0" collapsed="false">
      <c r="A35" s="5" t="s">
        <v>243</v>
      </c>
      <c r="B35" s="5" t="s">
        <v>244</v>
      </c>
      <c r="C35" s="5" t="s">
        <v>245</v>
      </c>
      <c r="D35" s="5" t="s">
        <v>15</v>
      </c>
      <c r="E35" s="5" t="s">
        <v>246</v>
      </c>
      <c r="F35" s="5" t="s">
        <v>163</v>
      </c>
      <c r="G35" s="5" t="s">
        <v>247</v>
      </c>
      <c r="H35" s="5" t="s">
        <v>52</v>
      </c>
      <c r="I35" s="5" t="n">
        <v>2250</v>
      </c>
      <c r="J35" s="5" t="s">
        <v>248</v>
      </c>
      <c r="K35" s="5" t="s">
        <v>43</v>
      </c>
      <c r="L35" s="5" t="s">
        <v>32</v>
      </c>
      <c r="M35" s="5" t="s">
        <v>45</v>
      </c>
    </row>
    <row r="36" customFormat="false" ht="15" hidden="false" customHeight="true" outlineLevel="0" collapsed="false">
      <c r="A36" s="3" t="s">
        <v>249</v>
      </c>
      <c r="B36" s="4" t="n">
        <v>45872</v>
      </c>
      <c r="C36" s="3" t="s">
        <v>250</v>
      </c>
      <c r="D36" s="3" t="s">
        <v>122</v>
      </c>
      <c r="E36" s="3" t="s">
        <v>99</v>
      </c>
      <c r="F36" s="3" t="s">
        <v>60</v>
      </c>
      <c r="G36" s="3" t="s">
        <v>251</v>
      </c>
      <c r="H36" s="3" t="n">
        <v>1</v>
      </c>
      <c r="I36" s="3" t="s">
        <v>252</v>
      </c>
      <c r="J36" s="3" t="s">
        <v>112</v>
      </c>
      <c r="K36" s="3" t="s">
        <v>31</v>
      </c>
      <c r="L36" s="3" t="s">
        <v>194</v>
      </c>
      <c r="M36" s="3" t="s">
        <v>33</v>
      </c>
    </row>
    <row r="37" customFormat="false" ht="15" hidden="false" customHeight="true" outlineLevel="0" collapsed="false">
      <c r="A37" s="5" t="s">
        <v>253</v>
      </c>
      <c r="B37" s="6" t="n">
        <v>45919</v>
      </c>
      <c r="C37" s="5" t="s">
        <v>245</v>
      </c>
      <c r="D37" s="5" t="s">
        <v>80</v>
      </c>
      <c r="E37" s="5" t="s">
        <v>254</v>
      </c>
      <c r="F37" s="5" t="s">
        <v>147</v>
      </c>
      <c r="G37" s="5" t="s">
        <v>255</v>
      </c>
      <c r="H37" s="5"/>
      <c r="I37" s="5" t="s">
        <v>256</v>
      </c>
      <c r="J37" s="5" t="s">
        <v>63</v>
      </c>
      <c r="K37" s="5" t="s">
        <v>64</v>
      </c>
      <c r="L37" s="5" t="s">
        <v>151</v>
      </c>
      <c r="M37" s="5" t="s">
        <v>22</v>
      </c>
    </row>
    <row r="38" customFormat="false" ht="15" hidden="false" customHeight="true" outlineLevel="0" collapsed="false">
      <c r="A38" s="3" t="s">
        <v>257</v>
      </c>
      <c r="B38" s="3" t="s">
        <v>258</v>
      </c>
      <c r="C38" s="3" t="s">
        <v>259</v>
      </c>
      <c r="D38" s="3" t="s">
        <v>122</v>
      </c>
      <c r="E38" s="3" t="s">
        <v>260</v>
      </c>
      <c r="F38" s="3" t="s">
        <v>261</v>
      </c>
      <c r="G38" s="3" t="s">
        <v>262</v>
      </c>
      <c r="H38" s="3" t="s">
        <v>84</v>
      </c>
      <c r="I38" s="3" t="n">
        <v>850</v>
      </c>
      <c r="J38" s="3"/>
      <c r="K38" s="3" t="s">
        <v>64</v>
      </c>
      <c r="L38" s="3" t="s">
        <v>215</v>
      </c>
      <c r="M38" s="3" t="s">
        <v>33</v>
      </c>
    </row>
    <row r="39" customFormat="false" ht="15" hidden="false" customHeight="true" outlineLevel="0" collapsed="false">
      <c r="A39" s="5" t="s">
        <v>263</v>
      </c>
      <c r="B39" s="6" t="n">
        <v>45696</v>
      </c>
      <c r="C39" s="5" t="s">
        <v>264</v>
      </c>
      <c r="D39" s="5" t="s">
        <v>122</v>
      </c>
      <c r="E39" s="5" t="s">
        <v>197</v>
      </c>
      <c r="F39" s="5" t="s">
        <v>60</v>
      </c>
      <c r="G39" s="5" t="s">
        <v>265</v>
      </c>
      <c r="H39" s="5" t="n">
        <v>1</v>
      </c>
      <c r="I39" s="5" t="s">
        <v>266</v>
      </c>
      <c r="J39" s="5" t="s">
        <v>118</v>
      </c>
      <c r="K39" s="5" t="s">
        <v>267</v>
      </c>
      <c r="L39" s="5" t="s">
        <v>21</v>
      </c>
      <c r="M39" s="5" t="s">
        <v>268</v>
      </c>
    </row>
    <row r="40" customFormat="false" ht="15" hidden="false" customHeight="true" outlineLevel="0" collapsed="false">
      <c r="A40" s="3" t="s">
        <v>269</v>
      </c>
      <c r="B40" s="4" t="n">
        <v>45989</v>
      </c>
      <c r="C40" s="3" t="s">
        <v>270</v>
      </c>
      <c r="D40" s="3" t="s">
        <v>122</v>
      </c>
      <c r="E40" s="3" t="s">
        <v>221</v>
      </c>
      <c r="F40" s="3" t="s">
        <v>230</v>
      </c>
      <c r="G40" s="3" t="s">
        <v>238</v>
      </c>
      <c r="H40" s="3" t="s">
        <v>271</v>
      </c>
      <c r="I40" s="3" t="n">
        <v>7100</v>
      </c>
      <c r="J40" s="3" t="s">
        <v>272</v>
      </c>
      <c r="K40" s="3" t="s">
        <v>273</v>
      </c>
      <c r="L40" s="3" t="s">
        <v>21</v>
      </c>
      <c r="M40" s="3" t="s">
        <v>87</v>
      </c>
    </row>
    <row r="41" customFormat="false" ht="15" hidden="false" customHeight="true" outlineLevel="0" collapsed="false">
      <c r="A41" s="5" t="s">
        <v>274</v>
      </c>
      <c r="B41" s="5" t="s">
        <v>275</v>
      </c>
      <c r="C41" s="5" t="s">
        <v>276</v>
      </c>
      <c r="D41" s="5" t="s">
        <v>161</v>
      </c>
      <c r="E41" s="5" t="s">
        <v>99</v>
      </c>
      <c r="F41" s="5" t="s">
        <v>147</v>
      </c>
      <c r="G41" s="5" t="s">
        <v>29</v>
      </c>
      <c r="H41" s="5" t="n">
        <v>1</v>
      </c>
      <c r="I41" s="5" t="s">
        <v>277</v>
      </c>
      <c r="J41" s="5" t="s">
        <v>112</v>
      </c>
      <c r="K41" s="5" t="s">
        <v>173</v>
      </c>
      <c r="L41" s="5" t="s">
        <v>278</v>
      </c>
      <c r="M41" s="5" t="s">
        <v>22</v>
      </c>
    </row>
    <row r="42" customFormat="false" ht="15" hidden="false" customHeight="true" outlineLevel="0" collapsed="false">
      <c r="A42" s="3" t="s">
        <v>279</v>
      </c>
      <c r="B42" s="3" t="s">
        <v>280</v>
      </c>
      <c r="C42" s="3" t="s">
        <v>281</v>
      </c>
      <c r="D42" s="3" t="s">
        <v>155</v>
      </c>
      <c r="E42" s="3" t="s">
        <v>282</v>
      </c>
      <c r="F42" s="3" t="s">
        <v>28</v>
      </c>
      <c r="G42" s="3" t="s">
        <v>283</v>
      </c>
      <c r="H42" s="3" t="s">
        <v>284</v>
      </c>
      <c r="I42" s="3" t="s">
        <v>285</v>
      </c>
      <c r="J42" s="3" t="n">
        <v>0.1</v>
      </c>
      <c r="K42" s="3" t="s">
        <v>75</v>
      </c>
      <c r="L42" s="3" t="s">
        <v>21</v>
      </c>
      <c r="M42" s="3" t="s">
        <v>45</v>
      </c>
    </row>
    <row r="43" customFormat="false" ht="15" hidden="false" customHeight="true" outlineLevel="0" collapsed="false">
      <c r="A43" s="5" t="s">
        <v>286</v>
      </c>
      <c r="B43" s="6" t="n">
        <v>45967</v>
      </c>
      <c r="C43" s="5"/>
      <c r="D43" s="5"/>
      <c r="E43" s="5" t="s">
        <v>287</v>
      </c>
      <c r="F43" s="5" t="s">
        <v>91</v>
      </c>
      <c r="G43" s="5" t="s">
        <v>29</v>
      </c>
      <c r="H43" s="5" t="s">
        <v>239</v>
      </c>
      <c r="I43" s="5"/>
      <c r="J43" s="5" t="s">
        <v>288</v>
      </c>
      <c r="K43" s="5" t="s">
        <v>289</v>
      </c>
      <c r="L43" s="5" t="s">
        <v>76</v>
      </c>
      <c r="M43" s="5" t="s">
        <v>87</v>
      </c>
    </row>
    <row r="44" customFormat="false" ht="15" hidden="false" customHeight="true" outlineLevel="0" collapsed="false">
      <c r="A44" s="3" t="s">
        <v>290</v>
      </c>
      <c r="B44" s="3" t="s">
        <v>291</v>
      </c>
      <c r="C44" s="3" t="s">
        <v>292</v>
      </c>
      <c r="D44" s="3" t="s">
        <v>161</v>
      </c>
      <c r="E44" s="3" t="s">
        <v>108</v>
      </c>
      <c r="F44" s="3" t="s">
        <v>147</v>
      </c>
      <c r="G44" s="3" t="s">
        <v>218</v>
      </c>
      <c r="H44" s="3" t="s">
        <v>52</v>
      </c>
      <c r="I44" s="3" t="n">
        <v>9850</v>
      </c>
      <c r="J44" s="3" t="s">
        <v>112</v>
      </c>
      <c r="K44" s="3" t="s">
        <v>102</v>
      </c>
      <c r="L44" s="3" t="s">
        <v>96</v>
      </c>
      <c r="M44" s="3" t="s">
        <v>45</v>
      </c>
    </row>
    <row r="45" customFormat="false" ht="15" hidden="false" customHeight="true" outlineLevel="0" collapsed="false">
      <c r="A45" s="5" t="s">
        <v>293</v>
      </c>
      <c r="B45" s="6" t="n">
        <v>45877</v>
      </c>
      <c r="C45" s="5" t="s">
        <v>276</v>
      </c>
      <c r="D45" s="5" t="s">
        <v>169</v>
      </c>
      <c r="E45" s="5" t="s">
        <v>294</v>
      </c>
      <c r="F45" s="5" t="s">
        <v>141</v>
      </c>
      <c r="G45" s="5" t="s">
        <v>251</v>
      </c>
      <c r="H45" s="5" t="s">
        <v>295</v>
      </c>
      <c r="I45" s="5" t="s">
        <v>296</v>
      </c>
      <c r="J45" s="5" t="s">
        <v>118</v>
      </c>
      <c r="K45" s="5" t="s">
        <v>150</v>
      </c>
      <c r="L45" s="5" t="s">
        <v>21</v>
      </c>
      <c r="M45" s="5" t="s">
        <v>33</v>
      </c>
    </row>
    <row r="46" customFormat="false" ht="15" hidden="false" customHeight="true" outlineLevel="0" collapsed="false">
      <c r="A46" s="3" t="s">
        <v>297</v>
      </c>
      <c r="B46" s="3" t="s">
        <v>298</v>
      </c>
      <c r="C46" s="3" t="s">
        <v>299</v>
      </c>
      <c r="D46" s="3" t="s">
        <v>161</v>
      </c>
      <c r="E46" s="3" t="s">
        <v>287</v>
      </c>
      <c r="F46" s="3" t="s">
        <v>300</v>
      </c>
      <c r="G46" s="3" t="s">
        <v>301</v>
      </c>
      <c r="H46" s="3" t="s">
        <v>111</v>
      </c>
      <c r="I46" s="3" t="s">
        <v>302</v>
      </c>
      <c r="J46" s="3" t="s">
        <v>303</v>
      </c>
      <c r="K46" s="3" t="s">
        <v>304</v>
      </c>
      <c r="L46" s="3" t="s">
        <v>194</v>
      </c>
      <c r="M46" s="3" t="s">
        <v>104</v>
      </c>
    </row>
    <row r="47" customFormat="false" ht="15" hidden="false" customHeight="true" outlineLevel="0" collapsed="false">
      <c r="A47" s="5" t="s">
        <v>305</v>
      </c>
      <c r="B47" s="5" t="s">
        <v>306</v>
      </c>
      <c r="C47" s="5" t="s">
        <v>307</v>
      </c>
      <c r="D47" s="5" t="s">
        <v>80</v>
      </c>
      <c r="E47" s="5" t="s">
        <v>99</v>
      </c>
      <c r="F47" s="5" t="s">
        <v>308</v>
      </c>
      <c r="G47" s="5" t="s">
        <v>309</v>
      </c>
      <c r="H47" s="5" t="n">
        <v>5</v>
      </c>
      <c r="I47" s="5" t="n">
        <v>3150</v>
      </c>
      <c r="J47" s="5" t="s">
        <v>63</v>
      </c>
      <c r="K47" s="5" t="s">
        <v>64</v>
      </c>
      <c r="L47" s="5" t="s">
        <v>151</v>
      </c>
      <c r="M47" s="5" t="s">
        <v>87</v>
      </c>
    </row>
    <row r="48" customFormat="false" ht="15" hidden="false" customHeight="true" outlineLevel="0" collapsed="false">
      <c r="A48" s="3" t="s">
        <v>310</v>
      </c>
      <c r="B48" s="3" t="s">
        <v>311</v>
      </c>
      <c r="C48" s="3" t="s">
        <v>312</v>
      </c>
      <c r="D48" s="3" t="s">
        <v>15</v>
      </c>
      <c r="E48" s="3" t="s">
        <v>313</v>
      </c>
      <c r="F48" s="3" t="s">
        <v>91</v>
      </c>
      <c r="G48" s="3" t="s">
        <v>226</v>
      </c>
      <c r="H48" s="3" t="s">
        <v>178</v>
      </c>
      <c r="I48" s="3" t="s">
        <v>314</v>
      </c>
      <c r="J48" s="3"/>
      <c r="K48" s="3" t="s">
        <v>273</v>
      </c>
      <c r="L48" s="3" t="s">
        <v>96</v>
      </c>
      <c r="M48" s="3" t="s">
        <v>22</v>
      </c>
    </row>
    <row r="49" customFormat="false" ht="15" hidden="false" customHeight="true" outlineLevel="0" collapsed="false">
      <c r="A49" s="5" t="s">
        <v>315</v>
      </c>
      <c r="B49" s="6" t="n">
        <v>45682</v>
      </c>
      <c r="C49" s="5" t="s">
        <v>316</v>
      </c>
      <c r="D49" s="5" t="s">
        <v>90</v>
      </c>
      <c r="E49" s="5" t="s">
        <v>49</v>
      </c>
      <c r="F49" s="5" t="s">
        <v>60</v>
      </c>
      <c r="G49" s="5" t="s">
        <v>317</v>
      </c>
      <c r="H49" s="5" t="s">
        <v>52</v>
      </c>
      <c r="I49" s="5" t="s">
        <v>318</v>
      </c>
      <c r="J49" s="5" t="s">
        <v>288</v>
      </c>
      <c r="K49" s="5" t="s">
        <v>150</v>
      </c>
      <c r="L49" s="5" t="s">
        <v>76</v>
      </c>
      <c r="M49" s="5" t="s">
        <v>33</v>
      </c>
    </row>
    <row r="50" customFormat="false" ht="15" hidden="false" customHeight="true" outlineLevel="0" collapsed="false">
      <c r="A50" s="3" t="s">
        <v>319</v>
      </c>
      <c r="B50" s="4" t="n">
        <v>45864</v>
      </c>
      <c r="C50" s="3" t="s">
        <v>320</v>
      </c>
      <c r="D50" s="3" t="s">
        <v>169</v>
      </c>
      <c r="E50" s="3" t="s">
        <v>27</v>
      </c>
      <c r="F50" s="3" t="s">
        <v>71</v>
      </c>
      <c r="G50" s="3" t="s">
        <v>137</v>
      </c>
      <c r="H50" s="3" t="s">
        <v>52</v>
      </c>
      <c r="I50" s="3" t="s">
        <v>321</v>
      </c>
      <c r="J50" s="3" t="s">
        <v>112</v>
      </c>
      <c r="K50" s="3" t="s">
        <v>64</v>
      </c>
      <c r="L50" s="3" t="s">
        <v>215</v>
      </c>
      <c r="M50" s="3" t="s">
        <v>22</v>
      </c>
    </row>
    <row r="51" customFormat="false" ht="15" hidden="false" customHeight="true" outlineLevel="0" collapsed="false">
      <c r="A51" s="5" t="s">
        <v>322</v>
      </c>
      <c r="B51" s="5" t="s">
        <v>323</v>
      </c>
      <c r="C51" s="5" t="s">
        <v>324</v>
      </c>
      <c r="D51" s="5" t="s">
        <v>161</v>
      </c>
      <c r="E51" s="5" t="s">
        <v>325</v>
      </c>
      <c r="F51" s="5" t="s">
        <v>109</v>
      </c>
      <c r="G51" s="5" t="s">
        <v>164</v>
      </c>
      <c r="H51" s="5" t="n">
        <v>2</v>
      </c>
      <c r="I51" s="5" t="s">
        <v>326</v>
      </c>
      <c r="J51" s="5" t="s">
        <v>63</v>
      </c>
      <c r="K51" s="5" t="s">
        <v>150</v>
      </c>
      <c r="L51" s="5" t="s">
        <v>55</v>
      </c>
      <c r="M51" s="5" t="s">
        <v>87</v>
      </c>
    </row>
    <row r="52" customFormat="false" ht="15" hidden="false" customHeight="true" outlineLevel="0" collapsed="false">
      <c r="A52" s="3" t="s">
        <v>327</v>
      </c>
      <c r="B52" s="3" t="s">
        <v>328</v>
      </c>
      <c r="C52" s="3" t="s">
        <v>329</v>
      </c>
      <c r="D52" s="3" t="s">
        <v>90</v>
      </c>
      <c r="E52" s="3" t="s">
        <v>38</v>
      </c>
      <c r="F52" s="3" t="s">
        <v>204</v>
      </c>
      <c r="G52" s="3" t="s">
        <v>226</v>
      </c>
      <c r="H52" s="3" t="s">
        <v>330</v>
      </c>
      <c r="I52" s="3" t="s">
        <v>331</v>
      </c>
      <c r="J52" s="3" t="s">
        <v>94</v>
      </c>
      <c r="K52" s="3" t="s">
        <v>133</v>
      </c>
      <c r="L52" s="3" t="s">
        <v>215</v>
      </c>
      <c r="M52" s="3" t="s">
        <v>22</v>
      </c>
    </row>
    <row r="53" customFormat="false" ht="15" hidden="false" customHeight="true" outlineLevel="0" collapsed="false">
      <c r="A53" s="5" t="s">
        <v>332</v>
      </c>
      <c r="B53" s="6" t="n">
        <v>45962</v>
      </c>
      <c r="C53" s="5" t="s">
        <v>333</v>
      </c>
      <c r="D53" s="5" t="s">
        <v>161</v>
      </c>
      <c r="E53" s="5" t="s">
        <v>221</v>
      </c>
      <c r="F53" s="5" t="s">
        <v>50</v>
      </c>
      <c r="G53" s="5" t="s">
        <v>51</v>
      </c>
      <c r="H53" s="5" t="s">
        <v>41</v>
      </c>
      <c r="I53" s="5" t="s">
        <v>53</v>
      </c>
      <c r="J53" s="5" t="s">
        <v>94</v>
      </c>
      <c r="K53" s="5" t="s">
        <v>267</v>
      </c>
      <c r="L53" s="5" t="s">
        <v>103</v>
      </c>
      <c r="M53" s="5" t="s">
        <v>45</v>
      </c>
    </row>
    <row r="54" customFormat="false" ht="15" hidden="false" customHeight="true" outlineLevel="0" collapsed="false">
      <c r="A54" s="3" t="s">
        <v>334</v>
      </c>
      <c r="B54" s="4" t="n">
        <v>45787</v>
      </c>
      <c r="C54" s="3" t="s">
        <v>335</v>
      </c>
      <c r="D54" s="3" t="s">
        <v>146</v>
      </c>
      <c r="E54" s="3" t="s">
        <v>16</v>
      </c>
      <c r="F54" s="3" t="s">
        <v>230</v>
      </c>
      <c r="G54" s="3" t="s">
        <v>336</v>
      </c>
      <c r="H54" s="3" t="n">
        <v>4</v>
      </c>
      <c r="I54" s="3" t="n">
        <v>9650</v>
      </c>
      <c r="J54" s="3" t="s">
        <v>337</v>
      </c>
      <c r="K54" s="3" t="s">
        <v>64</v>
      </c>
      <c r="L54" s="3" t="s">
        <v>32</v>
      </c>
      <c r="M54" s="3" t="s">
        <v>87</v>
      </c>
    </row>
    <row r="55" customFormat="false" ht="15" hidden="false" customHeight="true" outlineLevel="0" collapsed="false">
      <c r="A55" s="5" t="s">
        <v>338</v>
      </c>
      <c r="B55" s="6" t="n">
        <v>45703</v>
      </c>
      <c r="C55" s="5" t="s">
        <v>339</v>
      </c>
      <c r="D55" s="5" t="s">
        <v>98</v>
      </c>
      <c r="E55" s="5" t="s">
        <v>99</v>
      </c>
      <c r="F55" s="5" t="s">
        <v>204</v>
      </c>
      <c r="G55" s="5" t="s">
        <v>340</v>
      </c>
      <c r="H55" s="5" t="n">
        <v>8</v>
      </c>
      <c r="I55" s="5" t="s">
        <v>341</v>
      </c>
      <c r="J55" s="5" t="n">
        <v>0.2</v>
      </c>
      <c r="K55" s="5" t="s">
        <v>95</v>
      </c>
      <c r="L55" s="5" t="s">
        <v>65</v>
      </c>
      <c r="M55" s="5" t="s">
        <v>87</v>
      </c>
    </row>
    <row r="56" customFormat="false" ht="15" hidden="false" customHeight="true" outlineLevel="0" collapsed="false">
      <c r="A56" s="3" t="s">
        <v>342</v>
      </c>
      <c r="B56" s="3" t="s">
        <v>343</v>
      </c>
      <c r="C56" s="3" t="s">
        <v>344</v>
      </c>
      <c r="D56" s="3" t="s">
        <v>98</v>
      </c>
      <c r="E56" s="3" t="s">
        <v>99</v>
      </c>
      <c r="F56" s="3" t="s">
        <v>230</v>
      </c>
      <c r="G56" s="3" t="s">
        <v>336</v>
      </c>
      <c r="H56" s="3" t="n">
        <v>1</v>
      </c>
      <c r="I56" s="3" t="s">
        <v>345</v>
      </c>
      <c r="J56" s="3"/>
      <c r="K56" s="3" t="s">
        <v>95</v>
      </c>
      <c r="L56" s="3" t="s">
        <v>194</v>
      </c>
      <c r="M56" s="3" t="s">
        <v>87</v>
      </c>
    </row>
    <row r="57" customFormat="false" ht="15" hidden="false" customHeight="true" outlineLevel="0" collapsed="false">
      <c r="A57" s="5" t="s">
        <v>346</v>
      </c>
      <c r="B57" s="5" t="s">
        <v>347</v>
      </c>
      <c r="C57" s="5" t="s">
        <v>348</v>
      </c>
      <c r="D57" s="5" t="s">
        <v>122</v>
      </c>
      <c r="E57" s="5" t="s">
        <v>325</v>
      </c>
      <c r="F57" s="5" t="s">
        <v>261</v>
      </c>
      <c r="G57" s="5" t="s">
        <v>137</v>
      </c>
      <c r="H57" s="5" t="s">
        <v>330</v>
      </c>
      <c r="I57" s="5" t="s">
        <v>349</v>
      </c>
      <c r="J57" s="5" t="n">
        <v>0.1</v>
      </c>
      <c r="K57" s="5"/>
      <c r="L57" s="5" t="s">
        <v>103</v>
      </c>
      <c r="M57" s="5" t="s">
        <v>45</v>
      </c>
    </row>
    <row r="58" customFormat="false" ht="15" hidden="false" customHeight="true" outlineLevel="0" collapsed="false">
      <c r="A58" s="3" t="s">
        <v>350</v>
      </c>
      <c r="B58" s="4" t="n">
        <v>45984</v>
      </c>
      <c r="C58" s="3" t="s">
        <v>351</v>
      </c>
      <c r="D58" s="3" t="s">
        <v>122</v>
      </c>
      <c r="E58" s="3" t="s">
        <v>352</v>
      </c>
      <c r="F58" s="3" t="s">
        <v>163</v>
      </c>
      <c r="G58" s="3" t="s">
        <v>353</v>
      </c>
      <c r="H58" s="3" t="s">
        <v>52</v>
      </c>
      <c r="I58" s="3" t="s">
        <v>354</v>
      </c>
      <c r="J58" s="3"/>
      <c r="K58" s="3" t="s">
        <v>102</v>
      </c>
      <c r="L58" s="3" t="s">
        <v>215</v>
      </c>
      <c r="M58" s="3" t="s">
        <v>355</v>
      </c>
    </row>
    <row r="59" customFormat="false" ht="15" hidden="false" customHeight="true" outlineLevel="0" collapsed="false">
      <c r="A59" s="5" t="s">
        <v>356</v>
      </c>
      <c r="B59" s="5" t="s">
        <v>357</v>
      </c>
      <c r="C59" s="5" t="s">
        <v>358</v>
      </c>
      <c r="D59" s="5" t="s">
        <v>80</v>
      </c>
      <c r="E59" s="5" t="s">
        <v>108</v>
      </c>
      <c r="F59" s="5" t="s">
        <v>300</v>
      </c>
      <c r="G59" s="5" t="s">
        <v>309</v>
      </c>
      <c r="H59" s="5" t="n">
        <v>8</v>
      </c>
      <c r="I59" s="5" t="s">
        <v>359</v>
      </c>
      <c r="J59" s="5" t="s">
        <v>94</v>
      </c>
      <c r="K59" s="5" t="s">
        <v>360</v>
      </c>
      <c r="L59" s="5" t="s">
        <v>194</v>
      </c>
      <c r="M59" s="5" t="s">
        <v>22</v>
      </c>
    </row>
    <row r="60" customFormat="false" ht="15" hidden="false" customHeight="true" outlineLevel="0" collapsed="false">
      <c r="A60" s="3" t="s">
        <v>361</v>
      </c>
      <c r="B60" s="3" t="s">
        <v>362</v>
      </c>
      <c r="C60" s="3" t="s">
        <v>363</v>
      </c>
      <c r="D60" s="3" t="s">
        <v>169</v>
      </c>
      <c r="E60" s="3" t="s">
        <v>364</v>
      </c>
      <c r="F60" s="3" t="s">
        <v>163</v>
      </c>
      <c r="G60" s="3" t="s">
        <v>110</v>
      </c>
      <c r="H60" s="3" t="s">
        <v>111</v>
      </c>
      <c r="I60" s="3" t="n">
        <v>1700</v>
      </c>
      <c r="J60" s="3"/>
      <c r="K60" s="3" t="s">
        <v>365</v>
      </c>
      <c r="L60" s="3" t="s">
        <v>65</v>
      </c>
      <c r="M60" s="3" t="s">
        <v>33</v>
      </c>
    </row>
    <row r="61" customFormat="false" ht="15" hidden="false" customHeight="true" outlineLevel="0" collapsed="false">
      <c r="A61" s="5" t="s">
        <v>366</v>
      </c>
      <c r="B61" s="6" t="n">
        <v>45703</v>
      </c>
      <c r="C61" s="5" t="s">
        <v>245</v>
      </c>
      <c r="D61" s="5" t="s">
        <v>122</v>
      </c>
      <c r="E61" s="5" t="s">
        <v>99</v>
      </c>
      <c r="F61" s="5" t="s">
        <v>261</v>
      </c>
      <c r="G61" s="5" t="s">
        <v>367</v>
      </c>
      <c r="H61" s="5" t="s">
        <v>178</v>
      </c>
      <c r="I61" s="5" t="s">
        <v>368</v>
      </c>
      <c r="J61" s="5" t="s">
        <v>74</v>
      </c>
      <c r="K61" s="5" t="s">
        <v>143</v>
      </c>
      <c r="L61" s="5" t="s">
        <v>96</v>
      </c>
      <c r="M61" s="5" t="s">
        <v>174</v>
      </c>
    </row>
    <row r="62" customFormat="false" ht="15" hidden="false" customHeight="true" outlineLevel="0" collapsed="false">
      <c r="A62" s="3" t="s">
        <v>369</v>
      </c>
      <c r="B62" s="3" t="s">
        <v>370</v>
      </c>
      <c r="C62" s="3" t="s">
        <v>371</v>
      </c>
      <c r="D62" s="3" t="s">
        <v>80</v>
      </c>
      <c r="E62" s="3" t="s">
        <v>197</v>
      </c>
      <c r="F62" s="3"/>
      <c r="G62" s="3" t="s">
        <v>156</v>
      </c>
      <c r="H62" s="3" t="s">
        <v>239</v>
      </c>
      <c r="I62" s="3" t="n">
        <v>18400</v>
      </c>
      <c r="J62" s="3" t="s">
        <v>112</v>
      </c>
      <c r="K62" s="3" t="s">
        <v>372</v>
      </c>
      <c r="L62" s="3" t="s">
        <v>278</v>
      </c>
      <c r="M62" s="3" t="s">
        <v>87</v>
      </c>
    </row>
    <row r="63" customFormat="false" ht="15" hidden="false" customHeight="true" outlineLevel="0" collapsed="false">
      <c r="A63" s="5" t="s">
        <v>373</v>
      </c>
      <c r="B63" s="5" t="s">
        <v>374</v>
      </c>
      <c r="C63" s="5" t="s">
        <v>375</v>
      </c>
      <c r="D63" s="5" t="s">
        <v>122</v>
      </c>
      <c r="E63" s="5" t="s">
        <v>99</v>
      </c>
      <c r="F63" s="5" t="s">
        <v>50</v>
      </c>
      <c r="G63" s="5" t="s">
        <v>51</v>
      </c>
      <c r="H63" s="5" t="n">
        <v>2</v>
      </c>
      <c r="I63" s="5" t="s">
        <v>376</v>
      </c>
      <c r="J63" s="5"/>
      <c r="K63" s="5" t="s">
        <v>304</v>
      </c>
      <c r="L63" s="5" t="s">
        <v>151</v>
      </c>
      <c r="M63" s="5" t="s">
        <v>33</v>
      </c>
    </row>
    <row r="64" customFormat="false" ht="15" hidden="false" customHeight="true" outlineLevel="0" collapsed="false">
      <c r="A64" s="3" t="s">
        <v>377</v>
      </c>
      <c r="B64" s="3" t="s">
        <v>378</v>
      </c>
      <c r="C64" s="3" t="s">
        <v>379</v>
      </c>
      <c r="D64" s="3" t="s">
        <v>122</v>
      </c>
      <c r="E64" s="3" t="s">
        <v>81</v>
      </c>
      <c r="F64" s="3" t="s">
        <v>380</v>
      </c>
      <c r="G64" s="3" t="s">
        <v>381</v>
      </c>
      <c r="H64" s="3" t="n">
        <v>6</v>
      </c>
      <c r="I64" s="3" t="n">
        <v>52800</v>
      </c>
      <c r="J64" s="3" t="n">
        <v>0</v>
      </c>
      <c r="K64" s="3" t="s">
        <v>75</v>
      </c>
      <c r="L64" s="3" t="s">
        <v>103</v>
      </c>
      <c r="M64" s="3" t="s">
        <v>33</v>
      </c>
    </row>
    <row r="65" customFormat="false" ht="15" hidden="false" customHeight="true" outlineLevel="0" collapsed="false">
      <c r="A65" s="5" t="s">
        <v>382</v>
      </c>
      <c r="B65" s="5" t="s">
        <v>383</v>
      </c>
      <c r="C65" s="5" t="s">
        <v>384</v>
      </c>
      <c r="D65" s="5" t="s">
        <v>161</v>
      </c>
      <c r="E65" s="5" t="s">
        <v>99</v>
      </c>
      <c r="F65" s="5" t="s">
        <v>300</v>
      </c>
      <c r="G65" s="5" t="s">
        <v>309</v>
      </c>
      <c r="H65" s="5" t="s">
        <v>330</v>
      </c>
      <c r="I65" s="5" t="s">
        <v>385</v>
      </c>
      <c r="J65" s="5" t="s">
        <v>337</v>
      </c>
      <c r="K65" s="5" t="s">
        <v>386</v>
      </c>
      <c r="L65" s="5" t="s">
        <v>278</v>
      </c>
      <c r="M65" s="5" t="s">
        <v>387</v>
      </c>
    </row>
    <row r="66" customFormat="false" ht="15" hidden="false" customHeight="true" outlineLevel="0" collapsed="false">
      <c r="A66" s="3" t="s">
        <v>388</v>
      </c>
      <c r="B66" s="3" t="s">
        <v>389</v>
      </c>
      <c r="C66" s="3" t="s">
        <v>390</v>
      </c>
      <c r="D66" s="3" t="s">
        <v>90</v>
      </c>
      <c r="E66" s="3" t="s">
        <v>391</v>
      </c>
      <c r="F66" s="3" t="s">
        <v>141</v>
      </c>
      <c r="G66" s="3" t="s">
        <v>392</v>
      </c>
      <c r="H66" s="3" t="n">
        <v>5</v>
      </c>
      <c r="I66" s="3" t="s">
        <v>266</v>
      </c>
      <c r="J66" s="3" t="s">
        <v>94</v>
      </c>
      <c r="K66" s="3" t="s">
        <v>143</v>
      </c>
      <c r="L66" s="3" t="s">
        <v>103</v>
      </c>
      <c r="M66" s="3" t="s">
        <v>45</v>
      </c>
    </row>
    <row r="67" customFormat="false" ht="15" hidden="false" customHeight="true" outlineLevel="0" collapsed="false">
      <c r="A67" s="5" t="s">
        <v>393</v>
      </c>
      <c r="B67" s="5" t="s">
        <v>394</v>
      </c>
      <c r="C67" s="5" t="s">
        <v>395</v>
      </c>
      <c r="D67" s="5" t="s">
        <v>90</v>
      </c>
      <c r="E67" s="5" t="s">
        <v>38</v>
      </c>
      <c r="F67" s="5" t="s">
        <v>123</v>
      </c>
      <c r="G67" s="5" t="s">
        <v>72</v>
      </c>
      <c r="H67" s="5" t="s">
        <v>41</v>
      </c>
      <c r="I67" s="5" t="s">
        <v>396</v>
      </c>
      <c r="J67" s="5"/>
      <c r="K67" s="5" t="s">
        <v>397</v>
      </c>
      <c r="L67" s="5" t="s">
        <v>398</v>
      </c>
      <c r="M67" s="5" t="s">
        <v>174</v>
      </c>
    </row>
    <row r="68" customFormat="false" ht="15" hidden="false" customHeight="true" outlineLevel="0" collapsed="false">
      <c r="A68" s="3" t="s">
        <v>399</v>
      </c>
      <c r="B68" s="4" t="n">
        <v>45821</v>
      </c>
      <c r="C68" s="3" t="s">
        <v>307</v>
      </c>
      <c r="D68" s="3" t="s">
        <v>155</v>
      </c>
      <c r="E68" s="3" t="s">
        <v>325</v>
      </c>
      <c r="F68" s="3" t="s">
        <v>147</v>
      </c>
      <c r="G68" s="3" t="s">
        <v>148</v>
      </c>
      <c r="H68" s="3" t="s">
        <v>178</v>
      </c>
      <c r="I68" s="3" t="s">
        <v>400</v>
      </c>
      <c r="J68" s="3" t="s">
        <v>241</v>
      </c>
      <c r="K68" s="3" t="s">
        <v>143</v>
      </c>
      <c r="L68" s="3" t="s">
        <v>76</v>
      </c>
      <c r="M68" s="3" t="s">
        <v>45</v>
      </c>
    </row>
    <row r="69" customFormat="false" ht="15" hidden="false" customHeight="true" outlineLevel="0" collapsed="false">
      <c r="A69" s="5" t="s">
        <v>401</v>
      </c>
      <c r="B69" s="6" t="n">
        <v>45718</v>
      </c>
      <c r="C69" s="5" t="s">
        <v>245</v>
      </c>
      <c r="D69" s="5" t="s">
        <v>155</v>
      </c>
      <c r="E69" s="5" t="s">
        <v>197</v>
      </c>
      <c r="F69" s="5" t="s">
        <v>39</v>
      </c>
      <c r="G69" s="5" t="s">
        <v>222</v>
      </c>
      <c r="H69" s="5" t="s">
        <v>41</v>
      </c>
      <c r="I69" s="5" t="s">
        <v>402</v>
      </c>
      <c r="J69" s="5" t="s">
        <v>337</v>
      </c>
      <c r="K69" s="5" t="s">
        <v>95</v>
      </c>
      <c r="L69" s="5" t="s">
        <v>96</v>
      </c>
      <c r="M69" s="5" t="s">
        <v>45</v>
      </c>
    </row>
    <row r="70" customFormat="false" ht="15" hidden="false" customHeight="true" outlineLevel="0" collapsed="false">
      <c r="A70" s="3" t="s">
        <v>403</v>
      </c>
      <c r="B70" s="4" t="n">
        <v>45686</v>
      </c>
      <c r="C70" s="3"/>
      <c r="D70" s="3" t="s">
        <v>37</v>
      </c>
      <c r="E70" s="3" t="s">
        <v>27</v>
      </c>
      <c r="F70" s="3" t="s">
        <v>170</v>
      </c>
      <c r="G70" s="3" t="s">
        <v>177</v>
      </c>
      <c r="H70" s="3" t="s">
        <v>41</v>
      </c>
      <c r="I70" s="3" t="s">
        <v>404</v>
      </c>
      <c r="J70" s="3" t="n">
        <v>0</v>
      </c>
      <c r="K70" s="3" t="s">
        <v>165</v>
      </c>
      <c r="L70" s="3" t="s">
        <v>21</v>
      </c>
      <c r="M70" s="3" t="s">
        <v>33</v>
      </c>
    </row>
    <row r="71" customFormat="false" ht="15" hidden="false" customHeight="true" outlineLevel="0" collapsed="false">
      <c r="A71" s="5" t="s">
        <v>405</v>
      </c>
      <c r="B71" s="5" t="s">
        <v>406</v>
      </c>
      <c r="C71" s="5" t="s">
        <v>407</v>
      </c>
      <c r="D71" s="5" t="s">
        <v>37</v>
      </c>
      <c r="E71" s="5" t="s">
        <v>408</v>
      </c>
      <c r="F71" s="5" t="s">
        <v>163</v>
      </c>
      <c r="G71" s="5" t="s">
        <v>409</v>
      </c>
      <c r="H71" s="5" t="s">
        <v>410</v>
      </c>
      <c r="I71" s="5" t="s">
        <v>411</v>
      </c>
      <c r="J71" s="5"/>
      <c r="K71" s="5" t="s">
        <v>113</v>
      </c>
      <c r="L71" s="5" t="s">
        <v>151</v>
      </c>
      <c r="M71" s="5" t="s">
        <v>412</v>
      </c>
    </row>
    <row r="72" customFormat="false" ht="15" hidden="false" customHeight="true" outlineLevel="0" collapsed="false">
      <c r="A72" s="3" t="s">
        <v>413</v>
      </c>
      <c r="B72" s="3" t="s">
        <v>414</v>
      </c>
      <c r="C72" s="3" t="s">
        <v>79</v>
      </c>
      <c r="D72" s="3" t="s">
        <v>161</v>
      </c>
      <c r="E72" s="3" t="s">
        <v>210</v>
      </c>
      <c r="F72" s="3" t="s">
        <v>261</v>
      </c>
      <c r="G72" s="3" t="s">
        <v>124</v>
      </c>
      <c r="H72" s="3" t="n">
        <v>8</v>
      </c>
      <c r="I72" s="3" t="s">
        <v>415</v>
      </c>
      <c r="J72" s="3" t="n">
        <v>0.05</v>
      </c>
      <c r="K72" s="3" t="s">
        <v>143</v>
      </c>
      <c r="L72" s="3" t="s">
        <v>215</v>
      </c>
      <c r="M72" s="3" t="s">
        <v>104</v>
      </c>
    </row>
    <row r="73" customFormat="false" ht="15" hidden="false" customHeight="true" outlineLevel="0" collapsed="false">
      <c r="A73" s="5" t="s">
        <v>416</v>
      </c>
      <c r="B73" s="5" t="s">
        <v>417</v>
      </c>
      <c r="C73" s="5" t="s">
        <v>418</v>
      </c>
      <c r="D73" s="5" t="s">
        <v>161</v>
      </c>
      <c r="E73" s="5" t="s">
        <v>419</v>
      </c>
      <c r="F73" s="5" t="s">
        <v>300</v>
      </c>
      <c r="G73" s="5" t="s">
        <v>420</v>
      </c>
      <c r="H73" s="5" t="s">
        <v>178</v>
      </c>
      <c r="I73" s="5" t="n">
        <v>7750</v>
      </c>
      <c r="J73" s="5" t="s">
        <v>112</v>
      </c>
      <c r="K73" s="5" t="s">
        <v>64</v>
      </c>
      <c r="L73" s="5" t="s">
        <v>114</v>
      </c>
      <c r="M73" s="5" t="s">
        <v>174</v>
      </c>
    </row>
    <row r="74" customFormat="false" ht="15" hidden="false" customHeight="true" outlineLevel="0" collapsed="false">
      <c r="A74" s="3" t="s">
        <v>421</v>
      </c>
      <c r="B74" s="3" t="s">
        <v>422</v>
      </c>
      <c r="C74" s="3" t="s">
        <v>423</v>
      </c>
      <c r="D74" s="3" t="s">
        <v>169</v>
      </c>
      <c r="E74" s="3" t="s">
        <v>49</v>
      </c>
      <c r="F74" s="3" t="s">
        <v>147</v>
      </c>
      <c r="G74" s="3" t="s">
        <v>424</v>
      </c>
      <c r="H74" s="3" t="s">
        <v>111</v>
      </c>
      <c r="I74" s="3" t="s">
        <v>425</v>
      </c>
      <c r="J74" s="3"/>
      <c r="K74" s="3" t="s">
        <v>150</v>
      </c>
      <c r="L74" s="3" t="s">
        <v>114</v>
      </c>
      <c r="M74" s="3" t="s">
        <v>22</v>
      </c>
    </row>
    <row r="75" customFormat="false" ht="15" hidden="false" customHeight="true" outlineLevel="0" collapsed="false">
      <c r="A75" s="5" t="s">
        <v>426</v>
      </c>
      <c r="B75" s="5" t="s">
        <v>427</v>
      </c>
      <c r="C75" s="5" t="s">
        <v>428</v>
      </c>
      <c r="D75" s="5" t="s">
        <v>155</v>
      </c>
      <c r="E75" s="5" t="s">
        <v>99</v>
      </c>
      <c r="F75" s="5" t="s">
        <v>308</v>
      </c>
      <c r="G75" s="5" t="s">
        <v>231</v>
      </c>
      <c r="H75" s="5" t="s">
        <v>52</v>
      </c>
      <c r="I75" s="5" t="n">
        <v>8000</v>
      </c>
      <c r="J75" s="5" t="n">
        <v>0.15</v>
      </c>
      <c r="K75" s="5" t="s">
        <v>365</v>
      </c>
      <c r="L75" s="5" t="s">
        <v>398</v>
      </c>
      <c r="M75" s="5" t="s">
        <v>45</v>
      </c>
    </row>
    <row r="76" customFormat="false" ht="15" hidden="false" customHeight="true" outlineLevel="0" collapsed="false">
      <c r="A76" s="3" t="s">
        <v>429</v>
      </c>
      <c r="B76" s="3" t="s">
        <v>430</v>
      </c>
      <c r="C76" s="3" t="s">
        <v>431</v>
      </c>
      <c r="D76" s="3" t="s">
        <v>122</v>
      </c>
      <c r="E76" s="3" t="s">
        <v>432</v>
      </c>
      <c r="F76" s="3" t="s">
        <v>91</v>
      </c>
      <c r="G76" s="3" t="s">
        <v>433</v>
      </c>
      <c r="H76" s="3" t="n">
        <v>3</v>
      </c>
      <c r="I76" s="3" t="s">
        <v>434</v>
      </c>
      <c r="J76" s="3" t="s">
        <v>63</v>
      </c>
      <c r="K76" s="3" t="s">
        <v>64</v>
      </c>
      <c r="L76" s="3" t="s">
        <v>32</v>
      </c>
      <c r="M76" s="3" t="s">
        <v>22</v>
      </c>
    </row>
    <row r="77" customFormat="false" ht="15" hidden="false" customHeight="true" outlineLevel="0" collapsed="false">
      <c r="A77" s="5" t="s">
        <v>435</v>
      </c>
      <c r="B77" s="5" t="s">
        <v>436</v>
      </c>
      <c r="C77" s="5" t="s">
        <v>437</v>
      </c>
      <c r="D77" s="5" t="s">
        <v>26</v>
      </c>
      <c r="E77" s="5" t="s">
        <v>38</v>
      </c>
      <c r="F77" s="5" t="s">
        <v>71</v>
      </c>
      <c r="G77" s="5" t="s">
        <v>137</v>
      </c>
      <c r="H77" s="5" t="s">
        <v>239</v>
      </c>
      <c r="I77" s="5" t="s">
        <v>438</v>
      </c>
      <c r="J77" s="5"/>
      <c r="K77" s="5" t="s">
        <v>102</v>
      </c>
      <c r="L77" s="5" t="s">
        <v>55</v>
      </c>
      <c r="M77" s="5" t="s">
        <v>33</v>
      </c>
    </row>
    <row r="78" customFormat="false" ht="15" hidden="false" customHeight="true" outlineLevel="0" collapsed="false">
      <c r="A78" s="3" t="s">
        <v>439</v>
      </c>
      <c r="B78" s="3" t="s">
        <v>440</v>
      </c>
      <c r="C78" s="3" t="s">
        <v>441</v>
      </c>
      <c r="D78" s="3" t="s">
        <v>80</v>
      </c>
      <c r="E78" s="3" t="s">
        <v>221</v>
      </c>
      <c r="F78" s="3" t="s">
        <v>109</v>
      </c>
      <c r="G78" s="3" t="s">
        <v>409</v>
      </c>
      <c r="H78" s="3" t="n">
        <v>2</v>
      </c>
      <c r="I78" s="3" t="s">
        <v>442</v>
      </c>
      <c r="J78" s="3" t="n">
        <v>0.05</v>
      </c>
      <c r="K78" s="3" t="s">
        <v>64</v>
      </c>
      <c r="L78" s="3" t="s">
        <v>32</v>
      </c>
      <c r="M78" s="3" t="s">
        <v>45</v>
      </c>
    </row>
    <row r="79" customFormat="false" ht="15" hidden="false" customHeight="true" outlineLevel="0" collapsed="false">
      <c r="A79" s="5" t="s">
        <v>443</v>
      </c>
      <c r="B79" s="5" t="s">
        <v>444</v>
      </c>
      <c r="C79" s="5" t="s">
        <v>145</v>
      </c>
      <c r="D79" s="5" t="s">
        <v>80</v>
      </c>
      <c r="E79" s="5" t="s">
        <v>108</v>
      </c>
      <c r="F79" s="5" t="s">
        <v>163</v>
      </c>
      <c r="G79" s="5" t="s">
        <v>445</v>
      </c>
      <c r="H79" s="5" t="n">
        <v>6</v>
      </c>
      <c r="I79" s="5" t="n">
        <v>2550</v>
      </c>
      <c r="J79" s="5" t="n">
        <v>0</v>
      </c>
      <c r="K79" s="5" t="s">
        <v>446</v>
      </c>
      <c r="L79" s="5" t="s">
        <v>151</v>
      </c>
      <c r="M79" s="5" t="s">
        <v>22</v>
      </c>
    </row>
    <row r="80" customFormat="false" ht="15" hidden="false" customHeight="true" outlineLevel="0" collapsed="false">
      <c r="A80" s="3" t="s">
        <v>447</v>
      </c>
      <c r="B80" s="3" t="s">
        <v>448</v>
      </c>
      <c r="C80" s="3" t="s">
        <v>320</v>
      </c>
      <c r="D80" s="3" t="s">
        <v>98</v>
      </c>
      <c r="E80" s="3" t="s">
        <v>162</v>
      </c>
      <c r="F80" s="3" t="s">
        <v>71</v>
      </c>
      <c r="G80" s="3" t="s">
        <v>367</v>
      </c>
      <c r="H80" s="3" t="s">
        <v>111</v>
      </c>
      <c r="I80" s="3" t="s">
        <v>449</v>
      </c>
      <c r="J80" s="3"/>
      <c r="K80" s="3" t="s">
        <v>450</v>
      </c>
      <c r="L80" s="3" t="s">
        <v>76</v>
      </c>
      <c r="M80" s="3" t="s">
        <v>33</v>
      </c>
    </row>
    <row r="81" customFormat="false" ht="15" hidden="false" customHeight="true" outlineLevel="0" collapsed="false">
      <c r="A81" s="5" t="s">
        <v>451</v>
      </c>
      <c r="B81" s="5" t="s">
        <v>452</v>
      </c>
      <c r="C81" s="5" t="s">
        <v>57</v>
      </c>
      <c r="D81" s="5" t="s">
        <v>90</v>
      </c>
      <c r="E81" s="5" t="s">
        <v>453</v>
      </c>
      <c r="F81" s="5" t="s">
        <v>308</v>
      </c>
      <c r="G81" s="5" t="s">
        <v>420</v>
      </c>
      <c r="H81" s="5" t="n">
        <v>2</v>
      </c>
      <c r="I81" s="5" t="s">
        <v>454</v>
      </c>
      <c r="J81" s="5" t="n">
        <v>0.1</v>
      </c>
      <c r="K81" s="5" t="s">
        <v>113</v>
      </c>
      <c r="L81" s="5" t="s">
        <v>96</v>
      </c>
      <c r="M81" s="5" t="s">
        <v>22</v>
      </c>
    </row>
    <row r="82" customFormat="false" ht="15" hidden="false" customHeight="true" outlineLevel="0" collapsed="false">
      <c r="A82" s="3" t="s">
        <v>455</v>
      </c>
      <c r="B82" s="3" t="s">
        <v>456</v>
      </c>
      <c r="C82" s="3" t="s">
        <v>457</v>
      </c>
      <c r="D82" s="3" t="s">
        <v>169</v>
      </c>
      <c r="E82" s="3" t="s">
        <v>38</v>
      </c>
      <c r="F82" s="3" t="s">
        <v>60</v>
      </c>
      <c r="G82" s="3" t="s">
        <v>317</v>
      </c>
      <c r="H82" s="3" t="s">
        <v>111</v>
      </c>
      <c r="I82" s="3" t="s">
        <v>458</v>
      </c>
      <c r="J82" s="3" t="s">
        <v>118</v>
      </c>
      <c r="K82" s="3" t="s">
        <v>150</v>
      </c>
      <c r="L82" s="3" t="s">
        <v>151</v>
      </c>
      <c r="M82" s="3" t="s">
        <v>22</v>
      </c>
    </row>
    <row r="83" customFormat="false" ht="15" hidden="false" customHeight="true" outlineLevel="0" collapsed="false">
      <c r="A83" s="5" t="s">
        <v>459</v>
      </c>
      <c r="B83" s="5" t="s">
        <v>460</v>
      </c>
      <c r="C83" s="5" t="s">
        <v>461</v>
      </c>
      <c r="D83" s="5" t="s">
        <v>155</v>
      </c>
      <c r="E83" s="5" t="s">
        <v>162</v>
      </c>
      <c r="F83" s="5" t="s">
        <v>230</v>
      </c>
      <c r="G83" s="5" t="s">
        <v>462</v>
      </c>
      <c r="H83" s="5" t="n">
        <v>1</v>
      </c>
      <c r="I83" s="5" t="n">
        <v>6500</v>
      </c>
      <c r="J83" s="5" t="s">
        <v>94</v>
      </c>
      <c r="K83" s="5" t="s">
        <v>150</v>
      </c>
      <c r="L83" s="5" t="s">
        <v>215</v>
      </c>
      <c r="M83" s="5" t="s">
        <v>87</v>
      </c>
    </row>
    <row r="84" customFormat="false" ht="15" hidden="false" customHeight="true" outlineLevel="0" collapsed="false">
      <c r="A84" s="3" t="s">
        <v>463</v>
      </c>
      <c r="B84" s="4" t="n">
        <v>45671</v>
      </c>
      <c r="C84" s="3" t="s">
        <v>464</v>
      </c>
      <c r="D84" s="3" t="s">
        <v>161</v>
      </c>
      <c r="E84" s="3" t="s">
        <v>81</v>
      </c>
      <c r="F84" s="3" t="s">
        <v>204</v>
      </c>
      <c r="G84" s="3" t="s">
        <v>29</v>
      </c>
      <c r="H84" s="3" t="s">
        <v>465</v>
      </c>
      <c r="I84" s="3" t="s">
        <v>466</v>
      </c>
      <c r="J84" s="3" t="s">
        <v>118</v>
      </c>
      <c r="K84" s="3" t="s">
        <v>165</v>
      </c>
      <c r="L84" s="3" t="s">
        <v>103</v>
      </c>
      <c r="M84" s="3" t="s">
        <v>467</v>
      </c>
    </row>
    <row r="85" customFormat="false" ht="15" hidden="false" customHeight="true" outlineLevel="0" collapsed="false">
      <c r="A85" s="5" t="s">
        <v>468</v>
      </c>
      <c r="B85" s="5" t="s">
        <v>469</v>
      </c>
      <c r="C85" s="5" t="s">
        <v>470</v>
      </c>
      <c r="D85" s="5" t="s">
        <v>471</v>
      </c>
      <c r="E85" s="5" t="s">
        <v>237</v>
      </c>
      <c r="F85" s="5" t="s">
        <v>308</v>
      </c>
      <c r="G85" s="5" t="s">
        <v>177</v>
      </c>
      <c r="H85" s="5" t="n">
        <v>6</v>
      </c>
      <c r="I85" s="5" t="s">
        <v>179</v>
      </c>
      <c r="J85" s="5"/>
      <c r="K85" s="5"/>
      <c r="L85" s="5" t="s">
        <v>21</v>
      </c>
      <c r="M85" s="5" t="s">
        <v>152</v>
      </c>
    </row>
    <row r="86" customFormat="false" ht="15" hidden="false" customHeight="true" outlineLevel="0" collapsed="false">
      <c r="A86" s="3" t="s">
        <v>472</v>
      </c>
      <c r="B86" s="3" t="s">
        <v>473</v>
      </c>
      <c r="C86" s="3" t="s">
        <v>474</v>
      </c>
      <c r="D86" s="3" t="s">
        <v>122</v>
      </c>
      <c r="E86" s="3" t="s">
        <v>162</v>
      </c>
      <c r="F86" s="3" t="s">
        <v>230</v>
      </c>
      <c r="G86" s="3" t="s">
        <v>475</v>
      </c>
      <c r="H86" s="3" t="n">
        <v>2</v>
      </c>
      <c r="I86" s="3" t="n">
        <v>9900</v>
      </c>
      <c r="J86" s="3" t="s">
        <v>337</v>
      </c>
      <c r="K86" s="3" t="s">
        <v>173</v>
      </c>
      <c r="L86" s="3" t="s">
        <v>103</v>
      </c>
      <c r="M86" s="3" t="s">
        <v>33</v>
      </c>
    </row>
    <row r="87" customFormat="false" ht="15" hidden="false" customHeight="true" outlineLevel="0" collapsed="false">
      <c r="A87" s="5" t="s">
        <v>476</v>
      </c>
      <c r="B87" s="5" t="s">
        <v>477</v>
      </c>
      <c r="C87" s="5" t="s">
        <v>478</v>
      </c>
      <c r="D87" s="5" t="s">
        <v>122</v>
      </c>
      <c r="E87" s="5" t="s">
        <v>99</v>
      </c>
      <c r="F87" s="5" t="s">
        <v>131</v>
      </c>
      <c r="G87" s="5" t="s">
        <v>479</v>
      </c>
      <c r="H87" s="5" t="s">
        <v>52</v>
      </c>
      <c r="I87" s="5" t="s">
        <v>480</v>
      </c>
      <c r="J87" s="5" t="s">
        <v>118</v>
      </c>
      <c r="K87" s="5" t="s">
        <v>481</v>
      </c>
      <c r="L87" s="5" t="s">
        <v>32</v>
      </c>
      <c r="M87" s="5" t="s">
        <v>22</v>
      </c>
    </row>
    <row r="88" customFormat="false" ht="15" hidden="false" customHeight="true" outlineLevel="0" collapsed="false">
      <c r="A88" s="3" t="s">
        <v>482</v>
      </c>
      <c r="B88" s="3" t="s">
        <v>483</v>
      </c>
      <c r="C88" s="3" t="s">
        <v>145</v>
      </c>
      <c r="D88" s="3" t="s">
        <v>155</v>
      </c>
      <c r="E88" s="3" t="s">
        <v>197</v>
      </c>
      <c r="F88" s="3" t="s">
        <v>60</v>
      </c>
      <c r="G88" s="3" t="s">
        <v>484</v>
      </c>
      <c r="H88" s="3" t="s">
        <v>52</v>
      </c>
      <c r="I88" s="3" t="s">
        <v>485</v>
      </c>
      <c r="J88" s="3" t="s">
        <v>486</v>
      </c>
      <c r="K88" s="3" t="s">
        <v>397</v>
      </c>
      <c r="L88" s="3" t="s">
        <v>76</v>
      </c>
      <c r="M88" s="3" t="s">
        <v>242</v>
      </c>
    </row>
    <row r="89" customFormat="false" ht="15" hidden="false" customHeight="true" outlineLevel="0" collapsed="false">
      <c r="A89" s="5" t="s">
        <v>487</v>
      </c>
      <c r="B89" s="5" t="s">
        <v>488</v>
      </c>
      <c r="C89" s="5" t="s">
        <v>489</v>
      </c>
      <c r="D89" s="5" t="s">
        <v>80</v>
      </c>
      <c r="E89" s="5" t="s">
        <v>490</v>
      </c>
      <c r="F89" s="5" t="s">
        <v>109</v>
      </c>
      <c r="G89" s="5" t="s">
        <v>353</v>
      </c>
      <c r="H89" s="5" t="s">
        <v>52</v>
      </c>
      <c r="I89" s="5" t="s">
        <v>491</v>
      </c>
      <c r="J89" s="5" t="s">
        <v>63</v>
      </c>
      <c r="K89" s="5" t="s">
        <v>75</v>
      </c>
      <c r="L89" s="5" t="s">
        <v>215</v>
      </c>
      <c r="M89" s="5" t="s">
        <v>87</v>
      </c>
    </row>
    <row r="90" customFormat="false" ht="15" hidden="false" customHeight="true" outlineLevel="0" collapsed="false">
      <c r="A90" s="3" t="s">
        <v>492</v>
      </c>
      <c r="B90" s="3" t="s">
        <v>493</v>
      </c>
      <c r="C90" s="3" t="s">
        <v>494</v>
      </c>
      <c r="D90" s="3" t="s">
        <v>161</v>
      </c>
      <c r="E90" s="3" t="s">
        <v>495</v>
      </c>
      <c r="F90" s="3" t="s">
        <v>28</v>
      </c>
      <c r="G90" s="3" t="s">
        <v>226</v>
      </c>
      <c r="H90" s="3" t="s">
        <v>410</v>
      </c>
      <c r="I90" s="3" t="s">
        <v>284</v>
      </c>
      <c r="J90" s="3" t="s">
        <v>74</v>
      </c>
      <c r="K90" s="3" t="s">
        <v>360</v>
      </c>
      <c r="L90" s="3" t="s">
        <v>55</v>
      </c>
      <c r="M90" s="3" t="s">
        <v>104</v>
      </c>
    </row>
    <row r="91" customFormat="false" ht="15" hidden="false" customHeight="true" outlineLevel="0" collapsed="false">
      <c r="A91" s="5" t="s">
        <v>496</v>
      </c>
      <c r="B91" s="5" t="s">
        <v>497</v>
      </c>
      <c r="C91" s="5" t="s">
        <v>498</v>
      </c>
      <c r="D91" s="5" t="s">
        <v>80</v>
      </c>
      <c r="E91" s="5" t="s">
        <v>325</v>
      </c>
      <c r="F91" s="5" t="s">
        <v>230</v>
      </c>
      <c r="G91" s="5" t="s">
        <v>198</v>
      </c>
      <c r="H91" s="5" t="n">
        <v>2</v>
      </c>
      <c r="I91" s="5" t="s">
        <v>499</v>
      </c>
      <c r="J91" s="5" t="s">
        <v>337</v>
      </c>
      <c r="K91" s="5" t="s">
        <v>500</v>
      </c>
      <c r="L91" s="5" t="s">
        <v>55</v>
      </c>
      <c r="M91" s="5" t="s">
        <v>33</v>
      </c>
    </row>
    <row r="92" customFormat="false" ht="15" hidden="false" customHeight="true" outlineLevel="0" collapsed="false">
      <c r="A92" s="3" t="s">
        <v>501</v>
      </c>
      <c r="B92" s="3" t="s">
        <v>502</v>
      </c>
      <c r="C92" s="3" t="s">
        <v>503</v>
      </c>
      <c r="D92" s="3" t="s">
        <v>122</v>
      </c>
      <c r="E92" s="3" t="s">
        <v>81</v>
      </c>
      <c r="F92" s="3" t="s">
        <v>147</v>
      </c>
      <c r="G92" s="3" t="s">
        <v>226</v>
      </c>
      <c r="H92" s="3" t="s">
        <v>157</v>
      </c>
      <c r="I92" s="3" t="n">
        <v>50600</v>
      </c>
      <c r="J92" s="3" t="s">
        <v>63</v>
      </c>
      <c r="K92" s="3"/>
      <c r="L92" s="3" t="s">
        <v>215</v>
      </c>
      <c r="M92" s="3" t="s">
        <v>45</v>
      </c>
    </row>
    <row r="93" customFormat="false" ht="15" hidden="false" customHeight="true" outlineLevel="0" collapsed="false">
      <c r="A93" s="5" t="s">
        <v>504</v>
      </c>
      <c r="B93" s="5" t="s">
        <v>120</v>
      </c>
      <c r="C93" s="5" t="s">
        <v>351</v>
      </c>
      <c r="D93" s="5" t="s">
        <v>169</v>
      </c>
      <c r="E93" s="5" t="s">
        <v>453</v>
      </c>
      <c r="F93" s="5" t="s">
        <v>109</v>
      </c>
      <c r="G93" s="5" t="s">
        <v>505</v>
      </c>
      <c r="H93" s="5" t="n">
        <v>6</v>
      </c>
      <c r="I93" s="5"/>
      <c r="J93" s="5"/>
      <c r="K93" s="5" t="s">
        <v>75</v>
      </c>
      <c r="L93" s="5" t="s">
        <v>215</v>
      </c>
      <c r="M93" s="5" t="s">
        <v>87</v>
      </c>
    </row>
    <row r="94" customFormat="false" ht="15" hidden="false" customHeight="true" outlineLevel="0" collapsed="false">
      <c r="A94" s="3" t="s">
        <v>506</v>
      </c>
      <c r="B94" s="3" t="s">
        <v>507</v>
      </c>
      <c r="C94" s="3" t="s">
        <v>508</v>
      </c>
      <c r="D94" s="3" t="s">
        <v>26</v>
      </c>
      <c r="E94" s="3" t="s">
        <v>38</v>
      </c>
      <c r="F94" s="3" t="s">
        <v>308</v>
      </c>
      <c r="G94" s="3" t="s">
        <v>336</v>
      </c>
      <c r="H94" s="3" t="n">
        <v>3</v>
      </c>
      <c r="I94" s="3" t="s">
        <v>509</v>
      </c>
      <c r="J94" s="3" t="s">
        <v>188</v>
      </c>
      <c r="K94" s="3" t="s">
        <v>95</v>
      </c>
      <c r="L94" s="3" t="s">
        <v>215</v>
      </c>
      <c r="M94" s="3" t="s">
        <v>87</v>
      </c>
    </row>
    <row r="95" customFormat="false" ht="15" hidden="false" customHeight="true" outlineLevel="0" collapsed="false">
      <c r="A95" s="5" t="s">
        <v>510</v>
      </c>
      <c r="B95" s="5" t="s">
        <v>511</v>
      </c>
      <c r="C95" s="5" t="s">
        <v>250</v>
      </c>
      <c r="D95" s="5" t="s">
        <v>98</v>
      </c>
      <c r="E95" s="5" t="s">
        <v>108</v>
      </c>
      <c r="F95" s="5" t="s">
        <v>300</v>
      </c>
      <c r="G95" s="5" t="s">
        <v>336</v>
      </c>
      <c r="H95" s="5" t="s">
        <v>52</v>
      </c>
      <c r="I95" s="5" t="n">
        <v>10100</v>
      </c>
      <c r="J95" s="5" t="n">
        <v>0.1</v>
      </c>
      <c r="K95" s="5" t="s">
        <v>64</v>
      </c>
      <c r="L95" s="5" t="s">
        <v>76</v>
      </c>
      <c r="M95" s="5" t="s">
        <v>412</v>
      </c>
    </row>
    <row r="96" customFormat="false" ht="15" hidden="false" customHeight="true" outlineLevel="0" collapsed="false">
      <c r="A96" s="3" t="s">
        <v>512</v>
      </c>
      <c r="B96" s="4" t="n">
        <v>46022</v>
      </c>
      <c r="C96" s="3" t="s">
        <v>14</v>
      </c>
      <c r="D96" s="3" t="s">
        <v>122</v>
      </c>
      <c r="E96" s="3" t="s">
        <v>221</v>
      </c>
      <c r="F96" s="3" t="s">
        <v>123</v>
      </c>
      <c r="G96" s="3" t="s">
        <v>137</v>
      </c>
      <c r="H96" s="3" t="n">
        <v>5</v>
      </c>
      <c r="I96" s="3" t="n">
        <v>850</v>
      </c>
      <c r="J96" s="3" t="n">
        <v>0</v>
      </c>
      <c r="K96" s="3" t="s">
        <v>450</v>
      </c>
      <c r="L96" s="3" t="s">
        <v>96</v>
      </c>
      <c r="M96" s="3" t="s">
        <v>87</v>
      </c>
    </row>
    <row r="97" customFormat="false" ht="15" hidden="false" customHeight="true" outlineLevel="0" collapsed="false">
      <c r="A97" s="5" t="s">
        <v>513</v>
      </c>
      <c r="B97" s="6" t="n">
        <v>45912</v>
      </c>
      <c r="C97" s="5" t="s">
        <v>270</v>
      </c>
      <c r="D97" s="5" t="s">
        <v>122</v>
      </c>
      <c r="E97" s="5" t="s">
        <v>81</v>
      </c>
      <c r="F97" s="5" t="s">
        <v>308</v>
      </c>
      <c r="G97" s="5" t="s">
        <v>198</v>
      </c>
      <c r="H97" s="5" t="s">
        <v>514</v>
      </c>
      <c r="I97" s="5" t="s">
        <v>515</v>
      </c>
      <c r="J97" s="5" t="s">
        <v>178</v>
      </c>
      <c r="K97" s="5" t="s">
        <v>102</v>
      </c>
      <c r="L97" s="5" t="s">
        <v>114</v>
      </c>
      <c r="M97" s="5" t="s">
        <v>33</v>
      </c>
    </row>
    <row r="98" customFormat="false" ht="15" hidden="false" customHeight="true" outlineLevel="0" collapsed="false">
      <c r="A98" s="3" t="s">
        <v>516</v>
      </c>
      <c r="B98" s="3" t="s">
        <v>517</v>
      </c>
      <c r="C98" s="3" t="s">
        <v>121</v>
      </c>
      <c r="D98" s="3"/>
      <c r="E98" s="3" t="s">
        <v>282</v>
      </c>
      <c r="F98" s="3" t="s">
        <v>380</v>
      </c>
      <c r="G98" s="3" t="s">
        <v>29</v>
      </c>
      <c r="H98" s="3" t="n">
        <v>6</v>
      </c>
      <c r="I98" s="3" t="n">
        <v>4550</v>
      </c>
      <c r="J98" s="3" t="s">
        <v>74</v>
      </c>
      <c r="K98" s="3" t="s">
        <v>95</v>
      </c>
      <c r="L98" s="3" t="s">
        <v>103</v>
      </c>
      <c r="M98" s="3" t="s">
        <v>22</v>
      </c>
    </row>
    <row r="99" customFormat="false" ht="15" hidden="false" customHeight="true" outlineLevel="0" collapsed="false">
      <c r="A99" s="5" t="s">
        <v>518</v>
      </c>
      <c r="B99" s="5" t="s">
        <v>519</v>
      </c>
      <c r="C99" s="5" t="s">
        <v>245</v>
      </c>
      <c r="D99" s="5" t="s">
        <v>122</v>
      </c>
      <c r="E99" s="5" t="s">
        <v>99</v>
      </c>
      <c r="F99" s="5" t="s">
        <v>380</v>
      </c>
      <c r="G99" s="5" t="s">
        <v>520</v>
      </c>
      <c r="H99" s="5" t="s">
        <v>52</v>
      </c>
      <c r="I99" s="5" t="n">
        <v>6800</v>
      </c>
      <c r="J99" s="5" t="s">
        <v>118</v>
      </c>
      <c r="K99" s="5" t="s">
        <v>102</v>
      </c>
      <c r="L99" s="5" t="s">
        <v>278</v>
      </c>
      <c r="M99" s="5" t="s">
        <v>33</v>
      </c>
    </row>
    <row r="100" customFormat="false" ht="15" hidden="false" customHeight="true" outlineLevel="0" collapsed="false">
      <c r="A100" s="3" t="s">
        <v>521</v>
      </c>
      <c r="B100" s="4" t="n">
        <v>45949</v>
      </c>
      <c r="C100" s="3" t="s">
        <v>522</v>
      </c>
      <c r="D100" s="3" t="s">
        <v>161</v>
      </c>
      <c r="E100" s="3" t="s">
        <v>197</v>
      </c>
      <c r="F100" s="3" t="s">
        <v>131</v>
      </c>
      <c r="G100" s="3" t="s">
        <v>523</v>
      </c>
      <c r="H100" s="3" t="n">
        <v>3</v>
      </c>
      <c r="I100" s="3" t="s">
        <v>524</v>
      </c>
      <c r="J100" s="3"/>
      <c r="K100" s="3" t="s">
        <v>304</v>
      </c>
      <c r="L100" s="3" t="s">
        <v>151</v>
      </c>
      <c r="M100" s="3" t="s">
        <v>87</v>
      </c>
    </row>
    <row r="101" customFormat="false" ht="15" hidden="false" customHeight="true" outlineLevel="0" collapsed="false">
      <c r="A101" s="5" t="s">
        <v>525</v>
      </c>
      <c r="B101" s="6" t="n">
        <v>45698</v>
      </c>
      <c r="C101" s="5" t="s">
        <v>154</v>
      </c>
      <c r="D101" s="5" t="s">
        <v>58</v>
      </c>
      <c r="E101" s="5" t="s">
        <v>130</v>
      </c>
      <c r="F101" s="5" t="s">
        <v>109</v>
      </c>
      <c r="G101" s="5" t="s">
        <v>247</v>
      </c>
      <c r="H101" s="5" t="n">
        <v>8</v>
      </c>
      <c r="I101" s="5" t="s">
        <v>526</v>
      </c>
      <c r="J101" s="5" t="s">
        <v>63</v>
      </c>
      <c r="K101" s="5" t="s">
        <v>75</v>
      </c>
      <c r="L101" s="5" t="s">
        <v>32</v>
      </c>
      <c r="M101" s="5" t="s">
        <v>22</v>
      </c>
    </row>
    <row r="102" customFormat="false" ht="15" hidden="false" customHeight="true" outlineLevel="0" collapsed="false">
      <c r="A102" s="3" t="s">
        <v>527</v>
      </c>
      <c r="B102" s="3" t="s">
        <v>528</v>
      </c>
      <c r="C102" s="3" t="s">
        <v>529</v>
      </c>
      <c r="D102" s="3" t="s">
        <v>98</v>
      </c>
      <c r="E102" s="3" t="s">
        <v>490</v>
      </c>
      <c r="F102" s="3" t="s">
        <v>60</v>
      </c>
      <c r="G102" s="3" t="s">
        <v>409</v>
      </c>
      <c r="H102" s="3" t="s">
        <v>52</v>
      </c>
      <c r="I102" s="3" t="s">
        <v>530</v>
      </c>
      <c r="J102" s="3" t="s">
        <v>94</v>
      </c>
      <c r="K102" s="3" t="s">
        <v>64</v>
      </c>
      <c r="L102" s="3" t="s">
        <v>114</v>
      </c>
      <c r="M102" s="3" t="s">
        <v>22</v>
      </c>
    </row>
    <row r="103" customFormat="false" ht="15" hidden="false" customHeight="true" outlineLevel="0" collapsed="false">
      <c r="A103" s="5" t="s">
        <v>531</v>
      </c>
      <c r="B103" s="6" t="n">
        <v>45859</v>
      </c>
      <c r="C103" s="5" t="s">
        <v>276</v>
      </c>
      <c r="D103" s="5" t="s">
        <v>80</v>
      </c>
      <c r="E103" s="5" t="s">
        <v>352</v>
      </c>
      <c r="F103" s="5" t="s">
        <v>163</v>
      </c>
      <c r="G103" s="5" t="s">
        <v>164</v>
      </c>
      <c r="H103" s="5" t="s">
        <v>41</v>
      </c>
      <c r="I103" s="5" t="s">
        <v>491</v>
      </c>
      <c r="J103" s="5"/>
      <c r="K103" s="5" t="s">
        <v>86</v>
      </c>
      <c r="L103" s="5" t="s">
        <v>194</v>
      </c>
      <c r="M103" s="5" t="s">
        <v>45</v>
      </c>
    </row>
    <row r="104" customFormat="false" ht="15" hidden="false" customHeight="true" outlineLevel="0" collapsed="false">
      <c r="A104" s="3" t="s">
        <v>532</v>
      </c>
      <c r="B104" s="3" t="s">
        <v>533</v>
      </c>
      <c r="C104" s="3" t="s">
        <v>320</v>
      </c>
      <c r="D104" s="3" t="s">
        <v>129</v>
      </c>
      <c r="E104" s="3" t="s">
        <v>192</v>
      </c>
      <c r="F104" s="3" t="s">
        <v>28</v>
      </c>
      <c r="G104" s="3" t="s">
        <v>534</v>
      </c>
      <c r="H104" s="3" t="n">
        <v>3</v>
      </c>
      <c r="I104" s="3" t="s">
        <v>535</v>
      </c>
      <c r="J104" s="3" t="s">
        <v>74</v>
      </c>
      <c r="K104" s="3" t="s">
        <v>95</v>
      </c>
      <c r="L104" s="3" t="s">
        <v>278</v>
      </c>
      <c r="M104" s="3" t="s">
        <v>22</v>
      </c>
    </row>
    <row r="105" customFormat="false" ht="15" hidden="false" customHeight="true" outlineLevel="0" collapsed="false">
      <c r="A105" s="5" t="s">
        <v>536</v>
      </c>
      <c r="B105" s="5" t="s">
        <v>537</v>
      </c>
      <c r="C105" s="5" t="s">
        <v>538</v>
      </c>
      <c r="D105" s="5" t="s">
        <v>155</v>
      </c>
      <c r="E105" s="5" t="s">
        <v>495</v>
      </c>
      <c r="F105" s="5" t="s">
        <v>300</v>
      </c>
      <c r="G105" s="5" t="s">
        <v>231</v>
      </c>
      <c r="H105" s="5" t="n">
        <v>1</v>
      </c>
      <c r="I105" s="5" t="s">
        <v>539</v>
      </c>
      <c r="J105" s="5" t="n">
        <v>0</v>
      </c>
      <c r="K105" s="5" t="s">
        <v>64</v>
      </c>
      <c r="L105" s="5" t="s">
        <v>76</v>
      </c>
      <c r="M105" s="5" t="s">
        <v>152</v>
      </c>
    </row>
    <row r="106" customFormat="false" ht="15" hidden="false" customHeight="true" outlineLevel="0" collapsed="false">
      <c r="A106" s="3" t="s">
        <v>540</v>
      </c>
      <c r="B106" s="3" t="s">
        <v>541</v>
      </c>
      <c r="C106" s="3" t="s">
        <v>390</v>
      </c>
      <c r="D106" s="3" t="s">
        <v>37</v>
      </c>
      <c r="E106" s="3" t="s">
        <v>49</v>
      </c>
      <c r="F106" s="3" t="s">
        <v>91</v>
      </c>
      <c r="G106" s="3" t="s">
        <v>340</v>
      </c>
      <c r="H106" s="3" t="n">
        <v>2</v>
      </c>
      <c r="I106" s="3" t="s">
        <v>542</v>
      </c>
      <c r="J106" s="3" t="s">
        <v>112</v>
      </c>
      <c r="K106" s="3" t="s">
        <v>143</v>
      </c>
      <c r="L106" s="3" t="s">
        <v>151</v>
      </c>
      <c r="M106" s="3" t="s">
        <v>87</v>
      </c>
    </row>
    <row r="107" customFormat="false" ht="15" hidden="false" customHeight="true" outlineLevel="0" collapsed="false">
      <c r="A107" s="5" t="s">
        <v>543</v>
      </c>
      <c r="B107" s="5" t="s">
        <v>544</v>
      </c>
      <c r="C107" s="5" t="s">
        <v>220</v>
      </c>
      <c r="D107" s="5"/>
      <c r="E107" s="5" t="s">
        <v>287</v>
      </c>
      <c r="F107" s="5" t="s">
        <v>163</v>
      </c>
      <c r="G107" s="5" t="s">
        <v>317</v>
      </c>
      <c r="H107" s="5" t="s">
        <v>111</v>
      </c>
      <c r="I107" s="5" t="s">
        <v>545</v>
      </c>
      <c r="J107" s="5"/>
      <c r="K107" s="5" t="s">
        <v>64</v>
      </c>
      <c r="L107" s="5" t="s">
        <v>278</v>
      </c>
      <c r="M107" s="5" t="s">
        <v>33</v>
      </c>
    </row>
    <row r="108" customFormat="false" ht="15" hidden="false" customHeight="true" outlineLevel="0" collapsed="false">
      <c r="A108" s="3" t="s">
        <v>546</v>
      </c>
      <c r="B108" s="4" t="n">
        <v>45887</v>
      </c>
      <c r="C108" s="3" t="s">
        <v>547</v>
      </c>
      <c r="D108" s="3" t="s">
        <v>98</v>
      </c>
      <c r="E108" s="3" t="s">
        <v>210</v>
      </c>
      <c r="F108" s="3" t="s">
        <v>141</v>
      </c>
      <c r="G108" s="3" t="s">
        <v>247</v>
      </c>
      <c r="H108" s="3" t="n">
        <v>8</v>
      </c>
      <c r="I108" s="3" t="s">
        <v>548</v>
      </c>
      <c r="J108" s="3" t="n">
        <v>0</v>
      </c>
      <c r="K108" s="3" t="s">
        <v>95</v>
      </c>
      <c r="L108" s="3" t="s">
        <v>76</v>
      </c>
      <c r="M108" s="3" t="s">
        <v>45</v>
      </c>
    </row>
    <row r="109" customFormat="false" ht="15" hidden="false" customHeight="true" outlineLevel="0" collapsed="false">
      <c r="A109" s="5" t="s">
        <v>549</v>
      </c>
      <c r="B109" s="5" t="s">
        <v>550</v>
      </c>
      <c r="C109" s="5" t="s">
        <v>551</v>
      </c>
      <c r="D109" s="5" t="s">
        <v>161</v>
      </c>
      <c r="E109" s="5" t="s">
        <v>99</v>
      </c>
      <c r="F109" s="5" t="s">
        <v>230</v>
      </c>
      <c r="G109" s="5" t="s">
        <v>177</v>
      </c>
      <c r="H109" s="5" t="s">
        <v>52</v>
      </c>
      <c r="I109" s="5" t="s">
        <v>552</v>
      </c>
      <c r="J109" s="5" t="s">
        <v>63</v>
      </c>
      <c r="K109" s="5" t="s">
        <v>553</v>
      </c>
      <c r="L109" s="5" t="s">
        <v>21</v>
      </c>
      <c r="M109" s="5" t="s">
        <v>87</v>
      </c>
    </row>
    <row r="110" customFormat="false" ht="15" hidden="false" customHeight="true" outlineLevel="0" collapsed="false">
      <c r="A110" s="3" t="s">
        <v>554</v>
      </c>
      <c r="B110" s="3" t="s">
        <v>555</v>
      </c>
      <c r="C110" s="3" t="s">
        <v>556</v>
      </c>
      <c r="D110" s="3" t="s">
        <v>122</v>
      </c>
      <c r="E110" s="3" t="s">
        <v>352</v>
      </c>
      <c r="F110" s="3" t="s">
        <v>60</v>
      </c>
      <c r="G110" s="3" t="s">
        <v>247</v>
      </c>
      <c r="H110" s="3" t="n">
        <v>4</v>
      </c>
      <c r="I110" s="3" t="s">
        <v>557</v>
      </c>
      <c r="J110" s="3" t="s">
        <v>63</v>
      </c>
      <c r="K110" s="3" t="s">
        <v>372</v>
      </c>
      <c r="L110" s="3" t="s">
        <v>194</v>
      </c>
      <c r="M110" s="3" t="s">
        <v>87</v>
      </c>
    </row>
    <row r="111" customFormat="false" ht="15" hidden="false" customHeight="true" outlineLevel="0" collapsed="false">
      <c r="A111" s="5" t="s">
        <v>558</v>
      </c>
      <c r="B111" s="5" t="s">
        <v>559</v>
      </c>
      <c r="C111" s="5" t="s">
        <v>560</v>
      </c>
      <c r="D111" s="5" t="s">
        <v>37</v>
      </c>
      <c r="E111" s="5" t="s">
        <v>38</v>
      </c>
      <c r="F111" s="5" t="s">
        <v>82</v>
      </c>
      <c r="G111" s="5" t="s">
        <v>561</v>
      </c>
      <c r="H111" s="5" t="n">
        <v>2</v>
      </c>
      <c r="I111" s="5" t="s">
        <v>562</v>
      </c>
      <c r="J111" s="5"/>
      <c r="K111" s="5" t="s">
        <v>273</v>
      </c>
      <c r="L111" s="5" t="s">
        <v>114</v>
      </c>
      <c r="M111" s="5" t="s">
        <v>22</v>
      </c>
    </row>
    <row r="112" customFormat="false" ht="15" hidden="false" customHeight="true" outlineLevel="0" collapsed="false">
      <c r="A112" s="3" t="s">
        <v>563</v>
      </c>
      <c r="B112" s="3" t="s">
        <v>564</v>
      </c>
      <c r="C112" s="3" t="s">
        <v>565</v>
      </c>
      <c r="D112" s="3" t="s">
        <v>58</v>
      </c>
      <c r="E112" s="3" t="s">
        <v>16</v>
      </c>
      <c r="F112" s="3" t="s">
        <v>230</v>
      </c>
      <c r="G112" s="3" t="s">
        <v>566</v>
      </c>
      <c r="H112" s="3" t="n">
        <v>2</v>
      </c>
      <c r="I112" s="3" t="s">
        <v>539</v>
      </c>
      <c r="J112" s="3" t="s">
        <v>337</v>
      </c>
      <c r="K112" s="3" t="s">
        <v>446</v>
      </c>
      <c r="L112" s="3" t="s">
        <v>151</v>
      </c>
      <c r="M112" s="3" t="s">
        <v>242</v>
      </c>
    </row>
    <row r="113" customFormat="false" ht="15" hidden="false" customHeight="true" outlineLevel="0" collapsed="false">
      <c r="A113" s="5" t="s">
        <v>567</v>
      </c>
      <c r="B113" s="5" t="s">
        <v>568</v>
      </c>
      <c r="C113" s="5" t="s">
        <v>569</v>
      </c>
      <c r="D113" s="5" t="s">
        <v>236</v>
      </c>
      <c r="E113" s="5" t="s">
        <v>570</v>
      </c>
      <c r="F113" s="5" t="s">
        <v>82</v>
      </c>
      <c r="G113" s="5" t="s">
        <v>571</v>
      </c>
      <c r="H113" s="5" t="n">
        <v>4</v>
      </c>
      <c r="I113" s="5" t="s">
        <v>572</v>
      </c>
      <c r="J113" s="5" t="n">
        <v>0.1</v>
      </c>
      <c r="K113" s="5" t="s">
        <v>500</v>
      </c>
      <c r="L113" s="5" t="s">
        <v>151</v>
      </c>
      <c r="M113" s="5" t="s">
        <v>242</v>
      </c>
    </row>
    <row r="114" customFormat="false" ht="15" hidden="false" customHeight="true" outlineLevel="0" collapsed="false">
      <c r="A114" s="3" t="s">
        <v>573</v>
      </c>
      <c r="B114" s="4" t="n">
        <v>45720</v>
      </c>
      <c r="C114" s="3" t="s">
        <v>371</v>
      </c>
      <c r="D114" s="3" t="s">
        <v>98</v>
      </c>
      <c r="E114" s="3" t="s">
        <v>210</v>
      </c>
      <c r="F114" s="3" t="s">
        <v>308</v>
      </c>
      <c r="G114" s="3" t="s">
        <v>177</v>
      </c>
      <c r="H114" s="3" t="n">
        <v>4</v>
      </c>
      <c r="I114" s="3" t="s">
        <v>574</v>
      </c>
      <c r="J114" s="3" t="s">
        <v>288</v>
      </c>
      <c r="K114" s="3" t="s">
        <v>64</v>
      </c>
      <c r="L114" s="3" t="s">
        <v>76</v>
      </c>
      <c r="M114" s="3" t="s">
        <v>87</v>
      </c>
    </row>
    <row r="115" customFormat="false" ht="15" hidden="false" customHeight="true" outlineLevel="0" collapsed="false">
      <c r="A115" s="5" t="s">
        <v>575</v>
      </c>
      <c r="B115" s="5"/>
      <c r="C115" s="5" t="s">
        <v>576</v>
      </c>
      <c r="D115" s="5" t="s">
        <v>155</v>
      </c>
      <c r="E115" s="5" t="s">
        <v>99</v>
      </c>
      <c r="F115" s="5" t="s">
        <v>91</v>
      </c>
      <c r="G115" s="5" t="s">
        <v>534</v>
      </c>
      <c r="H115" s="5" t="n">
        <v>1</v>
      </c>
      <c r="I115" s="5" t="s">
        <v>577</v>
      </c>
      <c r="J115" s="5" t="s">
        <v>337</v>
      </c>
      <c r="K115" s="5" t="s">
        <v>150</v>
      </c>
      <c r="L115" s="5" t="s">
        <v>96</v>
      </c>
      <c r="M115" s="5" t="s">
        <v>33</v>
      </c>
    </row>
    <row r="116" customFormat="false" ht="15" hidden="false" customHeight="true" outlineLevel="0" collapsed="false">
      <c r="A116" s="3" t="s">
        <v>578</v>
      </c>
      <c r="B116" s="4" t="n">
        <v>45697</v>
      </c>
      <c r="C116" s="3" t="s">
        <v>79</v>
      </c>
      <c r="D116" s="3" t="s">
        <v>161</v>
      </c>
      <c r="E116" s="3" t="s">
        <v>108</v>
      </c>
      <c r="F116" s="3" t="s">
        <v>71</v>
      </c>
      <c r="G116" s="3" t="s">
        <v>367</v>
      </c>
      <c r="H116" s="3" t="n">
        <v>3</v>
      </c>
      <c r="I116" s="3" t="s">
        <v>579</v>
      </c>
      <c r="J116" s="3" t="n">
        <v>0.1</v>
      </c>
      <c r="K116" s="3" t="s">
        <v>150</v>
      </c>
      <c r="L116" s="3" t="s">
        <v>65</v>
      </c>
      <c r="M116" s="3" t="s">
        <v>387</v>
      </c>
    </row>
    <row r="117" customFormat="false" ht="15" hidden="false" customHeight="true" outlineLevel="0" collapsed="false">
      <c r="A117" s="5" t="s">
        <v>580</v>
      </c>
      <c r="B117" s="5" t="s">
        <v>581</v>
      </c>
      <c r="C117" s="5" t="s">
        <v>582</v>
      </c>
      <c r="D117" s="5" t="s">
        <v>69</v>
      </c>
      <c r="E117" s="5" t="s">
        <v>583</v>
      </c>
      <c r="F117" s="5" t="s">
        <v>141</v>
      </c>
      <c r="G117" s="5" t="s">
        <v>317</v>
      </c>
      <c r="H117" s="5" t="s">
        <v>111</v>
      </c>
      <c r="I117" s="5" t="s">
        <v>458</v>
      </c>
      <c r="J117" s="5" t="n">
        <v>0.2</v>
      </c>
      <c r="K117" s="5" t="s">
        <v>360</v>
      </c>
      <c r="L117" s="5" t="s">
        <v>96</v>
      </c>
      <c r="M117" s="5" t="s">
        <v>87</v>
      </c>
    </row>
    <row r="118" customFormat="false" ht="15" hidden="false" customHeight="true" outlineLevel="0" collapsed="false">
      <c r="A118" s="3" t="s">
        <v>584</v>
      </c>
      <c r="B118" s="3" t="s">
        <v>585</v>
      </c>
      <c r="C118" s="3" t="s">
        <v>494</v>
      </c>
      <c r="D118" s="3" t="s">
        <v>161</v>
      </c>
      <c r="E118" s="3" t="s">
        <v>108</v>
      </c>
      <c r="F118" s="3" t="s">
        <v>147</v>
      </c>
      <c r="G118" s="3" t="s">
        <v>520</v>
      </c>
      <c r="H118" s="3" t="n">
        <v>6</v>
      </c>
      <c r="I118" s="3" t="n">
        <v>6600</v>
      </c>
      <c r="J118" s="3" t="s">
        <v>188</v>
      </c>
      <c r="K118" s="3" t="s">
        <v>143</v>
      </c>
      <c r="L118" s="3" t="s">
        <v>55</v>
      </c>
      <c r="M118" s="3" t="s">
        <v>33</v>
      </c>
    </row>
    <row r="119" customFormat="false" ht="15" hidden="false" customHeight="true" outlineLevel="0" collapsed="false">
      <c r="A119" s="5" t="s">
        <v>586</v>
      </c>
      <c r="B119" s="6" t="n">
        <v>45844</v>
      </c>
      <c r="C119" s="5" t="s">
        <v>551</v>
      </c>
      <c r="D119" s="5" t="s">
        <v>122</v>
      </c>
      <c r="E119" s="5" t="s">
        <v>162</v>
      </c>
      <c r="F119" s="5" t="s">
        <v>147</v>
      </c>
      <c r="G119" s="5" t="s">
        <v>29</v>
      </c>
      <c r="H119" s="5" t="n">
        <v>3</v>
      </c>
      <c r="I119" s="5" t="s">
        <v>587</v>
      </c>
      <c r="J119" s="5" t="s">
        <v>63</v>
      </c>
      <c r="K119" s="5" t="s">
        <v>75</v>
      </c>
      <c r="L119" s="5" t="s">
        <v>21</v>
      </c>
      <c r="M119" s="5" t="s">
        <v>45</v>
      </c>
    </row>
    <row r="120" customFormat="false" ht="15" hidden="false" customHeight="true" outlineLevel="0" collapsed="false">
      <c r="A120" s="3" t="s">
        <v>588</v>
      </c>
      <c r="B120" s="3" t="s">
        <v>589</v>
      </c>
      <c r="C120" s="3" t="s">
        <v>116</v>
      </c>
      <c r="D120" s="3"/>
      <c r="E120" s="3" t="s">
        <v>38</v>
      </c>
      <c r="F120" s="3" t="s">
        <v>147</v>
      </c>
      <c r="G120" s="3" t="s">
        <v>590</v>
      </c>
      <c r="H120" s="3" t="n">
        <v>4</v>
      </c>
      <c r="I120" s="3" t="s">
        <v>591</v>
      </c>
      <c r="J120" s="3" t="s">
        <v>241</v>
      </c>
      <c r="K120" s="3" t="s">
        <v>553</v>
      </c>
      <c r="L120" s="3" t="s">
        <v>21</v>
      </c>
      <c r="M120" s="3" t="s">
        <v>22</v>
      </c>
    </row>
    <row r="121" customFormat="false" ht="15" hidden="false" customHeight="true" outlineLevel="0" collapsed="false">
      <c r="A121" s="5" t="s">
        <v>592</v>
      </c>
      <c r="B121" s="6" t="n">
        <v>45963</v>
      </c>
      <c r="C121" s="5" t="s">
        <v>593</v>
      </c>
      <c r="D121" s="5" t="s">
        <v>69</v>
      </c>
      <c r="E121" s="5" t="s">
        <v>237</v>
      </c>
      <c r="F121" s="5" t="s">
        <v>163</v>
      </c>
      <c r="G121" s="5" t="s">
        <v>594</v>
      </c>
      <c r="H121" s="5" t="s">
        <v>52</v>
      </c>
      <c r="I121" s="5" t="s">
        <v>595</v>
      </c>
      <c r="J121" s="5" t="n">
        <v>0.15</v>
      </c>
      <c r="K121" s="5" t="s">
        <v>64</v>
      </c>
      <c r="L121" s="5" t="s">
        <v>32</v>
      </c>
      <c r="M121" s="5" t="s">
        <v>87</v>
      </c>
    </row>
    <row r="122" customFormat="false" ht="15" hidden="false" customHeight="true" outlineLevel="0" collapsed="false">
      <c r="A122" s="3" t="s">
        <v>596</v>
      </c>
      <c r="B122" s="3" t="s">
        <v>597</v>
      </c>
      <c r="C122" s="3" t="s">
        <v>598</v>
      </c>
      <c r="D122" s="3" t="s">
        <v>155</v>
      </c>
      <c r="E122" s="3" t="s">
        <v>325</v>
      </c>
      <c r="F122" s="3" t="s">
        <v>123</v>
      </c>
      <c r="G122" s="3" t="s">
        <v>367</v>
      </c>
      <c r="H122" s="3" t="s">
        <v>178</v>
      </c>
      <c r="I122" s="3" t="s">
        <v>599</v>
      </c>
      <c r="J122" s="3" t="s">
        <v>63</v>
      </c>
      <c r="K122" s="3" t="s">
        <v>75</v>
      </c>
      <c r="L122" s="3" t="s">
        <v>21</v>
      </c>
      <c r="M122" s="3" t="s">
        <v>87</v>
      </c>
    </row>
    <row r="123" customFormat="false" ht="15" hidden="false" customHeight="true" outlineLevel="0" collapsed="false">
      <c r="A123" s="5" t="s">
        <v>600</v>
      </c>
      <c r="B123" s="5" t="s">
        <v>601</v>
      </c>
      <c r="C123" s="5" t="s">
        <v>602</v>
      </c>
      <c r="D123" s="5" t="s">
        <v>129</v>
      </c>
      <c r="E123" s="5" t="s">
        <v>246</v>
      </c>
      <c r="F123" s="5" t="s">
        <v>109</v>
      </c>
      <c r="G123" s="5" t="s">
        <v>409</v>
      </c>
      <c r="H123" s="5" t="n">
        <v>4</v>
      </c>
      <c r="I123" s="5" t="s">
        <v>530</v>
      </c>
      <c r="J123" s="5" t="n">
        <v>0.2</v>
      </c>
      <c r="K123" s="5" t="s">
        <v>372</v>
      </c>
      <c r="L123" s="5" t="s">
        <v>103</v>
      </c>
      <c r="M123" s="5" t="s">
        <v>87</v>
      </c>
    </row>
    <row r="124" customFormat="false" ht="15" hidden="false" customHeight="true" outlineLevel="0" collapsed="false">
      <c r="A124" s="3" t="s">
        <v>603</v>
      </c>
      <c r="B124" s="3" t="s">
        <v>604</v>
      </c>
      <c r="C124" s="3" t="s">
        <v>145</v>
      </c>
      <c r="D124" s="3" t="s">
        <v>236</v>
      </c>
      <c r="E124" s="3" t="s">
        <v>237</v>
      </c>
      <c r="F124" s="3" t="s">
        <v>109</v>
      </c>
      <c r="G124" s="3" t="s">
        <v>100</v>
      </c>
      <c r="H124" s="3" t="n">
        <v>8</v>
      </c>
      <c r="I124" s="3" t="s">
        <v>605</v>
      </c>
      <c r="J124" s="3"/>
      <c r="K124" s="3" t="s">
        <v>143</v>
      </c>
      <c r="L124" s="3" t="s">
        <v>55</v>
      </c>
      <c r="M124" s="3" t="s">
        <v>33</v>
      </c>
    </row>
    <row r="125" customFormat="false" ht="15" hidden="false" customHeight="true" outlineLevel="0" collapsed="false">
      <c r="A125" s="5" t="s">
        <v>606</v>
      </c>
      <c r="B125" s="5" t="s">
        <v>607</v>
      </c>
      <c r="C125" s="5" t="s">
        <v>245</v>
      </c>
      <c r="D125" s="5" t="s">
        <v>80</v>
      </c>
      <c r="E125" s="5" t="s">
        <v>99</v>
      </c>
      <c r="F125" s="5" t="s">
        <v>109</v>
      </c>
      <c r="G125" s="5" t="s">
        <v>100</v>
      </c>
      <c r="H125" s="5" t="n">
        <v>2</v>
      </c>
      <c r="I125" s="5" t="s">
        <v>608</v>
      </c>
      <c r="J125" s="5" t="s">
        <v>248</v>
      </c>
      <c r="K125" s="5" t="s">
        <v>500</v>
      </c>
      <c r="L125" s="5" t="s">
        <v>55</v>
      </c>
      <c r="M125" s="5" t="s">
        <v>87</v>
      </c>
    </row>
    <row r="126" customFormat="false" ht="15" hidden="false" customHeight="true" outlineLevel="0" collapsed="false">
      <c r="A126" s="3" t="s">
        <v>609</v>
      </c>
      <c r="B126" s="4" t="n">
        <v>45991</v>
      </c>
      <c r="C126" s="3" t="s">
        <v>610</v>
      </c>
      <c r="D126" s="3" t="s">
        <v>37</v>
      </c>
      <c r="E126" s="3" t="s">
        <v>186</v>
      </c>
      <c r="F126" s="3" t="s">
        <v>147</v>
      </c>
      <c r="G126" s="3" t="s">
        <v>340</v>
      </c>
      <c r="H126" s="3" t="s">
        <v>157</v>
      </c>
      <c r="I126" s="3"/>
      <c r="J126" s="3" t="s">
        <v>63</v>
      </c>
      <c r="K126" s="3" t="s">
        <v>95</v>
      </c>
      <c r="L126" s="3" t="s">
        <v>21</v>
      </c>
      <c r="M126" s="3" t="s">
        <v>22</v>
      </c>
    </row>
    <row r="127" customFormat="false" ht="15" hidden="false" customHeight="true" outlineLevel="0" collapsed="false">
      <c r="A127" s="5" t="s">
        <v>611</v>
      </c>
      <c r="B127" s="5" t="s">
        <v>612</v>
      </c>
      <c r="C127" s="5" t="s">
        <v>613</v>
      </c>
      <c r="D127" s="5" t="s">
        <v>37</v>
      </c>
      <c r="E127" s="5" t="s">
        <v>38</v>
      </c>
      <c r="F127" s="5" t="s">
        <v>50</v>
      </c>
      <c r="G127" s="5" t="s">
        <v>156</v>
      </c>
      <c r="H127" s="5" t="n">
        <v>7</v>
      </c>
      <c r="I127" s="5" t="s">
        <v>614</v>
      </c>
      <c r="J127" s="5"/>
      <c r="K127" s="5" t="s">
        <v>113</v>
      </c>
      <c r="L127" s="5" t="s">
        <v>96</v>
      </c>
      <c r="M127" s="5" t="s">
        <v>87</v>
      </c>
    </row>
    <row r="128" customFormat="false" ht="15" hidden="false" customHeight="true" outlineLevel="0" collapsed="false">
      <c r="A128" s="3" t="s">
        <v>615</v>
      </c>
      <c r="B128" s="4" t="n">
        <v>45825</v>
      </c>
      <c r="C128" s="3" t="s">
        <v>616</v>
      </c>
      <c r="D128" s="3" t="s">
        <v>69</v>
      </c>
      <c r="E128" s="3" t="s">
        <v>570</v>
      </c>
      <c r="F128" s="3" t="s">
        <v>261</v>
      </c>
      <c r="G128" s="3" t="s">
        <v>72</v>
      </c>
      <c r="H128" s="3" t="s">
        <v>465</v>
      </c>
      <c r="I128" s="3" t="s">
        <v>617</v>
      </c>
      <c r="J128" s="3" t="s">
        <v>94</v>
      </c>
      <c r="K128" s="3" t="s">
        <v>500</v>
      </c>
      <c r="L128" s="3" t="s">
        <v>55</v>
      </c>
      <c r="M128" s="3" t="s">
        <v>87</v>
      </c>
    </row>
    <row r="129" customFormat="false" ht="15" hidden="false" customHeight="true" outlineLevel="0" collapsed="false">
      <c r="A129" s="5" t="s">
        <v>618</v>
      </c>
      <c r="B129" s="5" t="s">
        <v>619</v>
      </c>
      <c r="C129" s="5" t="s">
        <v>620</v>
      </c>
      <c r="D129" s="5" t="s">
        <v>155</v>
      </c>
      <c r="E129" s="5" t="s">
        <v>162</v>
      </c>
      <c r="F129" s="5" t="s">
        <v>170</v>
      </c>
      <c r="G129" s="5" t="s">
        <v>336</v>
      </c>
      <c r="H129" s="5" t="s">
        <v>239</v>
      </c>
      <c r="I129" s="5" t="s">
        <v>621</v>
      </c>
      <c r="J129" s="5" t="s">
        <v>337</v>
      </c>
      <c r="K129" s="5" t="s">
        <v>113</v>
      </c>
      <c r="L129" s="5" t="s">
        <v>103</v>
      </c>
      <c r="M129" s="5" t="s">
        <v>33</v>
      </c>
    </row>
    <row r="130" customFormat="false" ht="15" hidden="false" customHeight="true" outlineLevel="0" collapsed="false">
      <c r="A130" s="3" t="s">
        <v>622</v>
      </c>
      <c r="B130" s="3" t="s">
        <v>623</v>
      </c>
      <c r="C130" s="3" t="s">
        <v>624</v>
      </c>
      <c r="D130" s="3" t="s">
        <v>155</v>
      </c>
      <c r="E130" s="3" t="s">
        <v>81</v>
      </c>
      <c r="F130" s="3" t="s">
        <v>109</v>
      </c>
      <c r="G130" s="3" t="s">
        <v>247</v>
      </c>
      <c r="H130" s="3" t="s">
        <v>52</v>
      </c>
      <c r="I130" s="3" t="s">
        <v>625</v>
      </c>
      <c r="J130" s="3"/>
      <c r="K130" s="3" t="s">
        <v>165</v>
      </c>
      <c r="L130" s="3" t="s">
        <v>32</v>
      </c>
      <c r="M130" s="3" t="s">
        <v>22</v>
      </c>
    </row>
    <row r="131" customFormat="false" ht="15" hidden="false" customHeight="true" outlineLevel="0" collapsed="false">
      <c r="A131" s="5" t="s">
        <v>626</v>
      </c>
      <c r="B131" s="5" t="s">
        <v>627</v>
      </c>
      <c r="C131" s="5" t="s">
        <v>628</v>
      </c>
      <c r="D131" s="5" t="s">
        <v>80</v>
      </c>
      <c r="E131" s="5" t="s">
        <v>197</v>
      </c>
      <c r="F131" s="5" t="s">
        <v>163</v>
      </c>
      <c r="G131" s="5" t="s">
        <v>247</v>
      </c>
      <c r="H131" s="5" t="n">
        <v>3</v>
      </c>
      <c r="I131" s="5" t="s">
        <v>629</v>
      </c>
      <c r="J131" s="5" t="s">
        <v>112</v>
      </c>
      <c r="K131" s="5" t="s">
        <v>95</v>
      </c>
      <c r="L131" s="5" t="s">
        <v>44</v>
      </c>
      <c r="M131" s="5" t="s">
        <v>87</v>
      </c>
    </row>
    <row r="132" customFormat="false" ht="15" hidden="false" customHeight="true" outlineLevel="0" collapsed="false">
      <c r="A132" s="3" t="s">
        <v>630</v>
      </c>
      <c r="B132" s="3" t="s">
        <v>631</v>
      </c>
      <c r="C132" s="3" t="s">
        <v>610</v>
      </c>
      <c r="D132" s="3" t="s">
        <v>155</v>
      </c>
      <c r="E132" s="3" t="s">
        <v>221</v>
      </c>
      <c r="F132" s="3" t="s">
        <v>71</v>
      </c>
      <c r="G132" s="3" t="s">
        <v>632</v>
      </c>
      <c r="H132" s="3" t="n">
        <v>6</v>
      </c>
      <c r="I132" s="3" t="s">
        <v>633</v>
      </c>
      <c r="J132" s="3" t="s">
        <v>188</v>
      </c>
      <c r="K132" s="3" t="s">
        <v>64</v>
      </c>
      <c r="L132" s="3" t="s">
        <v>151</v>
      </c>
      <c r="M132" s="3" t="s">
        <v>45</v>
      </c>
    </row>
    <row r="133" customFormat="false" ht="15" hidden="false" customHeight="true" outlineLevel="0" collapsed="false">
      <c r="A133" s="5" t="s">
        <v>634</v>
      </c>
      <c r="B133" s="6" t="n">
        <v>45926</v>
      </c>
      <c r="C133" s="5" t="s">
        <v>635</v>
      </c>
      <c r="D133" s="5" t="s">
        <v>122</v>
      </c>
      <c r="E133" s="5" t="s">
        <v>162</v>
      </c>
      <c r="F133" s="5" t="s">
        <v>230</v>
      </c>
      <c r="G133" s="5" t="s">
        <v>636</v>
      </c>
      <c r="H133" s="5" t="s">
        <v>239</v>
      </c>
      <c r="I133" s="5" t="s">
        <v>637</v>
      </c>
      <c r="J133" s="5" t="s">
        <v>118</v>
      </c>
      <c r="K133" s="5" t="s">
        <v>365</v>
      </c>
      <c r="L133" s="5" t="s">
        <v>194</v>
      </c>
      <c r="M133" s="5" t="s">
        <v>87</v>
      </c>
    </row>
    <row r="134" customFormat="false" ht="15" hidden="false" customHeight="true" outlineLevel="0" collapsed="false">
      <c r="A134" s="3" t="s">
        <v>638</v>
      </c>
      <c r="B134" s="3" t="s">
        <v>427</v>
      </c>
      <c r="C134" s="3" t="s">
        <v>639</v>
      </c>
      <c r="D134" s="3" t="s">
        <v>80</v>
      </c>
      <c r="E134" s="3" t="s">
        <v>197</v>
      </c>
      <c r="F134" s="3" t="s">
        <v>308</v>
      </c>
      <c r="G134" s="3" t="s">
        <v>336</v>
      </c>
      <c r="H134" s="3" t="s">
        <v>41</v>
      </c>
      <c r="I134" s="3" t="n">
        <v>9500</v>
      </c>
      <c r="J134" s="3" t="s">
        <v>188</v>
      </c>
      <c r="K134" s="3" t="s">
        <v>102</v>
      </c>
      <c r="L134" s="3" t="s">
        <v>55</v>
      </c>
      <c r="M134" s="3" t="s">
        <v>33</v>
      </c>
    </row>
    <row r="135" customFormat="false" ht="15" hidden="false" customHeight="true" outlineLevel="0" collapsed="false">
      <c r="A135" s="5" t="s">
        <v>640</v>
      </c>
      <c r="B135" s="6" t="n">
        <v>45839</v>
      </c>
      <c r="C135" s="5" t="s">
        <v>641</v>
      </c>
      <c r="D135" s="5" t="s">
        <v>80</v>
      </c>
      <c r="E135" s="5" t="s">
        <v>254</v>
      </c>
      <c r="F135" s="5" t="s">
        <v>50</v>
      </c>
      <c r="G135" s="5" t="s">
        <v>51</v>
      </c>
      <c r="H135" s="5" t="n">
        <v>3</v>
      </c>
      <c r="I135" s="5" t="s">
        <v>642</v>
      </c>
      <c r="J135" s="5" t="s">
        <v>112</v>
      </c>
      <c r="K135" s="5"/>
      <c r="L135" s="5" t="s">
        <v>21</v>
      </c>
      <c r="M135" s="5" t="s">
        <v>45</v>
      </c>
    </row>
    <row r="136" customFormat="false" ht="15" hidden="false" customHeight="true" outlineLevel="0" collapsed="false">
      <c r="A136" s="3" t="s">
        <v>643</v>
      </c>
      <c r="B136" s="3" t="s">
        <v>644</v>
      </c>
      <c r="C136" s="3" t="s">
        <v>645</v>
      </c>
      <c r="D136" s="3" t="s">
        <v>26</v>
      </c>
      <c r="E136" s="3"/>
      <c r="F136" s="3" t="s">
        <v>147</v>
      </c>
      <c r="G136" s="3" t="s">
        <v>226</v>
      </c>
      <c r="H136" s="3" t="s">
        <v>41</v>
      </c>
      <c r="I136" s="3" t="n">
        <v>53250</v>
      </c>
      <c r="J136" s="3" t="s">
        <v>178</v>
      </c>
      <c r="K136" s="3" t="s">
        <v>446</v>
      </c>
      <c r="L136" s="3" t="s">
        <v>278</v>
      </c>
      <c r="M136" s="3" t="s">
        <v>355</v>
      </c>
    </row>
    <row r="137" customFormat="false" ht="15" hidden="false" customHeight="true" outlineLevel="0" collapsed="false">
      <c r="A137" s="5" t="s">
        <v>646</v>
      </c>
      <c r="B137" s="6" t="n">
        <v>45855</v>
      </c>
      <c r="C137" s="5" t="s">
        <v>390</v>
      </c>
      <c r="D137" s="5" t="s">
        <v>647</v>
      </c>
      <c r="E137" s="5" t="s">
        <v>648</v>
      </c>
      <c r="F137" s="5" t="s">
        <v>123</v>
      </c>
      <c r="G137" s="5" t="s">
        <v>262</v>
      </c>
      <c r="H137" s="5" t="s">
        <v>41</v>
      </c>
      <c r="I137" s="5" t="s">
        <v>649</v>
      </c>
      <c r="J137" s="5" t="s">
        <v>241</v>
      </c>
      <c r="K137" s="5"/>
      <c r="L137" s="5" t="s">
        <v>215</v>
      </c>
      <c r="M137" s="5" t="s">
        <v>33</v>
      </c>
    </row>
    <row r="138" customFormat="false" ht="15" hidden="false" customHeight="true" outlineLevel="0" collapsed="false">
      <c r="A138" s="3" t="s">
        <v>650</v>
      </c>
      <c r="B138" s="3" t="s">
        <v>651</v>
      </c>
      <c r="C138" s="3" t="s">
        <v>652</v>
      </c>
      <c r="D138" s="3" t="s">
        <v>155</v>
      </c>
      <c r="E138" s="3" t="s">
        <v>108</v>
      </c>
      <c r="F138" s="3" t="s">
        <v>261</v>
      </c>
      <c r="G138" s="3" t="s">
        <v>137</v>
      </c>
      <c r="H138" s="3" t="n">
        <v>5</v>
      </c>
      <c r="I138" s="3" t="n">
        <v>850</v>
      </c>
      <c r="J138" s="3" t="s">
        <v>303</v>
      </c>
      <c r="K138" s="3" t="s">
        <v>397</v>
      </c>
      <c r="L138" s="3" t="s">
        <v>114</v>
      </c>
      <c r="M138" s="3" t="s">
        <v>22</v>
      </c>
    </row>
    <row r="139" customFormat="false" ht="15" hidden="false" customHeight="true" outlineLevel="0" collapsed="false">
      <c r="A139" s="5" t="s">
        <v>653</v>
      </c>
      <c r="B139" s="5" t="s">
        <v>654</v>
      </c>
      <c r="C139" s="5" t="s">
        <v>639</v>
      </c>
      <c r="D139" s="5" t="s">
        <v>80</v>
      </c>
      <c r="E139" s="5" t="s">
        <v>99</v>
      </c>
      <c r="F139" s="5" t="s">
        <v>204</v>
      </c>
      <c r="G139" s="5" t="s">
        <v>218</v>
      </c>
      <c r="H139" s="5" t="s">
        <v>655</v>
      </c>
      <c r="I139" s="5" t="n">
        <v>9300</v>
      </c>
      <c r="J139" s="5" t="n">
        <v>0.1</v>
      </c>
      <c r="K139" s="5" t="s">
        <v>143</v>
      </c>
      <c r="L139" s="5" t="s">
        <v>114</v>
      </c>
      <c r="M139" s="5" t="s">
        <v>45</v>
      </c>
    </row>
    <row r="140" customFormat="false" ht="15" hidden="false" customHeight="true" outlineLevel="0" collapsed="false">
      <c r="A140" s="3" t="s">
        <v>656</v>
      </c>
      <c r="B140" s="3"/>
      <c r="C140" s="3" t="s">
        <v>494</v>
      </c>
      <c r="D140" s="3" t="s">
        <v>155</v>
      </c>
      <c r="E140" s="3" t="s">
        <v>81</v>
      </c>
      <c r="F140" s="3" t="s">
        <v>141</v>
      </c>
      <c r="G140" s="3" t="s">
        <v>61</v>
      </c>
      <c r="H140" s="3" t="s">
        <v>657</v>
      </c>
      <c r="I140" s="3" t="s">
        <v>658</v>
      </c>
      <c r="J140" s="3" t="s">
        <v>112</v>
      </c>
      <c r="K140" s="3" t="s">
        <v>64</v>
      </c>
      <c r="L140" s="3" t="s">
        <v>21</v>
      </c>
      <c r="M140" s="3" t="s">
        <v>87</v>
      </c>
    </row>
    <row r="141" customFormat="false" ht="15" hidden="false" customHeight="true" outlineLevel="0" collapsed="false">
      <c r="A141" s="5" t="s">
        <v>659</v>
      </c>
      <c r="B141" s="6" t="n">
        <v>45762</v>
      </c>
      <c r="C141" s="5" t="s">
        <v>660</v>
      </c>
      <c r="D141" s="5" t="s">
        <v>98</v>
      </c>
      <c r="E141" s="5" t="s">
        <v>108</v>
      </c>
      <c r="F141" s="5" t="s">
        <v>141</v>
      </c>
      <c r="G141" s="5" t="s">
        <v>247</v>
      </c>
      <c r="H141" s="5" t="n">
        <v>4</v>
      </c>
      <c r="I141" s="5" t="s">
        <v>661</v>
      </c>
      <c r="J141" s="5"/>
      <c r="K141" s="5" t="s">
        <v>102</v>
      </c>
      <c r="L141" s="5" t="s">
        <v>55</v>
      </c>
      <c r="M141" s="5" t="s">
        <v>22</v>
      </c>
    </row>
    <row r="142" customFormat="false" ht="15" hidden="false" customHeight="true" outlineLevel="0" collapsed="false">
      <c r="A142" s="3" t="s">
        <v>662</v>
      </c>
      <c r="B142" s="3" t="s">
        <v>663</v>
      </c>
      <c r="C142" s="3" t="s">
        <v>664</v>
      </c>
      <c r="D142" s="3" t="s">
        <v>161</v>
      </c>
      <c r="E142" s="3" t="s">
        <v>99</v>
      </c>
      <c r="F142" s="3" t="s">
        <v>91</v>
      </c>
      <c r="G142" s="3" t="s">
        <v>665</v>
      </c>
      <c r="H142" s="3" t="n">
        <v>2</v>
      </c>
      <c r="I142" s="3" t="n">
        <v>4650</v>
      </c>
      <c r="J142" s="3" t="s">
        <v>63</v>
      </c>
      <c r="K142" s="3" t="s">
        <v>150</v>
      </c>
      <c r="L142" s="3" t="s">
        <v>55</v>
      </c>
      <c r="M142" s="3" t="s">
        <v>22</v>
      </c>
    </row>
    <row r="143" customFormat="false" ht="15" hidden="false" customHeight="true" outlineLevel="0" collapsed="false">
      <c r="A143" s="5" t="s">
        <v>666</v>
      </c>
      <c r="B143" s="6" t="n">
        <v>45756</v>
      </c>
      <c r="C143" s="5"/>
      <c r="D143" s="5" t="s">
        <v>122</v>
      </c>
      <c r="E143" s="5" t="s">
        <v>99</v>
      </c>
      <c r="F143" s="5" t="s">
        <v>163</v>
      </c>
      <c r="G143" s="5" t="s">
        <v>61</v>
      </c>
      <c r="H143" s="5" t="s">
        <v>41</v>
      </c>
      <c r="I143" s="5" t="s">
        <v>491</v>
      </c>
      <c r="J143" s="5" t="s">
        <v>486</v>
      </c>
      <c r="K143" s="5" t="s">
        <v>365</v>
      </c>
      <c r="L143" s="5" t="s">
        <v>194</v>
      </c>
      <c r="M143" s="5" t="s">
        <v>87</v>
      </c>
    </row>
    <row r="144" customFormat="false" ht="15" hidden="false" customHeight="true" outlineLevel="0" collapsed="false">
      <c r="A144" s="3" t="s">
        <v>667</v>
      </c>
      <c r="B144" s="3"/>
      <c r="C144" s="3" t="s">
        <v>329</v>
      </c>
      <c r="D144" s="3" t="s">
        <v>15</v>
      </c>
      <c r="E144" s="3" t="s">
        <v>16</v>
      </c>
      <c r="F144" s="3" t="s">
        <v>308</v>
      </c>
      <c r="G144" s="3" t="s">
        <v>668</v>
      </c>
      <c r="H144" s="3" t="s">
        <v>41</v>
      </c>
      <c r="I144" s="3" t="s">
        <v>669</v>
      </c>
      <c r="J144" s="3" t="s">
        <v>94</v>
      </c>
      <c r="K144" s="3" t="s">
        <v>500</v>
      </c>
      <c r="L144" s="3" t="s">
        <v>76</v>
      </c>
      <c r="M144" s="3" t="s">
        <v>45</v>
      </c>
    </row>
    <row r="145" customFormat="false" ht="15" hidden="false" customHeight="true" outlineLevel="0" collapsed="false">
      <c r="A145" s="5" t="s">
        <v>670</v>
      </c>
      <c r="B145" s="5" t="s">
        <v>671</v>
      </c>
      <c r="C145" s="5" t="s">
        <v>672</v>
      </c>
      <c r="D145" s="5"/>
      <c r="E145" s="5" t="s">
        <v>16</v>
      </c>
      <c r="F145" s="5" t="s">
        <v>230</v>
      </c>
      <c r="G145" s="5" t="s">
        <v>475</v>
      </c>
      <c r="H145" s="5" t="n">
        <v>6</v>
      </c>
      <c r="I145" s="5" t="s">
        <v>673</v>
      </c>
      <c r="J145" s="5" t="n">
        <v>0.05</v>
      </c>
      <c r="K145" s="5" t="s">
        <v>95</v>
      </c>
      <c r="L145" s="5" t="s">
        <v>65</v>
      </c>
      <c r="M145" s="5" t="s">
        <v>22</v>
      </c>
    </row>
    <row r="146" customFormat="false" ht="15" hidden="false" customHeight="true" outlineLevel="0" collapsed="false">
      <c r="A146" s="3" t="s">
        <v>674</v>
      </c>
      <c r="B146" s="4" t="n">
        <v>45867</v>
      </c>
      <c r="C146" s="3" t="s">
        <v>675</v>
      </c>
      <c r="D146" s="3"/>
      <c r="E146" s="3" t="s">
        <v>221</v>
      </c>
      <c r="F146" s="3" t="s">
        <v>28</v>
      </c>
      <c r="G146" s="3" t="s">
        <v>520</v>
      </c>
      <c r="H146" s="3" t="s">
        <v>157</v>
      </c>
      <c r="I146" s="3" t="s">
        <v>676</v>
      </c>
      <c r="J146" s="3" t="n">
        <v>0.1</v>
      </c>
      <c r="K146" s="3" t="s">
        <v>372</v>
      </c>
      <c r="L146" s="3" t="s">
        <v>65</v>
      </c>
      <c r="M146" s="3" t="s">
        <v>22</v>
      </c>
    </row>
    <row r="147" customFormat="false" ht="15" hidden="false" customHeight="true" outlineLevel="0" collapsed="false">
      <c r="A147" s="5" t="s">
        <v>677</v>
      </c>
      <c r="B147" s="5" t="s">
        <v>127</v>
      </c>
      <c r="C147" s="5" t="s">
        <v>678</v>
      </c>
      <c r="D147" s="5" t="s">
        <v>129</v>
      </c>
      <c r="E147" s="5" t="s">
        <v>130</v>
      </c>
      <c r="F147" s="5" t="s">
        <v>147</v>
      </c>
      <c r="G147" s="5" t="s">
        <v>29</v>
      </c>
      <c r="H147" s="5" t="n">
        <v>4</v>
      </c>
      <c r="I147" s="5" t="s">
        <v>679</v>
      </c>
      <c r="J147" s="5" t="s">
        <v>94</v>
      </c>
      <c r="K147" s="5" t="s">
        <v>143</v>
      </c>
      <c r="L147" s="5" t="s">
        <v>55</v>
      </c>
      <c r="M147" s="5" t="s">
        <v>45</v>
      </c>
    </row>
    <row r="148" customFormat="false" ht="15" hidden="false" customHeight="true" outlineLevel="0" collapsed="false">
      <c r="A148" s="3" t="s">
        <v>680</v>
      </c>
      <c r="B148" s="3" t="s">
        <v>681</v>
      </c>
      <c r="C148" s="3" t="s">
        <v>312</v>
      </c>
      <c r="D148" s="3" t="s">
        <v>80</v>
      </c>
      <c r="E148" s="3" t="s">
        <v>221</v>
      </c>
      <c r="F148" s="3" t="s">
        <v>17</v>
      </c>
      <c r="G148" s="3" t="s">
        <v>124</v>
      </c>
      <c r="H148" s="3" t="n">
        <v>4</v>
      </c>
      <c r="I148" s="3" t="n">
        <v>800</v>
      </c>
      <c r="J148" s="3"/>
      <c r="K148" s="3" t="s">
        <v>304</v>
      </c>
      <c r="L148" s="3" t="s">
        <v>151</v>
      </c>
      <c r="M148" s="3" t="s">
        <v>412</v>
      </c>
    </row>
    <row r="149" customFormat="false" ht="15" hidden="false" customHeight="true" outlineLevel="0" collapsed="false">
      <c r="A149" s="5" t="s">
        <v>682</v>
      </c>
      <c r="B149" s="6" t="n">
        <v>46019</v>
      </c>
      <c r="C149" s="5" t="s">
        <v>333</v>
      </c>
      <c r="D149" s="5" t="s">
        <v>98</v>
      </c>
      <c r="E149" s="5" t="s">
        <v>99</v>
      </c>
      <c r="F149" s="5" t="s">
        <v>204</v>
      </c>
      <c r="G149" s="5" t="s">
        <v>520</v>
      </c>
      <c r="H149" s="5" t="n">
        <v>5</v>
      </c>
      <c r="I149" s="5" t="s">
        <v>683</v>
      </c>
      <c r="J149" s="5"/>
      <c r="K149" s="5" t="s">
        <v>500</v>
      </c>
      <c r="L149" s="5" t="s">
        <v>194</v>
      </c>
      <c r="M149" s="5" t="s">
        <v>87</v>
      </c>
    </row>
    <row r="150" customFormat="false" ht="15" hidden="false" customHeight="true" outlineLevel="0" collapsed="false">
      <c r="A150" s="3" t="s">
        <v>684</v>
      </c>
      <c r="B150" s="3" t="s">
        <v>685</v>
      </c>
      <c r="C150" s="3" t="s">
        <v>686</v>
      </c>
      <c r="D150" s="3" t="s">
        <v>129</v>
      </c>
      <c r="E150" s="3" t="s">
        <v>16</v>
      </c>
      <c r="F150" s="3" t="s">
        <v>71</v>
      </c>
      <c r="G150" s="3" t="s">
        <v>687</v>
      </c>
      <c r="H150" s="3" t="n">
        <v>2</v>
      </c>
      <c r="I150" s="3" t="s">
        <v>688</v>
      </c>
      <c r="J150" s="3" t="n">
        <v>0.1</v>
      </c>
      <c r="K150" s="3"/>
      <c r="L150" s="3" t="s">
        <v>65</v>
      </c>
      <c r="M150" s="3" t="s">
        <v>33</v>
      </c>
    </row>
    <row r="151" customFormat="false" ht="15" hidden="false" customHeight="true" outlineLevel="0" collapsed="false">
      <c r="A151" s="5" t="s">
        <v>689</v>
      </c>
      <c r="B151" s="6" t="n">
        <v>45942</v>
      </c>
      <c r="C151" s="5" t="s">
        <v>196</v>
      </c>
      <c r="D151" s="5" t="s">
        <v>161</v>
      </c>
      <c r="E151" s="5" t="s">
        <v>282</v>
      </c>
      <c r="F151" s="5" t="s">
        <v>109</v>
      </c>
      <c r="G151" s="5" t="s">
        <v>392</v>
      </c>
      <c r="H151" s="5" t="s">
        <v>111</v>
      </c>
      <c r="I151" s="5" t="s">
        <v>354</v>
      </c>
      <c r="J151" s="5" t="s">
        <v>248</v>
      </c>
      <c r="K151" s="5" t="s">
        <v>102</v>
      </c>
      <c r="L151" s="5" t="s">
        <v>151</v>
      </c>
      <c r="M151" s="5" t="s">
        <v>33</v>
      </c>
    </row>
    <row r="152" customFormat="false" ht="15" hidden="false" customHeight="true" outlineLevel="0" collapsed="false">
      <c r="A152" s="3" t="s">
        <v>690</v>
      </c>
      <c r="B152" s="3" t="s">
        <v>691</v>
      </c>
      <c r="C152" s="3" t="s">
        <v>692</v>
      </c>
      <c r="D152" s="3" t="s">
        <v>161</v>
      </c>
      <c r="E152" s="3" t="s">
        <v>282</v>
      </c>
      <c r="F152" s="3" t="s">
        <v>131</v>
      </c>
      <c r="G152" s="3" t="s">
        <v>51</v>
      </c>
      <c r="H152" s="3" t="s">
        <v>52</v>
      </c>
      <c r="I152" s="3" t="s">
        <v>693</v>
      </c>
      <c r="J152" s="3"/>
      <c r="K152" s="3" t="s">
        <v>64</v>
      </c>
      <c r="L152" s="3" t="s">
        <v>76</v>
      </c>
      <c r="M152" s="3" t="s">
        <v>104</v>
      </c>
    </row>
    <row r="153" customFormat="false" ht="15" hidden="false" customHeight="true" outlineLevel="0" collapsed="false">
      <c r="A153" s="5" t="s">
        <v>694</v>
      </c>
      <c r="B153" s="5" t="s">
        <v>695</v>
      </c>
      <c r="C153" s="5" t="s">
        <v>696</v>
      </c>
      <c r="D153" s="5" t="s">
        <v>155</v>
      </c>
      <c r="E153" s="5" t="s">
        <v>432</v>
      </c>
      <c r="F153" s="5" t="s">
        <v>204</v>
      </c>
      <c r="G153" s="5" t="s">
        <v>433</v>
      </c>
      <c r="H153" s="5" t="n">
        <v>2</v>
      </c>
      <c r="I153" s="5" t="s">
        <v>434</v>
      </c>
      <c r="J153" s="5" t="s">
        <v>112</v>
      </c>
      <c r="K153" s="5" t="s">
        <v>31</v>
      </c>
      <c r="L153" s="5" t="s">
        <v>21</v>
      </c>
      <c r="M153" s="5" t="s">
        <v>45</v>
      </c>
    </row>
    <row r="154" customFormat="false" ht="15" hidden="false" customHeight="true" outlineLevel="0" collapsed="false">
      <c r="A154" s="3" t="s">
        <v>697</v>
      </c>
      <c r="B154" s="4" t="n">
        <v>45668</v>
      </c>
      <c r="C154" s="3" t="s">
        <v>698</v>
      </c>
      <c r="D154" s="3" t="s">
        <v>161</v>
      </c>
      <c r="E154" s="3" t="s">
        <v>99</v>
      </c>
      <c r="F154" s="3" t="s">
        <v>261</v>
      </c>
      <c r="G154" s="3" t="s">
        <v>632</v>
      </c>
      <c r="H154" s="3" t="n">
        <v>4</v>
      </c>
      <c r="I154" s="3" t="s">
        <v>699</v>
      </c>
      <c r="J154" s="3" t="n">
        <v>0</v>
      </c>
      <c r="K154" s="3" t="s">
        <v>54</v>
      </c>
      <c r="L154" s="3" t="s">
        <v>151</v>
      </c>
      <c r="M154" s="3" t="s">
        <v>45</v>
      </c>
    </row>
    <row r="155" customFormat="false" ht="15" hidden="false" customHeight="true" outlineLevel="0" collapsed="false">
      <c r="A155" s="5" t="s">
        <v>700</v>
      </c>
      <c r="B155" s="6" t="n">
        <v>45674</v>
      </c>
      <c r="C155" s="5" t="s">
        <v>270</v>
      </c>
      <c r="D155" s="5" t="s">
        <v>58</v>
      </c>
      <c r="E155" s="5" t="s">
        <v>16</v>
      </c>
      <c r="F155" s="5" t="s">
        <v>170</v>
      </c>
      <c r="G155" s="5" t="s">
        <v>336</v>
      </c>
      <c r="H155" s="5" t="s">
        <v>52</v>
      </c>
      <c r="I155" s="5" t="s">
        <v>701</v>
      </c>
      <c r="J155" s="5" t="s">
        <v>241</v>
      </c>
      <c r="K155" s="5" t="s">
        <v>150</v>
      </c>
      <c r="L155" s="5" t="s">
        <v>114</v>
      </c>
      <c r="M155" s="5" t="s">
        <v>22</v>
      </c>
    </row>
    <row r="156" customFormat="false" ht="15" hidden="false" customHeight="true" outlineLevel="0" collapsed="false">
      <c r="A156" s="3" t="s">
        <v>702</v>
      </c>
      <c r="B156" s="3" t="s">
        <v>703</v>
      </c>
      <c r="C156" s="3" t="s">
        <v>704</v>
      </c>
      <c r="D156" s="3" t="s">
        <v>37</v>
      </c>
      <c r="E156" s="3" t="s">
        <v>38</v>
      </c>
      <c r="F156" s="3" t="s">
        <v>230</v>
      </c>
      <c r="G156" s="3" t="s">
        <v>309</v>
      </c>
      <c r="H156" s="3" t="s">
        <v>705</v>
      </c>
      <c r="I156" s="3" t="s">
        <v>706</v>
      </c>
      <c r="J156" s="3" t="s">
        <v>188</v>
      </c>
      <c r="K156" s="3" t="s">
        <v>365</v>
      </c>
      <c r="L156" s="3" t="s">
        <v>215</v>
      </c>
      <c r="M156" s="3" t="s">
        <v>45</v>
      </c>
    </row>
    <row r="157" customFormat="false" ht="15" hidden="false" customHeight="true" outlineLevel="0" collapsed="false">
      <c r="A157" s="5" t="s">
        <v>707</v>
      </c>
      <c r="B157" s="5" t="s">
        <v>708</v>
      </c>
      <c r="C157" s="5" t="s">
        <v>709</v>
      </c>
      <c r="D157" s="5" t="s">
        <v>80</v>
      </c>
      <c r="E157" s="5" t="s">
        <v>210</v>
      </c>
      <c r="F157" s="5" t="s">
        <v>141</v>
      </c>
      <c r="G157" s="5" t="s">
        <v>100</v>
      </c>
      <c r="H157" s="5" t="s">
        <v>465</v>
      </c>
      <c r="I157" s="5" t="s">
        <v>530</v>
      </c>
      <c r="J157" s="5" t="s">
        <v>63</v>
      </c>
      <c r="K157" s="5" t="s">
        <v>133</v>
      </c>
      <c r="L157" s="5" t="s">
        <v>103</v>
      </c>
      <c r="M157" s="5" t="s">
        <v>387</v>
      </c>
    </row>
    <row r="158" customFormat="false" ht="15" hidden="false" customHeight="true" outlineLevel="0" collapsed="false">
      <c r="A158" s="3" t="s">
        <v>710</v>
      </c>
      <c r="B158" s="3" t="s">
        <v>711</v>
      </c>
      <c r="C158" s="3" t="s">
        <v>712</v>
      </c>
      <c r="D158" s="3" t="s">
        <v>146</v>
      </c>
      <c r="E158" s="3" t="s">
        <v>130</v>
      </c>
      <c r="F158" s="3" t="s">
        <v>82</v>
      </c>
      <c r="G158" s="3" t="s">
        <v>51</v>
      </c>
      <c r="H158" s="3" t="n">
        <v>1</v>
      </c>
      <c r="I158" s="3" t="n">
        <v>3750</v>
      </c>
      <c r="J158" s="3" t="n">
        <v>0</v>
      </c>
      <c r="K158" s="3" t="s">
        <v>64</v>
      </c>
      <c r="L158" s="3" t="s">
        <v>194</v>
      </c>
      <c r="M158" s="3" t="s">
        <v>33</v>
      </c>
    </row>
    <row r="159" customFormat="false" ht="15" hidden="false" customHeight="true" outlineLevel="0" collapsed="false">
      <c r="A159" s="5" t="s">
        <v>439</v>
      </c>
      <c r="B159" s="5" t="s">
        <v>713</v>
      </c>
      <c r="C159" s="5" t="s">
        <v>245</v>
      </c>
      <c r="D159" s="5" t="s">
        <v>122</v>
      </c>
      <c r="E159" s="5" t="s">
        <v>221</v>
      </c>
      <c r="F159" s="5" t="s">
        <v>109</v>
      </c>
      <c r="G159" s="5" t="s">
        <v>265</v>
      </c>
      <c r="H159" s="5" t="n">
        <v>2</v>
      </c>
      <c r="I159" s="5" t="s">
        <v>608</v>
      </c>
      <c r="J159" s="5" t="s">
        <v>303</v>
      </c>
      <c r="K159" s="5" t="s">
        <v>64</v>
      </c>
      <c r="L159" s="5" t="s">
        <v>215</v>
      </c>
      <c r="M159" s="5" t="s">
        <v>87</v>
      </c>
    </row>
    <row r="160" customFormat="false" ht="15" hidden="false" customHeight="true" outlineLevel="0" collapsed="false">
      <c r="A160" s="3" t="s">
        <v>714</v>
      </c>
      <c r="B160" s="3" t="s">
        <v>715</v>
      </c>
      <c r="C160" s="3" t="s">
        <v>363</v>
      </c>
      <c r="D160" s="3" t="s">
        <v>169</v>
      </c>
      <c r="E160" s="3" t="s">
        <v>294</v>
      </c>
      <c r="F160" s="3" t="s">
        <v>71</v>
      </c>
      <c r="G160" s="3" t="s">
        <v>632</v>
      </c>
      <c r="H160" s="3" t="s">
        <v>716</v>
      </c>
      <c r="I160" s="3" t="s">
        <v>717</v>
      </c>
      <c r="J160" s="3" t="n">
        <v>0</v>
      </c>
      <c r="K160" s="3" t="s">
        <v>64</v>
      </c>
      <c r="L160" s="3" t="s">
        <v>151</v>
      </c>
      <c r="M160" s="3" t="s">
        <v>268</v>
      </c>
    </row>
    <row r="161" customFormat="false" ht="15" hidden="false" customHeight="true" outlineLevel="0" collapsed="false">
      <c r="A161" s="5" t="s">
        <v>718</v>
      </c>
      <c r="B161" s="6" t="n">
        <v>45876</v>
      </c>
      <c r="C161" s="5" t="s">
        <v>719</v>
      </c>
      <c r="D161" s="5" t="s">
        <v>236</v>
      </c>
      <c r="E161" s="5" t="s">
        <v>720</v>
      </c>
      <c r="F161" s="5" t="s">
        <v>170</v>
      </c>
      <c r="G161" s="5" t="s">
        <v>420</v>
      </c>
      <c r="H161" s="5" t="s">
        <v>178</v>
      </c>
      <c r="I161" s="5" t="s">
        <v>721</v>
      </c>
      <c r="J161" s="5" t="s">
        <v>288</v>
      </c>
      <c r="K161" s="5" t="s">
        <v>102</v>
      </c>
      <c r="L161" s="5" t="s">
        <v>76</v>
      </c>
      <c r="M161" s="5" t="s">
        <v>467</v>
      </c>
    </row>
    <row r="162" customFormat="false" ht="15" hidden="false" customHeight="true" outlineLevel="0" collapsed="false">
      <c r="A162" s="3" t="s">
        <v>722</v>
      </c>
      <c r="B162" s="4" t="n">
        <v>45818</v>
      </c>
      <c r="C162" s="3" t="s">
        <v>320</v>
      </c>
      <c r="D162" s="3" t="s">
        <v>146</v>
      </c>
      <c r="E162" s="3" t="s">
        <v>16</v>
      </c>
      <c r="F162" s="3" t="s">
        <v>380</v>
      </c>
      <c r="G162" s="3" t="s">
        <v>665</v>
      </c>
      <c r="H162" s="3" t="n">
        <v>2</v>
      </c>
      <c r="I162" s="3" t="s">
        <v>723</v>
      </c>
      <c r="J162" s="3" t="s">
        <v>74</v>
      </c>
      <c r="K162" s="3" t="s">
        <v>102</v>
      </c>
      <c r="L162" s="3" t="s">
        <v>215</v>
      </c>
      <c r="M162" s="3" t="s">
        <v>87</v>
      </c>
    </row>
    <row r="163" customFormat="false" ht="15" hidden="false" customHeight="true" outlineLevel="0" collapsed="false">
      <c r="A163" s="5" t="s">
        <v>724</v>
      </c>
      <c r="B163" s="6" t="n">
        <v>45737</v>
      </c>
      <c r="C163" s="5" t="s">
        <v>725</v>
      </c>
      <c r="D163" s="5" t="s">
        <v>647</v>
      </c>
      <c r="E163" s="5" t="s">
        <v>726</v>
      </c>
      <c r="F163" s="5" t="s">
        <v>163</v>
      </c>
      <c r="G163" s="5" t="s">
        <v>727</v>
      </c>
      <c r="H163" s="5" t="n">
        <v>2</v>
      </c>
      <c r="I163" s="5" t="n">
        <v>2700</v>
      </c>
      <c r="J163" s="5" t="n">
        <v>0</v>
      </c>
      <c r="K163" s="5" t="s">
        <v>102</v>
      </c>
      <c r="L163" s="5" t="s">
        <v>114</v>
      </c>
      <c r="M163" s="5" t="s">
        <v>45</v>
      </c>
    </row>
    <row r="164" customFormat="false" ht="15" hidden="false" customHeight="true" outlineLevel="0" collapsed="false">
      <c r="A164" s="3" t="s">
        <v>728</v>
      </c>
      <c r="B164" s="4" t="n">
        <v>46010</v>
      </c>
      <c r="C164" s="3" t="s">
        <v>729</v>
      </c>
      <c r="D164" s="3" t="s">
        <v>58</v>
      </c>
      <c r="E164" s="3" t="s">
        <v>130</v>
      </c>
      <c r="F164" s="3" t="s">
        <v>300</v>
      </c>
      <c r="G164" s="3" t="s">
        <v>730</v>
      </c>
      <c r="H164" s="3" t="n">
        <v>2</v>
      </c>
      <c r="I164" s="3" t="s">
        <v>731</v>
      </c>
      <c r="J164" s="3" t="s">
        <v>486</v>
      </c>
      <c r="K164" s="3" t="s">
        <v>150</v>
      </c>
      <c r="L164" s="3" t="s">
        <v>21</v>
      </c>
      <c r="M164" s="3" t="s">
        <v>355</v>
      </c>
    </row>
    <row r="165" customFormat="false" ht="15" hidden="false" customHeight="true" outlineLevel="0" collapsed="false">
      <c r="A165" s="5" t="s">
        <v>732</v>
      </c>
      <c r="B165" s="5" t="s">
        <v>733</v>
      </c>
      <c r="C165" s="5" t="s">
        <v>734</v>
      </c>
      <c r="D165" s="5" t="s">
        <v>169</v>
      </c>
      <c r="E165" s="5" t="s">
        <v>38</v>
      </c>
      <c r="F165" s="5" t="s">
        <v>131</v>
      </c>
      <c r="G165" s="5" t="s">
        <v>222</v>
      </c>
      <c r="H165" s="5" t="s">
        <v>239</v>
      </c>
      <c r="I165" s="5" t="n">
        <v>5250</v>
      </c>
      <c r="J165" s="5" t="s">
        <v>63</v>
      </c>
      <c r="K165" s="5" t="s">
        <v>143</v>
      </c>
      <c r="L165" s="5" t="s">
        <v>32</v>
      </c>
      <c r="M165" s="5" t="s">
        <v>87</v>
      </c>
    </row>
    <row r="166" customFormat="false" ht="15" hidden="false" customHeight="true" outlineLevel="0" collapsed="false">
      <c r="A166" s="3" t="s">
        <v>735</v>
      </c>
      <c r="B166" s="3" t="s">
        <v>736</v>
      </c>
      <c r="C166" s="3" t="s">
        <v>737</v>
      </c>
      <c r="D166" s="3" t="s">
        <v>122</v>
      </c>
      <c r="E166" s="3" t="s">
        <v>99</v>
      </c>
      <c r="F166" s="3" t="s">
        <v>141</v>
      </c>
      <c r="G166" s="3" t="s">
        <v>110</v>
      </c>
      <c r="H166" s="3" t="n">
        <v>4</v>
      </c>
      <c r="I166" s="3" t="s">
        <v>738</v>
      </c>
      <c r="J166" s="3" t="s">
        <v>241</v>
      </c>
      <c r="K166" s="3" t="s">
        <v>386</v>
      </c>
      <c r="L166" s="3" t="s">
        <v>114</v>
      </c>
      <c r="M166" s="3" t="s">
        <v>22</v>
      </c>
    </row>
    <row r="167" customFormat="false" ht="15" hidden="false" customHeight="true" outlineLevel="0" collapsed="false">
      <c r="A167" s="5" t="s">
        <v>739</v>
      </c>
      <c r="B167" s="5" t="s">
        <v>740</v>
      </c>
      <c r="C167" s="5" t="s">
        <v>741</v>
      </c>
      <c r="D167" s="5"/>
      <c r="E167" s="5" t="s">
        <v>742</v>
      </c>
      <c r="F167" s="5" t="s">
        <v>147</v>
      </c>
      <c r="G167" s="5" t="s">
        <v>520</v>
      </c>
      <c r="H167" s="5"/>
      <c r="I167" s="5" t="s">
        <v>743</v>
      </c>
      <c r="J167" s="5"/>
      <c r="K167" s="5" t="s">
        <v>95</v>
      </c>
      <c r="L167" s="5" t="s">
        <v>55</v>
      </c>
      <c r="M167" s="5" t="s">
        <v>87</v>
      </c>
    </row>
    <row r="168" customFormat="false" ht="15" hidden="false" customHeight="true" outlineLevel="0" collapsed="false">
      <c r="A168" s="3" t="s">
        <v>744</v>
      </c>
      <c r="B168" s="4" t="n">
        <v>45674</v>
      </c>
      <c r="C168" s="3" t="s">
        <v>745</v>
      </c>
      <c r="D168" s="3" t="s">
        <v>98</v>
      </c>
      <c r="E168" s="3" t="s">
        <v>108</v>
      </c>
      <c r="F168" s="3" t="s">
        <v>230</v>
      </c>
      <c r="G168" s="3" t="s">
        <v>177</v>
      </c>
      <c r="H168" s="3" t="n">
        <v>8</v>
      </c>
      <c r="I168" s="3" t="s">
        <v>746</v>
      </c>
      <c r="J168" s="3" t="n">
        <v>0.15</v>
      </c>
      <c r="K168" s="3" t="s">
        <v>304</v>
      </c>
      <c r="L168" s="3" t="s">
        <v>151</v>
      </c>
      <c r="M168" s="3" t="s">
        <v>22</v>
      </c>
    </row>
    <row r="169" customFormat="false" ht="15" hidden="false" customHeight="true" outlineLevel="0" collapsed="false">
      <c r="A169" s="5" t="s">
        <v>747</v>
      </c>
      <c r="B169" s="6" t="n">
        <v>45957</v>
      </c>
      <c r="C169" s="5" t="s">
        <v>168</v>
      </c>
      <c r="D169" s="5" t="s">
        <v>69</v>
      </c>
      <c r="E169" s="5" t="s">
        <v>583</v>
      </c>
      <c r="F169" s="5" t="s">
        <v>308</v>
      </c>
      <c r="G169" s="5" t="s">
        <v>177</v>
      </c>
      <c r="H169" s="5" t="n">
        <v>6</v>
      </c>
      <c r="I169" s="5" t="n">
        <v>7100</v>
      </c>
      <c r="J169" s="5"/>
      <c r="K169" s="5" t="s">
        <v>102</v>
      </c>
      <c r="L169" s="5" t="s">
        <v>32</v>
      </c>
      <c r="M169" s="5" t="s">
        <v>87</v>
      </c>
    </row>
    <row r="170" customFormat="false" ht="15" hidden="false" customHeight="true" outlineLevel="0" collapsed="false">
      <c r="A170" s="3" t="s">
        <v>748</v>
      </c>
      <c r="B170" s="4" t="n">
        <v>45754</v>
      </c>
      <c r="C170" s="3" t="s">
        <v>749</v>
      </c>
      <c r="D170" s="3" t="s">
        <v>58</v>
      </c>
      <c r="E170" s="3"/>
      <c r="F170" s="3" t="s">
        <v>170</v>
      </c>
      <c r="G170" s="3" t="s">
        <v>309</v>
      </c>
      <c r="H170" s="3" t="n">
        <v>3</v>
      </c>
      <c r="I170" s="3" t="s">
        <v>750</v>
      </c>
      <c r="J170" s="3" t="n">
        <v>0.05</v>
      </c>
      <c r="K170" s="3" t="s">
        <v>133</v>
      </c>
      <c r="L170" s="3" t="s">
        <v>96</v>
      </c>
      <c r="M170" s="3" t="s">
        <v>33</v>
      </c>
    </row>
    <row r="171" customFormat="false" ht="15" hidden="false" customHeight="true" outlineLevel="0" collapsed="false">
      <c r="A171" s="5" t="s">
        <v>751</v>
      </c>
      <c r="B171" s="5" t="s">
        <v>752</v>
      </c>
      <c r="C171" s="5" t="s">
        <v>598</v>
      </c>
      <c r="D171" s="5" t="s">
        <v>69</v>
      </c>
      <c r="E171" s="5" t="s">
        <v>237</v>
      </c>
      <c r="F171" s="5" t="s">
        <v>28</v>
      </c>
      <c r="G171" s="5" t="s">
        <v>753</v>
      </c>
      <c r="H171" s="5" t="n">
        <v>1</v>
      </c>
      <c r="I171" s="5" t="n">
        <v>9350</v>
      </c>
      <c r="J171" s="5" t="s">
        <v>94</v>
      </c>
      <c r="K171" s="5" t="s">
        <v>150</v>
      </c>
      <c r="L171" s="5" t="s">
        <v>21</v>
      </c>
      <c r="M171" s="5" t="s">
        <v>87</v>
      </c>
    </row>
    <row r="172" customFormat="false" ht="15" hidden="false" customHeight="true" outlineLevel="0" collapsed="false">
      <c r="A172" s="3" t="s">
        <v>754</v>
      </c>
      <c r="B172" s="4" t="n">
        <v>45803</v>
      </c>
      <c r="C172" s="3"/>
      <c r="D172" s="3" t="s">
        <v>647</v>
      </c>
      <c r="E172" s="3" t="s">
        <v>648</v>
      </c>
      <c r="F172" s="3" t="s">
        <v>50</v>
      </c>
      <c r="G172" s="3" t="s">
        <v>51</v>
      </c>
      <c r="H172" s="3" t="s">
        <v>514</v>
      </c>
      <c r="I172" s="3" t="s">
        <v>755</v>
      </c>
      <c r="J172" s="3" t="n">
        <v>0.1</v>
      </c>
      <c r="K172" s="3" t="s">
        <v>553</v>
      </c>
      <c r="L172" s="3" t="s">
        <v>21</v>
      </c>
      <c r="M172" s="3" t="s">
        <v>45</v>
      </c>
    </row>
    <row r="173" customFormat="false" ht="15" hidden="false" customHeight="true" outlineLevel="0" collapsed="false">
      <c r="A173" s="5" t="s">
        <v>756</v>
      </c>
      <c r="B173" s="5" t="s">
        <v>757</v>
      </c>
      <c r="C173" s="5" t="s">
        <v>758</v>
      </c>
      <c r="D173" s="5" t="s">
        <v>122</v>
      </c>
      <c r="E173" s="5" t="s">
        <v>99</v>
      </c>
      <c r="F173" s="5" t="s">
        <v>60</v>
      </c>
      <c r="G173" s="5" t="s">
        <v>61</v>
      </c>
      <c r="H173" s="5" t="n">
        <v>1</v>
      </c>
      <c r="I173" s="5" t="n">
        <v>1700</v>
      </c>
      <c r="J173" s="5" t="n">
        <v>0.2</v>
      </c>
      <c r="K173" s="5" t="s">
        <v>289</v>
      </c>
      <c r="L173" s="5" t="s">
        <v>21</v>
      </c>
      <c r="M173" s="5" t="s">
        <v>22</v>
      </c>
    </row>
    <row r="174" customFormat="false" ht="15" hidden="false" customHeight="true" outlineLevel="0" collapsed="false">
      <c r="A174" s="3" t="s">
        <v>759</v>
      </c>
      <c r="B174" s="4" t="n">
        <v>45857</v>
      </c>
      <c r="C174" s="3" t="s">
        <v>217</v>
      </c>
      <c r="D174" s="3" t="s">
        <v>155</v>
      </c>
      <c r="E174" s="3" t="s">
        <v>197</v>
      </c>
      <c r="F174" s="3" t="s">
        <v>147</v>
      </c>
      <c r="G174" s="3" t="s">
        <v>340</v>
      </c>
      <c r="H174" s="3" t="n">
        <v>1</v>
      </c>
      <c r="I174" s="3" t="s">
        <v>760</v>
      </c>
      <c r="J174" s="3" t="s">
        <v>188</v>
      </c>
      <c r="K174" s="3" t="s">
        <v>360</v>
      </c>
      <c r="L174" s="3" t="s">
        <v>194</v>
      </c>
      <c r="M174" s="3" t="s">
        <v>87</v>
      </c>
    </row>
    <row r="175" customFormat="false" ht="15" hidden="false" customHeight="true" outlineLevel="0" collapsed="false">
      <c r="A175" s="5" t="s">
        <v>761</v>
      </c>
      <c r="B175" s="6" t="n">
        <v>45731</v>
      </c>
      <c r="C175" s="5" t="s">
        <v>749</v>
      </c>
      <c r="D175" s="5" t="s">
        <v>98</v>
      </c>
      <c r="E175" s="5" t="s">
        <v>282</v>
      </c>
      <c r="F175" s="5" t="s">
        <v>71</v>
      </c>
      <c r="G175" s="5" t="s">
        <v>687</v>
      </c>
      <c r="H175" s="5" t="n">
        <v>1</v>
      </c>
      <c r="I175" s="5" t="s">
        <v>762</v>
      </c>
      <c r="J175" s="5"/>
      <c r="K175" s="5" t="s">
        <v>273</v>
      </c>
      <c r="L175" s="5" t="s">
        <v>278</v>
      </c>
      <c r="M175" s="5" t="s">
        <v>33</v>
      </c>
    </row>
    <row r="176" customFormat="false" ht="15" hidden="false" customHeight="true" outlineLevel="0" collapsed="false">
      <c r="A176" s="3" t="s">
        <v>763</v>
      </c>
      <c r="B176" s="3" t="s">
        <v>764</v>
      </c>
      <c r="C176" s="3" t="s">
        <v>765</v>
      </c>
      <c r="D176" s="3" t="s">
        <v>161</v>
      </c>
      <c r="E176" s="3" t="s">
        <v>140</v>
      </c>
      <c r="F176" s="3" t="s">
        <v>141</v>
      </c>
      <c r="G176" s="3" t="s">
        <v>247</v>
      </c>
      <c r="H176" s="3" t="n">
        <v>5</v>
      </c>
      <c r="I176" s="3" t="s">
        <v>629</v>
      </c>
      <c r="J176" s="3" t="s">
        <v>74</v>
      </c>
      <c r="K176" s="3" t="s">
        <v>481</v>
      </c>
      <c r="L176" s="3" t="s">
        <v>398</v>
      </c>
      <c r="M176" s="3" t="s">
        <v>87</v>
      </c>
    </row>
    <row r="177" customFormat="false" ht="15" hidden="false" customHeight="true" outlineLevel="0" collapsed="false">
      <c r="A177" s="5" t="s">
        <v>710</v>
      </c>
      <c r="B177" s="5" t="s">
        <v>766</v>
      </c>
      <c r="C177" s="5" t="s">
        <v>767</v>
      </c>
      <c r="D177" s="5" t="s">
        <v>129</v>
      </c>
      <c r="E177" s="5" t="s">
        <v>768</v>
      </c>
      <c r="F177" s="5" t="s">
        <v>50</v>
      </c>
      <c r="G177" s="5" t="s">
        <v>769</v>
      </c>
      <c r="H177" s="5" t="s">
        <v>41</v>
      </c>
      <c r="I177" s="5" t="s">
        <v>770</v>
      </c>
      <c r="J177" s="5" t="s">
        <v>94</v>
      </c>
      <c r="K177" s="5" t="s">
        <v>304</v>
      </c>
      <c r="L177" s="5" t="s">
        <v>398</v>
      </c>
      <c r="M177" s="5" t="s">
        <v>45</v>
      </c>
    </row>
    <row r="178" customFormat="false" ht="15" hidden="false" customHeight="true" outlineLevel="0" collapsed="false">
      <c r="A178" s="3" t="s">
        <v>771</v>
      </c>
      <c r="B178" s="4" t="n">
        <v>45965</v>
      </c>
      <c r="C178" s="3" t="s">
        <v>719</v>
      </c>
      <c r="D178" s="3" t="s">
        <v>169</v>
      </c>
      <c r="E178" s="3" t="s">
        <v>186</v>
      </c>
      <c r="F178" s="3" t="s">
        <v>380</v>
      </c>
      <c r="G178" s="3" t="s">
        <v>29</v>
      </c>
      <c r="H178" s="3" t="s">
        <v>52</v>
      </c>
      <c r="I178" s="3" t="s">
        <v>772</v>
      </c>
      <c r="J178" s="3" t="s">
        <v>112</v>
      </c>
      <c r="K178" s="3" t="s">
        <v>64</v>
      </c>
      <c r="L178" s="3" t="s">
        <v>96</v>
      </c>
      <c r="M178" s="3" t="s">
        <v>87</v>
      </c>
    </row>
    <row r="179" customFormat="false" ht="15" hidden="false" customHeight="true" outlineLevel="0" collapsed="false">
      <c r="A179" s="5" t="s">
        <v>773</v>
      </c>
      <c r="B179" s="5" t="s">
        <v>774</v>
      </c>
      <c r="C179" s="5" t="s">
        <v>775</v>
      </c>
      <c r="D179" s="5" t="s">
        <v>122</v>
      </c>
      <c r="E179" s="5" t="s">
        <v>81</v>
      </c>
      <c r="F179" s="5" t="s">
        <v>261</v>
      </c>
      <c r="G179" s="5" t="s">
        <v>776</v>
      </c>
      <c r="H179" s="5" t="n">
        <v>1</v>
      </c>
      <c r="I179" s="5" t="s">
        <v>777</v>
      </c>
      <c r="J179" s="5" t="s">
        <v>337</v>
      </c>
      <c r="K179" s="5" t="s">
        <v>75</v>
      </c>
      <c r="L179" s="5" t="s">
        <v>103</v>
      </c>
      <c r="M179" s="5" t="s">
        <v>412</v>
      </c>
    </row>
    <row r="180" customFormat="false" ht="15" hidden="false" customHeight="true" outlineLevel="0" collapsed="false">
      <c r="A180" s="3" t="s">
        <v>778</v>
      </c>
      <c r="B180" s="3" t="s">
        <v>78</v>
      </c>
      <c r="C180" s="3"/>
      <c r="D180" s="3" t="s">
        <v>80</v>
      </c>
      <c r="E180" s="3" t="s">
        <v>99</v>
      </c>
      <c r="F180" s="3" t="s">
        <v>163</v>
      </c>
      <c r="G180" s="3" t="s">
        <v>247</v>
      </c>
      <c r="H180" s="3" t="s">
        <v>514</v>
      </c>
      <c r="I180" s="3" t="s">
        <v>779</v>
      </c>
      <c r="J180" s="3" t="s">
        <v>272</v>
      </c>
      <c r="K180" s="3" t="s">
        <v>95</v>
      </c>
      <c r="L180" s="3" t="s">
        <v>103</v>
      </c>
      <c r="M180" s="3" t="s">
        <v>45</v>
      </c>
    </row>
    <row r="181" customFormat="false" ht="15" hidden="false" customHeight="true" outlineLevel="0" collapsed="false">
      <c r="A181" s="5" t="s">
        <v>780</v>
      </c>
      <c r="B181" s="6" t="n">
        <v>45843</v>
      </c>
      <c r="C181" s="5" t="s">
        <v>176</v>
      </c>
      <c r="D181" s="5" t="s">
        <v>155</v>
      </c>
      <c r="E181" s="5" t="s">
        <v>197</v>
      </c>
      <c r="F181" s="5" t="s">
        <v>380</v>
      </c>
      <c r="G181" s="5" t="s">
        <v>148</v>
      </c>
      <c r="H181" s="5"/>
      <c r="I181" s="5" t="n">
        <v>9800</v>
      </c>
      <c r="J181" s="5"/>
      <c r="K181" s="5" t="s">
        <v>273</v>
      </c>
      <c r="L181" s="5" t="s">
        <v>55</v>
      </c>
      <c r="M181" s="5" t="s">
        <v>45</v>
      </c>
    </row>
    <row r="182" customFormat="false" ht="15" hidden="false" customHeight="true" outlineLevel="0" collapsed="false">
      <c r="A182" s="3" t="s">
        <v>781</v>
      </c>
      <c r="B182" s="4" t="n">
        <v>45701</v>
      </c>
      <c r="C182" s="3" t="s">
        <v>593</v>
      </c>
      <c r="D182" s="3" t="s">
        <v>98</v>
      </c>
      <c r="E182" s="3" t="s">
        <v>99</v>
      </c>
      <c r="F182" s="3" t="s">
        <v>141</v>
      </c>
      <c r="G182" s="3" t="s">
        <v>409</v>
      </c>
      <c r="H182" s="3" t="n">
        <v>6</v>
      </c>
      <c r="I182" s="3" t="s">
        <v>442</v>
      </c>
      <c r="J182" s="3" t="n">
        <v>0</v>
      </c>
      <c r="K182" s="3" t="s">
        <v>75</v>
      </c>
      <c r="L182" s="3" t="s">
        <v>44</v>
      </c>
      <c r="M182" s="3" t="s">
        <v>87</v>
      </c>
    </row>
    <row r="183" customFormat="false" ht="15" hidden="false" customHeight="true" outlineLevel="0" collapsed="false">
      <c r="A183" s="5" t="s">
        <v>782</v>
      </c>
      <c r="B183" s="5" t="s">
        <v>783</v>
      </c>
      <c r="C183" s="5" t="s">
        <v>784</v>
      </c>
      <c r="D183" s="5" t="s">
        <v>161</v>
      </c>
      <c r="E183" s="5" t="s">
        <v>197</v>
      </c>
      <c r="F183" s="5" t="s">
        <v>60</v>
      </c>
      <c r="G183" s="5" t="s">
        <v>505</v>
      </c>
      <c r="H183" s="5" t="s">
        <v>111</v>
      </c>
      <c r="I183" s="5" t="s">
        <v>62</v>
      </c>
      <c r="J183" s="5" t="s">
        <v>118</v>
      </c>
      <c r="K183" s="5" t="s">
        <v>143</v>
      </c>
      <c r="L183" s="5" t="s">
        <v>55</v>
      </c>
      <c r="M183" s="5" t="s">
        <v>33</v>
      </c>
    </row>
    <row r="184" customFormat="false" ht="15" hidden="false" customHeight="true" outlineLevel="0" collapsed="false">
      <c r="A184" s="3" t="s">
        <v>785</v>
      </c>
      <c r="B184" s="3" t="s">
        <v>786</v>
      </c>
      <c r="C184" s="3" t="s">
        <v>787</v>
      </c>
      <c r="D184" s="3" t="s">
        <v>98</v>
      </c>
      <c r="E184" s="3" t="s">
        <v>108</v>
      </c>
      <c r="F184" s="3" t="s">
        <v>163</v>
      </c>
      <c r="G184" s="3" t="s">
        <v>445</v>
      </c>
      <c r="H184" s="3" t="s">
        <v>514</v>
      </c>
      <c r="I184" s="3" t="n">
        <v>2550</v>
      </c>
      <c r="J184" s="3" t="n">
        <v>0</v>
      </c>
      <c r="K184" s="3" t="s">
        <v>150</v>
      </c>
      <c r="L184" s="3" t="s">
        <v>278</v>
      </c>
      <c r="M184" s="3" t="s">
        <v>242</v>
      </c>
    </row>
    <row r="185" customFormat="false" ht="15" hidden="false" customHeight="true" outlineLevel="0" collapsed="false">
      <c r="A185" s="5" t="s">
        <v>788</v>
      </c>
      <c r="B185" s="6" t="n">
        <v>45899</v>
      </c>
      <c r="C185" s="5" t="s">
        <v>789</v>
      </c>
      <c r="D185" s="5" t="s">
        <v>69</v>
      </c>
      <c r="E185" s="5" t="s">
        <v>237</v>
      </c>
      <c r="F185" s="5" t="s">
        <v>230</v>
      </c>
      <c r="G185" s="5" t="s">
        <v>566</v>
      </c>
      <c r="H185" s="5" t="s">
        <v>41</v>
      </c>
      <c r="I185" s="5" t="s">
        <v>790</v>
      </c>
      <c r="J185" s="5"/>
      <c r="K185" s="5" t="s">
        <v>553</v>
      </c>
      <c r="L185" s="5" t="s">
        <v>32</v>
      </c>
      <c r="M185" s="5" t="s">
        <v>87</v>
      </c>
    </row>
    <row r="186" customFormat="false" ht="15" hidden="false" customHeight="true" outlineLevel="0" collapsed="false">
      <c r="A186" s="3" t="s">
        <v>791</v>
      </c>
      <c r="B186" s="3" t="s">
        <v>792</v>
      </c>
      <c r="C186" s="3" t="s">
        <v>556</v>
      </c>
      <c r="D186" s="3" t="s">
        <v>90</v>
      </c>
      <c r="E186" s="3" t="s">
        <v>38</v>
      </c>
      <c r="F186" s="3" t="s">
        <v>147</v>
      </c>
      <c r="G186" s="3" t="s">
        <v>793</v>
      </c>
      <c r="H186" s="3" t="s">
        <v>655</v>
      </c>
      <c r="I186" s="3" t="s">
        <v>794</v>
      </c>
      <c r="J186" s="3" t="s">
        <v>112</v>
      </c>
      <c r="K186" s="3" t="s">
        <v>267</v>
      </c>
      <c r="L186" s="3" t="s">
        <v>114</v>
      </c>
      <c r="M186" s="3" t="s">
        <v>22</v>
      </c>
    </row>
    <row r="187" customFormat="false" ht="15" hidden="false" customHeight="true" outlineLevel="0" collapsed="false">
      <c r="A187" s="5" t="s">
        <v>795</v>
      </c>
      <c r="B187" s="6" t="n">
        <v>45837</v>
      </c>
      <c r="C187" s="5" t="s">
        <v>796</v>
      </c>
      <c r="D187" s="5" t="s">
        <v>90</v>
      </c>
      <c r="E187" s="5" t="s">
        <v>49</v>
      </c>
      <c r="F187" s="5" t="s">
        <v>170</v>
      </c>
      <c r="G187" s="5" t="s">
        <v>420</v>
      </c>
      <c r="H187" s="5" t="n">
        <v>8</v>
      </c>
      <c r="I187" s="5" t="s">
        <v>797</v>
      </c>
      <c r="J187" s="5" t="s">
        <v>241</v>
      </c>
      <c r="K187" s="5" t="s">
        <v>64</v>
      </c>
      <c r="L187" s="5" t="s">
        <v>32</v>
      </c>
      <c r="M187" s="5" t="s">
        <v>87</v>
      </c>
    </row>
    <row r="188" customFormat="false" ht="15" hidden="false" customHeight="true" outlineLevel="0" collapsed="false">
      <c r="A188" s="3" t="s">
        <v>798</v>
      </c>
      <c r="B188" s="4" t="n">
        <v>45887</v>
      </c>
      <c r="C188" s="3" t="s">
        <v>250</v>
      </c>
      <c r="D188" s="3" t="s">
        <v>37</v>
      </c>
      <c r="E188" s="3" t="s">
        <v>38</v>
      </c>
      <c r="F188" s="3" t="s">
        <v>39</v>
      </c>
      <c r="G188" s="3" t="s">
        <v>156</v>
      </c>
      <c r="H188" s="3" t="s">
        <v>716</v>
      </c>
      <c r="I188" s="3" t="s">
        <v>799</v>
      </c>
      <c r="J188" s="3" t="s">
        <v>241</v>
      </c>
      <c r="K188" s="3" t="s">
        <v>64</v>
      </c>
      <c r="L188" s="3" t="s">
        <v>114</v>
      </c>
      <c r="M188" s="3" t="s">
        <v>45</v>
      </c>
    </row>
    <row r="189" customFormat="false" ht="15" hidden="false" customHeight="true" outlineLevel="0" collapsed="false">
      <c r="A189" s="5" t="s">
        <v>800</v>
      </c>
      <c r="B189" s="6" t="n">
        <v>45712</v>
      </c>
      <c r="C189" s="5" t="s">
        <v>801</v>
      </c>
      <c r="D189" s="5" t="s">
        <v>80</v>
      </c>
      <c r="E189" s="5" t="s">
        <v>99</v>
      </c>
      <c r="F189" s="5" t="s">
        <v>230</v>
      </c>
      <c r="G189" s="5" t="s">
        <v>566</v>
      </c>
      <c r="H189" s="5" t="s">
        <v>52</v>
      </c>
      <c r="I189" s="5" t="s">
        <v>802</v>
      </c>
      <c r="J189" s="5"/>
      <c r="K189" s="5" t="s">
        <v>64</v>
      </c>
      <c r="L189" s="5" t="s">
        <v>44</v>
      </c>
      <c r="M189" s="5" t="s">
        <v>87</v>
      </c>
    </row>
    <row r="190" customFormat="false" ht="15" hidden="false" customHeight="true" outlineLevel="0" collapsed="false">
      <c r="A190" s="3" t="s">
        <v>803</v>
      </c>
      <c r="B190" s="3" t="s">
        <v>804</v>
      </c>
      <c r="C190" s="3" t="s">
        <v>805</v>
      </c>
      <c r="D190" s="3" t="s">
        <v>15</v>
      </c>
      <c r="E190" s="3" t="s">
        <v>192</v>
      </c>
      <c r="F190" s="3" t="s">
        <v>109</v>
      </c>
      <c r="G190" s="3" t="s">
        <v>317</v>
      </c>
      <c r="H190" s="3" t="s">
        <v>655</v>
      </c>
      <c r="I190" s="3" t="s">
        <v>806</v>
      </c>
      <c r="J190" s="3"/>
      <c r="K190" s="3" t="s">
        <v>165</v>
      </c>
      <c r="L190" s="3" t="s">
        <v>398</v>
      </c>
      <c r="M190" s="3" t="s">
        <v>87</v>
      </c>
    </row>
    <row r="191" customFormat="false" ht="15" hidden="false" customHeight="true" outlineLevel="0" collapsed="false">
      <c r="A191" s="5" t="s">
        <v>807</v>
      </c>
      <c r="B191" s="5" t="s">
        <v>808</v>
      </c>
      <c r="C191" s="5" t="s">
        <v>809</v>
      </c>
      <c r="D191" s="5" t="s">
        <v>146</v>
      </c>
      <c r="E191" s="5" t="s">
        <v>192</v>
      </c>
      <c r="F191" s="5" t="s">
        <v>60</v>
      </c>
      <c r="G191" s="5" t="s">
        <v>100</v>
      </c>
      <c r="H191" s="5" t="n">
        <v>7</v>
      </c>
      <c r="I191" s="5" t="s">
        <v>608</v>
      </c>
      <c r="J191" s="5" t="n">
        <v>0</v>
      </c>
      <c r="K191" s="5" t="s">
        <v>360</v>
      </c>
      <c r="L191" s="5" t="s">
        <v>65</v>
      </c>
      <c r="M191" s="5" t="s">
        <v>87</v>
      </c>
    </row>
    <row r="192" customFormat="false" ht="15" hidden="false" customHeight="true" outlineLevel="0" collapsed="false">
      <c r="A192" s="3" t="s">
        <v>810</v>
      </c>
      <c r="B192" s="3" t="s">
        <v>811</v>
      </c>
      <c r="C192" s="3" t="s">
        <v>784</v>
      </c>
      <c r="D192" s="3" t="s">
        <v>161</v>
      </c>
      <c r="E192" s="3" t="s">
        <v>99</v>
      </c>
      <c r="F192" s="3" t="s">
        <v>60</v>
      </c>
      <c r="G192" s="3" t="s">
        <v>812</v>
      </c>
      <c r="H192" s="3" t="s">
        <v>157</v>
      </c>
      <c r="I192" s="3" t="s">
        <v>661</v>
      </c>
      <c r="J192" s="3"/>
      <c r="K192" s="3" t="s">
        <v>143</v>
      </c>
      <c r="L192" s="3" t="s">
        <v>32</v>
      </c>
      <c r="M192" s="3" t="s">
        <v>22</v>
      </c>
    </row>
    <row r="193" customFormat="false" ht="15" hidden="false" customHeight="true" outlineLevel="0" collapsed="false">
      <c r="A193" s="5" t="s">
        <v>813</v>
      </c>
      <c r="B193" s="6" t="n">
        <v>45950</v>
      </c>
      <c r="C193" s="5" t="s">
        <v>384</v>
      </c>
      <c r="D193" s="5" t="s">
        <v>155</v>
      </c>
      <c r="E193" s="5" t="s">
        <v>81</v>
      </c>
      <c r="F193" s="5" t="s">
        <v>163</v>
      </c>
      <c r="G193" s="5" t="s">
        <v>247</v>
      </c>
      <c r="H193" s="5" t="n">
        <v>1</v>
      </c>
      <c r="I193" s="5" t="n">
        <v>2350</v>
      </c>
      <c r="J193" s="5" t="n">
        <v>0</v>
      </c>
      <c r="K193" s="5" t="s">
        <v>150</v>
      </c>
      <c r="L193" s="5" t="s">
        <v>398</v>
      </c>
      <c r="M193" s="5" t="s">
        <v>22</v>
      </c>
    </row>
    <row r="194" customFormat="false" ht="15" hidden="false" customHeight="true" outlineLevel="0" collapsed="false">
      <c r="A194" s="3" t="s">
        <v>814</v>
      </c>
      <c r="B194" s="3" t="s">
        <v>815</v>
      </c>
      <c r="C194" s="3" t="s">
        <v>816</v>
      </c>
      <c r="D194" s="3" t="s">
        <v>122</v>
      </c>
      <c r="E194" s="3" t="s">
        <v>108</v>
      </c>
      <c r="F194" s="3" t="s">
        <v>71</v>
      </c>
      <c r="G194" s="3" t="s">
        <v>817</v>
      </c>
      <c r="H194" s="3" t="s">
        <v>41</v>
      </c>
      <c r="I194" s="3" t="n">
        <v>4200</v>
      </c>
      <c r="J194" s="3" t="s">
        <v>303</v>
      </c>
      <c r="K194" s="3" t="s">
        <v>64</v>
      </c>
      <c r="L194" s="3" t="s">
        <v>55</v>
      </c>
      <c r="M194" s="3" t="s">
        <v>87</v>
      </c>
    </row>
    <row r="195" customFormat="false" ht="15" hidden="false" customHeight="true" outlineLevel="0" collapsed="false">
      <c r="A195" s="5" t="s">
        <v>818</v>
      </c>
      <c r="B195" s="6" t="n">
        <v>45847</v>
      </c>
      <c r="C195" s="5" t="s">
        <v>801</v>
      </c>
      <c r="D195" s="5" t="s">
        <v>98</v>
      </c>
      <c r="E195" s="5" t="s">
        <v>287</v>
      </c>
      <c r="F195" s="5" t="s">
        <v>230</v>
      </c>
      <c r="G195" s="5" t="s">
        <v>301</v>
      </c>
      <c r="H195" s="5" t="n">
        <v>2</v>
      </c>
      <c r="I195" s="5" t="s">
        <v>93</v>
      </c>
      <c r="J195" s="5" t="s">
        <v>74</v>
      </c>
      <c r="K195" s="5" t="s">
        <v>95</v>
      </c>
      <c r="L195" s="5" t="s">
        <v>151</v>
      </c>
      <c r="M195" s="5" t="s">
        <v>22</v>
      </c>
    </row>
    <row r="196" customFormat="false" ht="15" hidden="false" customHeight="true" outlineLevel="0" collapsed="false">
      <c r="A196" s="3" t="s">
        <v>819</v>
      </c>
      <c r="B196" s="4" t="n">
        <v>45958</v>
      </c>
      <c r="C196" s="3" t="s">
        <v>820</v>
      </c>
      <c r="D196" s="3" t="s">
        <v>80</v>
      </c>
      <c r="E196" s="3" t="s">
        <v>108</v>
      </c>
      <c r="F196" s="3" t="s">
        <v>50</v>
      </c>
      <c r="G196" s="3" t="s">
        <v>561</v>
      </c>
      <c r="H196" s="3" t="s">
        <v>157</v>
      </c>
      <c r="I196" s="3" t="s">
        <v>821</v>
      </c>
      <c r="J196" s="3" t="s">
        <v>74</v>
      </c>
      <c r="K196" s="3" t="s">
        <v>360</v>
      </c>
      <c r="L196" s="3" t="s">
        <v>215</v>
      </c>
      <c r="M196" s="3" t="s">
        <v>45</v>
      </c>
    </row>
    <row r="197" customFormat="false" ht="15" hidden="false" customHeight="true" outlineLevel="0" collapsed="false">
      <c r="A197" s="5" t="s">
        <v>822</v>
      </c>
      <c r="B197" s="5" t="s">
        <v>823</v>
      </c>
      <c r="C197" s="5" t="s">
        <v>824</v>
      </c>
      <c r="D197" s="5" t="s">
        <v>15</v>
      </c>
      <c r="E197" s="5" t="s">
        <v>16</v>
      </c>
      <c r="F197" s="5" t="s">
        <v>230</v>
      </c>
      <c r="G197" s="5" t="s">
        <v>231</v>
      </c>
      <c r="H197" s="5" t="n">
        <v>6</v>
      </c>
      <c r="I197" s="5" t="s">
        <v>825</v>
      </c>
      <c r="J197" s="5" t="s">
        <v>188</v>
      </c>
      <c r="K197" s="5" t="s">
        <v>102</v>
      </c>
      <c r="L197" s="5" t="s">
        <v>151</v>
      </c>
      <c r="M197" s="5" t="s">
        <v>22</v>
      </c>
    </row>
    <row r="198" customFormat="false" ht="15" hidden="false" customHeight="true" outlineLevel="0" collapsed="false">
      <c r="A198" s="3" t="s">
        <v>826</v>
      </c>
      <c r="B198" s="3" t="s">
        <v>827</v>
      </c>
      <c r="C198" s="3" t="s">
        <v>320</v>
      </c>
      <c r="D198" s="3" t="s">
        <v>146</v>
      </c>
      <c r="E198" s="3" t="s">
        <v>16</v>
      </c>
      <c r="F198" s="3" t="s">
        <v>380</v>
      </c>
      <c r="G198" s="3" t="s">
        <v>828</v>
      </c>
      <c r="H198" s="3" t="s">
        <v>111</v>
      </c>
      <c r="I198" s="3" t="s">
        <v>829</v>
      </c>
      <c r="J198" s="3" t="s">
        <v>272</v>
      </c>
      <c r="K198" s="3" t="s">
        <v>102</v>
      </c>
      <c r="L198" s="3" t="s">
        <v>103</v>
      </c>
      <c r="M198" s="3" t="s">
        <v>45</v>
      </c>
    </row>
    <row r="199" customFormat="false" ht="15" hidden="false" customHeight="true" outlineLevel="0" collapsed="false">
      <c r="A199" s="5" t="s">
        <v>830</v>
      </c>
      <c r="B199" s="5" t="s">
        <v>831</v>
      </c>
      <c r="C199" s="5" t="s">
        <v>729</v>
      </c>
      <c r="D199" s="5" t="s">
        <v>161</v>
      </c>
      <c r="E199" s="5" t="s">
        <v>254</v>
      </c>
      <c r="F199" s="5" t="s">
        <v>147</v>
      </c>
      <c r="G199" s="5" t="s">
        <v>381</v>
      </c>
      <c r="H199" s="5" t="n">
        <v>2</v>
      </c>
      <c r="I199" s="5" t="s">
        <v>832</v>
      </c>
      <c r="J199" s="5" t="s">
        <v>337</v>
      </c>
      <c r="K199" s="5" t="s">
        <v>150</v>
      </c>
      <c r="L199" s="5" t="s">
        <v>96</v>
      </c>
      <c r="M199" s="5" t="s">
        <v>174</v>
      </c>
    </row>
    <row r="200" customFormat="false" ht="15" hidden="false" customHeight="true" outlineLevel="0" collapsed="false">
      <c r="A200" s="3" t="s">
        <v>833</v>
      </c>
      <c r="B200" s="3" t="s">
        <v>834</v>
      </c>
      <c r="C200" s="3" t="s">
        <v>474</v>
      </c>
      <c r="D200" s="3" t="s">
        <v>90</v>
      </c>
      <c r="E200" s="3" t="s">
        <v>835</v>
      </c>
      <c r="F200" s="3"/>
      <c r="G200" s="3" t="s">
        <v>367</v>
      </c>
      <c r="H200" s="3" t="s">
        <v>52</v>
      </c>
      <c r="I200" s="3" t="s">
        <v>836</v>
      </c>
      <c r="J200" s="3"/>
      <c r="K200" s="3" t="s">
        <v>64</v>
      </c>
      <c r="L200" s="3" t="s">
        <v>65</v>
      </c>
      <c r="M200" s="3" t="s">
        <v>87</v>
      </c>
    </row>
    <row r="201" customFormat="false" ht="15" hidden="false" customHeight="true" outlineLevel="0" collapsed="false">
      <c r="A201" s="5" t="s">
        <v>837</v>
      </c>
      <c r="B201" s="6" t="n">
        <v>45753</v>
      </c>
      <c r="C201" s="5" t="s">
        <v>838</v>
      </c>
      <c r="D201" s="5" t="s">
        <v>161</v>
      </c>
      <c r="E201" s="5" t="s">
        <v>140</v>
      </c>
      <c r="F201" s="5" t="s">
        <v>147</v>
      </c>
      <c r="G201" s="5" t="s">
        <v>205</v>
      </c>
      <c r="H201" s="5" t="s">
        <v>52</v>
      </c>
      <c r="I201" s="5" t="s">
        <v>839</v>
      </c>
      <c r="J201" s="5" t="s">
        <v>94</v>
      </c>
      <c r="K201" s="5" t="s">
        <v>113</v>
      </c>
      <c r="L201" s="5" t="s">
        <v>194</v>
      </c>
      <c r="M201" s="5" t="s">
        <v>22</v>
      </c>
    </row>
    <row r="202" customFormat="false" ht="15" hidden="false" customHeight="true" outlineLevel="0" collapsed="false">
      <c r="A202" s="3" t="s">
        <v>840</v>
      </c>
      <c r="B202" s="3" t="s">
        <v>841</v>
      </c>
      <c r="C202" s="3" t="s">
        <v>842</v>
      </c>
      <c r="D202" s="3" t="s">
        <v>169</v>
      </c>
      <c r="E202" s="3" t="s">
        <v>38</v>
      </c>
      <c r="F202" s="3" t="s">
        <v>380</v>
      </c>
      <c r="G202" s="3" t="s">
        <v>226</v>
      </c>
      <c r="H202" s="3" t="n">
        <v>1</v>
      </c>
      <c r="I202" s="3" t="s">
        <v>843</v>
      </c>
      <c r="J202" s="3" t="s">
        <v>337</v>
      </c>
      <c r="K202" s="3" t="s">
        <v>143</v>
      </c>
      <c r="L202" s="3" t="s">
        <v>194</v>
      </c>
      <c r="M202" s="3" t="s">
        <v>412</v>
      </c>
    </row>
    <row r="203" customFormat="false" ht="15" hidden="false" customHeight="true" outlineLevel="0" collapsed="false">
      <c r="A203" s="5" t="s">
        <v>844</v>
      </c>
      <c r="B203" s="5" t="s">
        <v>845</v>
      </c>
      <c r="C203" s="5" t="s">
        <v>846</v>
      </c>
      <c r="D203" s="5" t="s">
        <v>80</v>
      </c>
      <c r="E203" s="5" t="s">
        <v>847</v>
      </c>
      <c r="F203" s="5" t="s">
        <v>60</v>
      </c>
      <c r="G203" s="5" t="s">
        <v>61</v>
      </c>
      <c r="H203" s="5" t="n">
        <v>2</v>
      </c>
      <c r="I203" s="5" t="s">
        <v>848</v>
      </c>
      <c r="J203" s="5" t="s">
        <v>63</v>
      </c>
      <c r="K203" s="5" t="s">
        <v>102</v>
      </c>
      <c r="L203" s="5" t="s">
        <v>114</v>
      </c>
      <c r="M203" s="5" t="s">
        <v>242</v>
      </c>
    </row>
    <row r="204" customFormat="false" ht="15" hidden="false" customHeight="true" outlineLevel="0" collapsed="false">
      <c r="A204" s="3" t="s">
        <v>849</v>
      </c>
      <c r="B204" s="3" t="s">
        <v>850</v>
      </c>
      <c r="C204" s="3" t="s">
        <v>851</v>
      </c>
      <c r="D204" s="3" t="s">
        <v>236</v>
      </c>
      <c r="E204" s="3" t="s">
        <v>570</v>
      </c>
      <c r="F204" s="3" t="s">
        <v>82</v>
      </c>
      <c r="G204" s="3" t="s">
        <v>83</v>
      </c>
      <c r="H204" s="3" t="s">
        <v>239</v>
      </c>
      <c r="I204" s="3" t="s">
        <v>852</v>
      </c>
      <c r="J204" s="3" t="s">
        <v>112</v>
      </c>
      <c r="K204" s="3" t="s">
        <v>95</v>
      </c>
      <c r="L204" s="3" t="s">
        <v>151</v>
      </c>
      <c r="M204" s="3" t="s">
        <v>22</v>
      </c>
    </row>
    <row r="205" customFormat="false" ht="15" hidden="false" customHeight="true" outlineLevel="0" collapsed="false">
      <c r="A205" s="5" t="s">
        <v>853</v>
      </c>
      <c r="B205" s="5" t="s">
        <v>854</v>
      </c>
      <c r="C205" s="5" t="s">
        <v>635</v>
      </c>
      <c r="D205" s="5" t="s">
        <v>90</v>
      </c>
      <c r="E205" s="5" t="s">
        <v>408</v>
      </c>
      <c r="F205" s="5" t="s">
        <v>123</v>
      </c>
      <c r="G205" s="5" t="s">
        <v>817</v>
      </c>
      <c r="H205" s="5" t="n">
        <v>1</v>
      </c>
      <c r="I205" s="5" t="s">
        <v>277</v>
      </c>
      <c r="J205" s="5" t="n">
        <v>0</v>
      </c>
      <c r="K205" s="5" t="s">
        <v>43</v>
      </c>
      <c r="L205" s="5" t="s">
        <v>21</v>
      </c>
      <c r="M205" s="5" t="s">
        <v>33</v>
      </c>
    </row>
    <row r="206" customFormat="false" ht="15" hidden="false" customHeight="true" outlineLevel="0" collapsed="false">
      <c r="A206" s="3" t="s">
        <v>855</v>
      </c>
      <c r="B206" s="3" t="s">
        <v>733</v>
      </c>
      <c r="C206" s="3" t="s">
        <v>856</v>
      </c>
      <c r="D206" s="3" t="s">
        <v>471</v>
      </c>
      <c r="E206" s="3" t="s">
        <v>583</v>
      </c>
      <c r="F206" s="3" t="s">
        <v>380</v>
      </c>
      <c r="G206" s="3" t="s">
        <v>205</v>
      </c>
      <c r="H206" s="3" t="s">
        <v>41</v>
      </c>
      <c r="I206" s="3" t="n">
        <v>1250</v>
      </c>
      <c r="J206" s="3" t="s">
        <v>63</v>
      </c>
      <c r="K206" s="3" t="s">
        <v>481</v>
      </c>
      <c r="L206" s="3" t="s">
        <v>151</v>
      </c>
      <c r="M206" s="3" t="s">
        <v>22</v>
      </c>
    </row>
    <row r="207" customFormat="false" ht="15" hidden="false" customHeight="true" outlineLevel="0" collapsed="false">
      <c r="A207" s="5" t="s">
        <v>857</v>
      </c>
      <c r="B207" s="5" t="s">
        <v>858</v>
      </c>
      <c r="C207" s="5" t="s">
        <v>859</v>
      </c>
      <c r="D207" s="5" t="s">
        <v>161</v>
      </c>
      <c r="E207" s="5" t="s">
        <v>197</v>
      </c>
      <c r="F207" s="5"/>
      <c r="G207" s="5" t="s">
        <v>336</v>
      </c>
      <c r="H207" s="5" t="s">
        <v>206</v>
      </c>
      <c r="I207" s="5" t="s">
        <v>621</v>
      </c>
      <c r="J207" s="5"/>
      <c r="K207" s="5" t="s">
        <v>75</v>
      </c>
      <c r="L207" s="5" t="s">
        <v>103</v>
      </c>
      <c r="M207" s="5" t="s">
        <v>87</v>
      </c>
    </row>
    <row r="208" customFormat="false" ht="15" hidden="false" customHeight="true" outlineLevel="0" collapsed="false">
      <c r="A208" s="3" t="s">
        <v>860</v>
      </c>
      <c r="B208" s="3" t="s">
        <v>861</v>
      </c>
      <c r="C208" s="3" t="s">
        <v>862</v>
      </c>
      <c r="D208" s="3" t="s">
        <v>80</v>
      </c>
      <c r="E208" s="3" t="s">
        <v>197</v>
      </c>
      <c r="F208" s="3" t="s">
        <v>300</v>
      </c>
      <c r="G208" s="3" t="s">
        <v>475</v>
      </c>
      <c r="H208" s="3" t="n">
        <v>5</v>
      </c>
      <c r="I208" s="3" t="s">
        <v>863</v>
      </c>
      <c r="J208" s="3" t="s">
        <v>303</v>
      </c>
      <c r="K208" s="3" t="s">
        <v>64</v>
      </c>
      <c r="L208" s="3" t="s">
        <v>96</v>
      </c>
      <c r="M208" s="3" t="s">
        <v>33</v>
      </c>
    </row>
    <row r="209" customFormat="false" ht="15" hidden="false" customHeight="true" outlineLevel="0" collapsed="false">
      <c r="A209" s="5" t="s">
        <v>864</v>
      </c>
      <c r="B209" s="6" t="n">
        <v>46021</v>
      </c>
      <c r="C209" s="5" t="s">
        <v>865</v>
      </c>
      <c r="D209" s="5" t="s">
        <v>155</v>
      </c>
      <c r="E209" s="5" t="s">
        <v>847</v>
      </c>
      <c r="F209" s="5" t="s">
        <v>261</v>
      </c>
      <c r="G209" s="5" t="s">
        <v>367</v>
      </c>
      <c r="H209" s="5" t="n">
        <v>1</v>
      </c>
      <c r="I209" s="5" t="s">
        <v>866</v>
      </c>
      <c r="J209" s="5" t="s">
        <v>337</v>
      </c>
      <c r="K209" s="5" t="s">
        <v>75</v>
      </c>
      <c r="L209" s="5" t="s">
        <v>194</v>
      </c>
      <c r="M209" s="5" t="s">
        <v>22</v>
      </c>
    </row>
    <row r="210" customFormat="false" ht="15" hidden="false" customHeight="true" outlineLevel="0" collapsed="false">
      <c r="A210" s="3" t="s">
        <v>867</v>
      </c>
      <c r="B210" s="4" t="n">
        <v>46009</v>
      </c>
      <c r="C210" s="3" t="s">
        <v>692</v>
      </c>
      <c r="D210" s="3" t="s">
        <v>80</v>
      </c>
      <c r="E210" s="3" t="s">
        <v>99</v>
      </c>
      <c r="F210" s="3" t="s">
        <v>28</v>
      </c>
      <c r="G210" s="3" t="s">
        <v>340</v>
      </c>
      <c r="H210" s="3"/>
      <c r="I210" s="3" t="s">
        <v>868</v>
      </c>
      <c r="J210" s="3" t="s">
        <v>188</v>
      </c>
      <c r="K210" s="3" t="s">
        <v>150</v>
      </c>
      <c r="L210" s="3" t="s">
        <v>55</v>
      </c>
      <c r="M210" s="3" t="s">
        <v>45</v>
      </c>
    </row>
    <row r="211" customFormat="false" ht="15" hidden="false" customHeight="true" outlineLevel="0" collapsed="false">
      <c r="A211" s="5" t="s">
        <v>869</v>
      </c>
      <c r="B211" s="5" t="s">
        <v>870</v>
      </c>
      <c r="C211" s="5" t="s">
        <v>725</v>
      </c>
      <c r="D211" s="5" t="s">
        <v>26</v>
      </c>
      <c r="E211" s="5" t="s">
        <v>186</v>
      </c>
      <c r="F211" s="5" t="s">
        <v>380</v>
      </c>
      <c r="G211" s="5" t="s">
        <v>205</v>
      </c>
      <c r="H211" s="5" t="n">
        <v>2</v>
      </c>
      <c r="I211" s="5" t="s">
        <v>871</v>
      </c>
      <c r="J211" s="5"/>
      <c r="K211" s="5" t="s">
        <v>386</v>
      </c>
      <c r="L211" s="5" t="s">
        <v>278</v>
      </c>
      <c r="M211" s="5" t="s">
        <v>33</v>
      </c>
    </row>
    <row r="212" customFormat="false" ht="15" hidden="false" customHeight="true" outlineLevel="0" collapsed="false">
      <c r="A212" s="3" t="s">
        <v>872</v>
      </c>
      <c r="B212" s="4" t="n">
        <v>45965</v>
      </c>
      <c r="C212" s="3" t="s">
        <v>873</v>
      </c>
      <c r="D212" s="3" t="s">
        <v>80</v>
      </c>
      <c r="E212" s="3" t="s">
        <v>432</v>
      </c>
      <c r="F212" s="3" t="s">
        <v>28</v>
      </c>
      <c r="G212" s="3" t="s">
        <v>205</v>
      </c>
      <c r="H212" s="3" t="s">
        <v>41</v>
      </c>
      <c r="I212" s="3" t="s">
        <v>874</v>
      </c>
      <c r="J212" s="3" t="s">
        <v>63</v>
      </c>
      <c r="K212" s="3" t="s">
        <v>64</v>
      </c>
      <c r="L212" s="3" t="s">
        <v>21</v>
      </c>
      <c r="M212" s="3" t="s">
        <v>45</v>
      </c>
    </row>
    <row r="213" customFormat="false" ht="15" hidden="false" customHeight="true" outlineLevel="0" collapsed="false">
      <c r="A213" s="5" t="s">
        <v>875</v>
      </c>
      <c r="B213" s="5" t="s">
        <v>477</v>
      </c>
      <c r="C213" s="5" t="s">
        <v>235</v>
      </c>
      <c r="D213" s="5" t="s">
        <v>129</v>
      </c>
      <c r="E213" s="5" t="s">
        <v>16</v>
      </c>
      <c r="F213" s="5" t="s">
        <v>71</v>
      </c>
      <c r="G213" s="5" t="s">
        <v>18</v>
      </c>
      <c r="H213" s="5" t="s">
        <v>514</v>
      </c>
      <c r="I213" s="5" t="s">
        <v>876</v>
      </c>
      <c r="J213" s="5" t="s">
        <v>63</v>
      </c>
      <c r="K213" s="5" t="s">
        <v>165</v>
      </c>
      <c r="L213" s="5" t="s">
        <v>44</v>
      </c>
      <c r="M213" s="5" t="s">
        <v>45</v>
      </c>
    </row>
    <row r="214" customFormat="false" ht="15" hidden="false" customHeight="true" outlineLevel="0" collapsed="false">
      <c r="A214" s="3" t="s">
        <v>877</v>
      </c>
      <c r="B214" s="3" t="s">
        <v>370</v>
      </c>
      <c r="C214" s="3"/>
      <c r="D214" s="3"/>
      <c r="E214" s="3" t="s">
        <v>38</v>
      </c>
      <c r="F214" s="3" t="s">
        <v>147</v>
      </c>
      <c r="G214" s="3" t="s">
        <v>226</v>
      </c>
      <c r="H214" s="3" t="s">
        <v>878</v>
      </c>
      <c r="I214" s="3" t="s">
        <v>879</v>
      </c>
      <c r="J214" s="3" t="s">
        <v>63</v>
      </c>
      <c r="K214" s="3" t="s">
        <v>95</v>
      </c>
      <c r="L214" s="3" t="s">
        <v>151</v>
      </c>
      <c r="M214" s="3" t="s">
        <v>22</v>
      </c>
    </row>
    <row r="215" customFormat="false" ht="15" hidden="false" customHeight="true" outlineLevel="0" collapsed="false">
      <c r="A215" s="5" t="s">
        <v>880</v>
      </c>
      <c r="B215" s="5" t="s">
        <v>881</v>
      </c>
      <c r="C215" s="5" t="s">
        <v>824</v>
      </c>
      <c r="D215" s="5" t="s">
        <v>169</v>
      </c>
      <c r="E215" s="5" t="s">
        <v>49</v>
      </c>
      <c r="F215" s="5" t="s">
        <v>230</v>
      </c>
      <c r="G215" s="5" t="s">
        <v>882</v>
      </c>
      <c r="H215" s="5" t="s">
        <v>52</v>
      </c>
      <c r="I215" s="5" t="s">
        <v>883</v>
      </c>
      <c r="J215" s="5" t="s">
        <v>94</v>
      </c>
      <c r="K215" s="5" t="s">
        <v>31</v>
      </c>
      <c r="L215" s="5" t="s">
        <v>398</v>
      </c>
      <c r="M215" s="5" t="s">
        <v>22</v>
      </c>
    </row>
    <row r="216" customFormat="false" ht="15" hidden="false" customHeight="true" outlineLevel="0" collapsed="false">
      <c r="A216" s="3" t="s">
        <v>884</v>
      </c>
      <c r="B216" s="3" t="s">
        <v>885</v>
      </c>
      <c r="C216" s="3" t="s">
        <v>886</v>
      </c>
      <c r="D216" s="3" t="s">
        <v>90</v>
      </c>
      <c r="E216" s="3" t="s">
        <v>38</v>
      </c>
      <c r="F216" s="3" t="s">
        <v>163</v>
      </c>
      <c r="G216" s="3" t="s">
        <v>887</v>
      </c>
      <c r="H216" s="3" t="s">
        <v>52</v>
      </c>
      <c r="I216" s="3" t="s">
        <v>888</v>
      </c>
      <c r="J216" s="3" t="s">
        <v>272</v>
      </c>
      <c r="K216" s="3" t="s">
        <v>64</v>
      </c>
      <c r="L216" s="3" t="s">
        <v>151</v>
      </c>
      <c r="M216" s="3" t="s">
        <v>87</v>
      </c>
    </row>
    <row r="217" customFormat="false" ht="15" hidden="false" customHeight="true" outlineLevel="0" collapsed="false">
      <c r="A217" s="5" t="s">
        <v>889</v>
      </c>
      <c r="B217" s="5" t="s">
        <v>890</v>
      </c>
      <c r="C217" s="5" t="s">
        <v>824</v>
      </c>
      <c r="D217" s="5" t="s">
        <v>161</v>
      </c>
      <c r="E217" s="5" t="s">
        <v>81</v>
      </c>
      <c r="F217" s="5" t="s">
        <v>308</v>
      </c>
      <c r="G217" s="5" t="s">
        <v>177</v>
      </c>
      <c r="H217" s="5" t="s">
        <v>41</v>
      </c>
      <c r="I217" s="5" t="s">
        <v>891</v>
      </c>
      <c r="J217" s="5" t="s">
        <v>288</v>
      </c>
      <c r="K217" s="5" t="s">
        <v>31</v>
      </c>
      <c r="L217" s="5" t="s">
        <v>65</v>
      </c>
      <c r="M217" s="5" t="s">
        <v>45</v>
      </c>
    </row>
    <row r="218" customFormat="false" ht="15" hidden="false" customHeight="true" outlineLevel="0" collapsed="false">
      <c r="A218" s="3" t="s">
        <v>892</v>
      </c>
      <c r="B218" s="4" t="n">
        <v>45947</v>
      </c>
      <c r="C218" s="3" t="s">
        <v>893</v>
      </c>
      <c r="D218" s="3" t="s">
        <v>15</v>
      </c>
      <c r="E218" s="3" t="s">
        <v>59</v>
      </c>
      <c r="F218" s="3" t="s">
        <v>300</v>
      </c>
      <c r="G218" s="3" t="s">
        <v>309</v>
      </c>
      <c r="H218" s="3" t="n">
        <v>1</v>
      </c>
      <c r="I218" s="3"/>
      <c r="J218" s="3" t="s">
        <v>188</v>
      </c>
      <c r="K218" s="3"/>
      <c r="L218" s="3" t="s">
        <v>96</v>
      </c>
      <c r="M218" s="3" t="s">
        <v>22</v>
      </c>
    </row>
    <row r="219" customFormat="false" ht="15" hidden="false" customHeight="true" outlineLevel="0" collapsed="false">
      <c r="A219" s="5" t="s">
        <v>894</v>
      </c>
      <c r="B219" s="6" t="n">
        <v>46013</v>
      </c>
      <c r="C219" s="5" t="s">
        <v>185</v>
      </c>
      <c r="D219" s="5" t="s">
        <v>155</v>
      </c>
      <c r="E219" s="5" t="s">
        <v>108</v>
      </c>
      <c r="F219" s="5" t="s">
        <v>300</v>
      </c>
      <c r="G219" s="5" t="s">
        <v>636</v>
      </c>
      <c r="H219" s="5" t="s">
        <v>514</v>
      </c>
      <c r="I219" s="5" t="s">
        <v>895</v>
      </c>
      <c r="J219" s="5" t="s">
        <v>94</v>
      </c>
      <c r="K219" s="5" t="s">
        <v>500</v>
      </c>
      <c r="L219" s="5" t="s">
        <v>21</v>
      </c>
      <c r="M219" s="5" t="s">
        <v>22</v>
      </c>
    </row>
    <row r="220" customFormat="false" ht="15" hidden="false" customHeight="true" outlineLevel="0" collapsed="false">
      <c r="A220" s="3" t="s">
        <v>896</v>
      </c>
      <c r="B220" s="4" t="n">
        <v>45904</v>
      </c>
      <c r="C220" s="3" t="s">
        <v>351</v>
      </c>
      <c r="D220" s="3" t="s">
        <v>146</v>
      </c>
      <c r="E220" s="3" t="s">
        <v>192</v>
      </c>
      <c r="F220" s="3" t="s">
        <v>71</v>
      </c>
      <c r="G220" s="3" t="s">
        <v>124</v>
      </c>
      <c r="H220" s="3" t="n">
        <v>5</v>
      </c>
      <c r="I220" s="3" t="n">
        <v>850</v>
      </c>
      <c r="J220" s="3" t="s">
        <v>188</v>
      </c>
      <c r="K220" s="3" t="s">
        <v>143</v>
      </c>
      <c r="L220" s="3" t="s">
        <v>194</v>
      </c>
      <c r="M220" s="3" t="s">
        <v>45</v>
      </c>
    </row>
    <row r="221" customFormat="false" ht="15" hidden="false" customHeight="true" outlineLevel="0" collapsed="false">
      <c r="A221" s="5" t="s">
        <v>897</v>
      </c>
      <c r="B221" s="5" t="s">
        <v>898</v>
      </c>
      <c r="C221" s="5" t="s">
        <v>899</v>
      </c>
      <c r="D221" s="5" t="s">
        <v>37</v>
      </c>
      <c r="E221" s="5" t="s">
        <v>27</v>
      </c>
      <c r="F221" s="5" t="s">
        <v>39</v>
      </c>
      <c r="G221" s="5" t="s">
        <v>132</v>
      </c>
      <c r="H221" s="5" t="n">
        <v>2</v>
      </c>
      <c r="I221" s="5" t="n">
        <v>7200</v>
      </c>
      <c r="J221" s="5" t="s">
        <v>63</v>
      </c>
      <c r="K221" s="5" t="s">
        <v>64</v>
      </c>
      <c r="L221" s="5" t="s">
        <v>44</v>
      </c>
      <c r="M221" s="5" t="s">
        <v>174</v>
      </c>
    </row>
    <row r="222" customFormat="false" ht="15" hidden="false" customHeight="true" outlineLevel="0" collapsed="false">
      <c r="A222" s="3" t="s">
        <v>900</v>
      </c>
      <c r="B222" s="3" t="s">
        <v>901</v>
      </c>
      <c r="C222" s="3" t="s">
        <v>168</v>
      </c>
      <c r="D222" s="3" t="s">
        <v>169</v>
      </c>
      <c r="E222" s="3" t="s">
        <v>294</v>
      </c>
      <c r="F222" s="3" t="s">
        <v>230</v>
      </c>
      <c r="G222" s="3" t="s">
        <v>177</v>
      </c>
      <c r="H222" s="3" t="s">
        <v>84</v>
      </c>
      <c r="I222" s="3" t="s">
        <v>902</v>
      </c>
      <c r="J222" s="3"/>
      <c r="K222" s="3" t="s">
        <v>64</v>
      </c>
      <c r="L222" s="3" t="s">
        <v>44</v>
      </c>
      <c r="M222" s="3" t="s">
        <v>22</v>
      </c>
    </row>
    <row r="223" customFormat="false" ht="15" hidden="false" customHeight="true" outlineLevel="0" collapsed="false">
      <c r="A223" s="5" t="s">
        <v>903</v>
      </c>
      <c r="B223" s="5" t="s">
        <v>904</v>
      </c>
      <c r="C223" s="5" t="s">
        <v>805</v>
      </c>
      <c r="D223" s="5" t="s">
        <v>129</v>
      </c>
      <c r="E223" s="5" t="s">
        <v>905</v>
      </c>
      <c r="F223" s="5" t="s">
        <v>109</v>
      </c>
      <c r="G223" s="5" t="s">
        <v>247</v>
      </c>
      <c r="H223" s="5" t="s">
        <v>655</v>
      </c>
      <c r="I223" s="5" t="s">
        <v>548</v>
      </c>
      <c r="J223" s="5"/>
      <c r="K223" s="5" t="s">
        <v>31</v>
      </c>
      <c r="L223" s="5" t="s">
        <v>55</v>
      </c>
      <c r="M223" s="5" t="s">
        <v>87</v>
      </c>
    </row>
    <row r="224" customFormat="false" ht="15" hidden="false" customHeight="true" outlineLevel="0" collapsed="false">
      <c r="A224" s="3" t="s">
        <v>906</v>
      </c>
      <c r="B224" s="3" t="s">
        <v>907</v>
      </c>
      <c r="C224" s="3" t="s">
        <v>908</v>
      </c>
      <c r="D224" s="3" t="s">
        <v>90</v>
      </c>
      <c r="E224" s="3" t="s">
        <v>38</v>
      </c>
      <c r="F224" s="3" t="s">
        <v>123</v>
      </c>
      <c r="G224" s="3" t="s">
        <v>909</v>
      </c>
      <c r="H224" s="3" t="n">
        <v>1</v>
      </c>
      <c r="I224" s="3" t="s">
        <v>438</v>
      </c>
      <c r="J224" s="3" t="n">
        <v>0</v>
      </c>
      <c r="K224" s="3" t="s">
        <v>481</v>
      </c>
      <c r="L224" s="3" t="s">
        <v>215</v>
      </c>
      <c r="M224" s="3" t="s">
        <v>45</v>
      </c>
    </row>
    <row r="225" customFormat="false" ht="15" hidden="false" customHeight="true" outlineLevel="0" collapsed="false">
      <c r="A225" s="5" t="s">
        <v>910</v>
      </c>
      <c r="B225" s="5" t="s">
        <v>911</v>
      </c>
      <c r="C225" s="5" t="s">
        <v>168</v>
      </c>
      <c r="D225" s="5" t="s">
        <v>122</v>
      </c>
      <c r="E225" s="5" t="s">
        <v>99</v>
      </c>
      <c r="F225" s="5" t="s">
        <v>308</v>
      </c>
      <c r="G225" s="5" t="s">
        <v>309</v>
      </c>
      <c r="H225" s="5" t="s">
        <v>514</v>
      </c>
      <c r="I225" s="5" t="s">
        <v>706</v>
      </c>
      <c r="J225" s="5"/>
      <c r="K225" s="5" t="s">
        <v>500</v>
      </c>
      <c r="L225" s="5" t="s">
        <v>55</v>
      </c>
      <c r="M225" s="5" t="s">
        <v>33</v>
      </c>
    </row>
    <row r="226" customFormat="false" ht="15" hidden="false" customHeight="true" outlineLevel="0" collapsed="false">
      <c r="A226" s="3" t="s">
        <v>912</v>
      </c>
      <c r="B226" s="3" t="s">
        <v>913</v>
      </c>
      <c r="C226" s="3" t="s">
        <v>758</v>
      </c>
      <c r="D226" s="3"/>
      <c r="E226" s="3" t="s">
        <v>81</v>
      </c>
      <c r="F226" s="3" t="s">
        <v>50</v>
      </c>
      <c r="G226" s="3" t="s">
        <v>83</v>
      </c>
      <c r="H226" s="3" t="s">
        <v>465</v>
      </c>
      <c r="I226" s="3" t="s">
        <v>914</v>
      </c>
      <c r="J226" s="3" t="n">
        <v>0.2</v>
      </c>
      <c r="K226" s="3" t="s">
        <v>75</v>
      </c>
      <c r="L226" s="3" t="s">
        <v>194</v>
      </c>
      <c r="M226" s="3" t="s">
        <v>87</v>
      </c>
    </row>
    <row r="227" customFormat="false" ht="15" hidden="false" customHeight="true" outlineLevel="0" collapsed="false">
      <c r="A227" s="5" t="s">
        <v>915</v>
      </c>
      <c r="B227" s="6" t="n">
        <v>45996</v>
      </c>
      <c r="C227" s="5" t="s">
        <v>250</v>
      </c>
      <c r="D227" s="5" t="s">
        <v>80</v>
      </c>
      <c r="E227" s="5" t="s">
        <v>162</v>
      </c>
      <c r="F227" s="5" t="s">
        <v>204</v>
      </c>
      <c r="G227" s="5" t="s">
        <v>424</v>
      </c>
      <c r="H227" s="5" t="s">
        <v>84</v>
      </c>
      <c r="I227" s="5" t="n">
        <v>6450</v>
      </c>
      <c r="J227" s="5" t="s">
        <v>118</v>
      </c>
      <c r="K227" s="5" t="s">
        <v>150</v>
      </c>
      <c r="L227" s="5" t="s">
        <v>194</v>
      </c>
      <c r="M227" s="5" t="s">
        <v>45</v>
      </c>
    </row>
    <row r="228" customFormat="false" ht="15" hidden="false" customHeight="true" outlineLevel="0" collapsed="false">
      <c r="A228" s="3" t="s">
        <v>916</v>
      </c>
      <c r="B228" s="3" t="s">
        <v>917</v>
      </c>
      <c r="C228" s="3" t="s">
        <v>918</v>
      </c>
      <c r="D228" s="3" t="s">
        <v>155</v>
      </c>
      <c r="E228" s="3" t="s">
        <v>221</v>
      </c>
      <c r="F228" s="3" t="s">
        <v>300</v>
      </c>
      <c r="G228" s="3" t="s">
        <v>336</v>
      </c>
      <c r="H228" s="3" t="n">
        <v>1</v>
      </c>
      <c r="I228" s="3" t="n">
        <v>10300</v>
      </c>
      <c r="J228" s="3" t="s">
        <v>94</v>
      </c>
      <c r="K228" s="3" t="s">
        <v>95</v>
      </c>
      <c r="L228" s="3" t="s">
        <v>215</v>
      </c>
      <c r="M228" s="3" t="s">
        <v>22</v>
      </c>
    </row>
    <row r="229" customFormat="false" ht="15" hidden="false" customHeight="true" outlineLevel="0" collapsed="false">
      <c r="A229" s="5" t="s">
        <v>919</v>
      </c>
      <c r="B229" s="6" t="n">
        <v>45937</v>
      </c>
      <c r="C229" s="5" t="s">
        <v>920</v>
      </c>
      <c r="D229" s="5" t="s">
        <v>155</v>
      </c>
      <c r="E229" s="5" t="s">
        <v>99</v>
      </c>
      <c r="F229" s="5" t="s">
        <v>308</v>
      </c>
      <c r="G229" s="5" t="s">
        <v>198</v>
      </c>
      <c r="H229" s="5" t="n">
        <v>3</v>
      </c>
      <c r="I229" s="5" t="s">
        <v>921</v>
      </c>
      <c r="J229" s="5" t="s">
        <v>248</v>
      </c>
      <c r="K229" s="5" t="s">
        <v>553</v>
      </c>
      <c r="L229" s="5" t="s">
        <v>21</v>
      </c>
      <c r="M229" s="5" t="s">
        <v>87</v>
      </c>
    </row>
    <row r="230" customFormat="false" ht="15" hidden="false" customHeight="true" outlineLevel="0" collapsed="false">
      <c r="A230" s="3" t="s">
        <v>922</v>
      </c>
      <c r="B230" s="4" t="n">
        <v>45828</v>
      </c>
      <c r="C230" s="3" t="s">
        <v>923</v>
      </c>
      <c r="D230" s="3" t="s">
        <v>90</v>
      </c>
      <c r="E230" s="3" t="s">
        <v>49</v>
      </c>
      <c r="F230" s="3" t="s">
        <v>82</v>
      </c>
      <c r="G230" s="3" t="s">
        <v>222</v>
      </c>
      <c r="H230" s="3" t="n">
        <v>2</v>
      </c>
      <c r="I230" s="3" t="s">
        <v>924</v>
      </c>
      <c r="J230" s="3" t="n">
        <v>0.2</v>
      </c>
      <c r="K230" s="3" t="s">
        <v>481</v>
      </c>
      <c r="L230" s="3" t="s">
        <v>21</v>
      </c>
      <c r="M230" s="3" t="s">
        <v>45</v>
      </c>
    </row>
    <row r="231" customFormat="false" ht="15" hidden="false" customHeight="true" outlineLevel="0" collapsed="false">
      <c r="A231" s="5" t="s">
        <v>925</v>
      </c>
      <c r="B231" s="6" t="n">
        <v>45992</v>
      </c>
      <c r="C231" s="5" t="s">
        <v>926</v>
      </c>
      <c r="D231" s="5" t="s">
        <v>122</v>
      </c>
      <c r="E231" s="5" t="s">
        <v>282</v>
      </c>
      <c r="F231" s="5" t="s">
        <v>91</v>
      </c>
      <c r="G231" s="5" t="s">
        <v>927</v>
      </c>
      <c r="H231" s="5" t="s">
        <v>514</v>
      </c>
      <c r="I231" s="5" t="s">
        <v>928</v>
      </c>
      <c r="J231" s="5" t="s">
        <v>118</v>
      </c>
      <c r="K231" s="5" t="s">
        <v>365</v>
      </c>
      <c r="L231" s="5" t="s">
        <v>65</v>
      </c>
      <c r="M231" s="5" t="s">
        <v>87</v>
      </c>
    </row>
    <row r="232" customFormat="false" ht="15" hidden="false" customHeight="true" outlineLevel="0" collapsed="false">
      <c r="A232" s="3" t="s">
        <v>929</v>
      </c>
      <c r="B232" s="3" t="s">
        <v>930</v>
      </c>
      <c r="C232" s="3" t="s">
        <v>538</v>
      </c>
      <c r="D232" s="3" t="s">
        <v>471</v>
      </c>
      <c r="E232" s="3" t="s">
        <v>720</v>
      </c>
      <c r="F232" s="3" t="s">
        <v>28</v>
      </c>
      <c r="G232" s="3" t="s">
        <v>226</v>
      </c>
      <c r="H232" s="3" t="s">
        <v>514</v>
      </c>
      <c r="I232" s="3" t="s">
        <v>931</v>
      </c>
      <c r="J232" s="3"/>
      <c r="K232" s="3" t="s">
        <v>267</v>
      </c>
      <c r="L232" s="3" t="s">
        <v>215</v>
      </c>
      <c r="M232" s="3" t="s">
        <v>22</v>
      </c>
    </row>
    <row r="233" customFormat="false" ht="15" hidden="false" customHeight="true" outlineLevel="0" collapsed="false">
      <c r="A233" s="5" t="s">
        <v>932</v>
      </c>
      <c r="B233" s="5" t="s">
        <v>933</v>
      </c>
      <c r="C233" s="5" t="s">
        <v>464</v>
      </c>
      <c r="D233" s="5" t="s">
        <v>122</v>
      </c>
      <c r="E233" s="5" t="s">
        <v>221</v>
      </c>
      <c r="F233" s="5" t="s">
        <v>170</v>
      </c>
      <c r="G233" s="5" t="s">
        <v>231</v>
      </c>
      <c r="H233" s="5" t="n">
        <v>5</v>
      </c>
      <c r="I233" s="5" t="s">
        <v>934</v>
      </c>
      <c r="J233" s="5" t="n">
        <v>0.1</v>
      </c>
      <c r="K233" s="5" t="s">
        <v>143</v>
      </c>
      <c r="L233" s="5" t="s">
        <v>278</v>
      </c>
      <c r="M233" s="5" t="s">
        <v>45</v>
      </c>
    </row>
    <row r="234" customFormat="false" ht="15" hidden="false" customHeight="true" outlineLevel="0" collapsed="false">
      <c r="A234" s="3" t="s">
        <v>935</v>
      </c>
      <c r="B234" s="3" t="s">
        <v>936</v>
      </c>
      <c r="C234" s="3"/>
      <c r="D234" s="3" t="s">
        <v>37</v>
      </c>
      <c r="E234" s="3" t="s">
        <v>453</v>
      </c>
      <c r="F234" s="3" t="s">
        <v>300</v>
      </c>
      <c r="G234" s="3" t="s">
        <v>301</v>
      </c>
      <c r="H234" s="3" t="n">
        <v>2</v>
      </c>
      <c r="I234" s="3" t="s">
        <v>902</v>
      </c>
      <c r="J234" s="3" t="s">
        <v>303</v>
      </c>
      <c r="K234" s="3" t="s">
        <v>95</v>
      </c>
      <c r="L234" s="3" t="s">
        <v>55</v>
      </c>
      <c r="M234" s="3" t="s">
        <v>87</v>
      </c>
    </row>
    <row r="235" customFormat="false" ht="15" hidden="false" customHeight="true" outlineLevel="0" collapsed="false">
      <c r="A235" s="5" t="s">
        <v>937</v>
      </c>
      <c r="B235" s="5" t="s">
        <v>483</v>
      </c>
      <c r="C235" s="5" t="s">
        <v>938</v>
      </c>
      <c r="D235" s="5" t="s">
        <v>155</v>
      </c>
      <c r="E235" s="5" t="s">
        <v>197</v>
      </c>
      <c r="F235" s="5" t="s">
        <v>308</v>
      </c>
      <c r="G235" s="5" t="s">
        <v>309</v>
      </c>
      <c r="H235" s="5" t="n">
        <v>6</v>
      </c>
      <c r="I235" s="5" t="s">
        <v>939</v>
      </c>
      <c r="J235" s="5"/>
      <c r="K235" s="5" t="s">
        <v>150</v>
      </c>
      <c r="L235" s="5" t="s">
        <v>103</v>
      </c>
      <c r="M235" s="5" t="s">
        <v>33</v>
      </c>
    </row>
    <row r="236" customFormat="false" ht="15" hidden="false" customHeight="true" outlineLevel="0" collapsed="false">
      <c r="A236" s="3" t="s">
        <v>940</v>
      </c>
      <c r="B236" s="3" t="s">
        <v>941</v>
      </c>
      <c r="C236" s="3" t="s">
        <v>185</v>
      </c>
      <c r="D236" s="3" t="s">
        <v>471</v>
      </c>
      <c r="E236" s="3" t="s">
        <v>237</v>
      </c>
      <c r="F236" s="3" t="s">
        <v>50</v>
      </c>
      <c r="G236" s="3" t="s">
        <v>211</v>
      </c>
      <c r="H236" s="3" t="s">
        <v>878</v>
      </c>
      <c r="I236" s="3" t="s">
        <v>777</v>
      </c>
      <c r="J236" s="3" t="s">
        <v>241</v>
      </c>
      <c r="K236" s="3" t="s">
        <v>64</v>
      </c>
      <c r="L236" s="3" t="s">
        <v>114</v>
      </c>
      <c r="M236" s="3" t="s">
        <v>412</v>
      </c>
    </row>
    <row r="237" customFormat="false" ht="15" hidden="false" customHeight="true" outlineLevel="0" collapsed="false">
      <c r="A237" s="5" t="s">
        <v>659</v>
      </c>
      <c r="B237" s="5" t="s">
        <v>942</v>
      </c>
      <c r="C237" s="5" t="s">
        <v>457</v>
      </c>
      <c r="D237" s="5" t="s">
        <v>80</v>
      </c>
      <c r="E237" s="5" t="s">
        <v>108</v>
      </c>
      <c r="F237" s="5" t="s">
        <v>141</v>
      </c>
      <c r="G237" s="5" t="s">
        <v>247</v>
      </c>
      <c r="H237" s="5" t="n">
        <v>4</v>
      </c>
      <c r="I237" s="5" t="n">
        <v>2250</v>
      </c>
      <c r="J237" s="5" t="n">
        <v>0</v>
      </c>
      <c r="K237" s="5" t="s">
        <v>267</v>
      </c>
      <c r="L237" s="5" t="s">
        <v>32</v>
      </c>
      <c r="M237" s="5" t="s">
        <v>22</v>
      </c>
    </row>
    <row r="238" customFormat="false" ht="15" hidden="false" customHeight="true" outlineLevel="0" collapsed="false">
      <c r="A238" s="3" t="s">
        <v>943</v>
      </c>
      <c r="B238" s="3" t="s">
        <v>944</v>
      </c>
      <c r="C238" s="3" t="s">
        <v>945</v>
      </c>
      <c r="D238" s="3" t="s">
        <v>471</v>
      </c>
      <c r="E238" s="3" t="s">
        <v>720</v>
      </c>
      <c r="F238" s="3" t="s">
        <v>91</v>
      </c>
      <c r="G238" s="3" t="s">
        <v>226</v>
      </c>
      <c r="H238" s="3" t="s">
        <v>41</v>
      </c>
      <c r="I238" s="3" t="s">
        <v>946</v>
      </c>
      <c r="J238" s="3" t="n">
        <v>0</v>
      </c>
      <c r="K238" s="3" t="s">
        <v>553</v>
      </c>
      <c r="L238" s="3" t="s">
        <v>194</v>
      </c>
      <c r="M238" s="3" t="s">
        <v>355</v>
      </c>
    </row>
    <row r="239" customFormat="false" ht="15" hidden="false" customHeight="true" outlineLevel="0" collapsed="false">
      <c r="A239" s="5" t="s">
        <v>947</v>
      </c>
      <c r="B239" s="5" t="s">
        <v>948</v>
      </c>
      <c r="C239" s="5" t="s">
        <v>949</v>
      </c>
      <c r="D239" s="5" t="s">
        <v>129</v>
      </c>
      <c r="E239" s="5" t="s">
        <v>768</v>
      </c>
      <c r="F239" s="5" t="s">
        <v>204</v>
      </c>
      <c r="G239" s="5" t="s">
        <v>29</v>
      </c>
      <c r="H239" s="5" t="s">
        <v>271</v>
      </c>
      <c r="I239" s="5" t="s">
        <v>950</v>
      </c>
      <c r="J239" s="5" t="s">
        <v>241</v>
      </c>
      <c r="K239" s="5" t="s">
        <v>150</v>
      </c>
      <c r="L239" s="5" t="s">
        <v>398</v>
      </c>
      <c r="M239" s="5" t="s">
        <v>45</v>
      </c>
    </row>
    <row r="240" customFormat="false" ht="15" hidden="false" customHeight="true" outlineLevel="0" collapsed="false">
      <c r="A240" s="3" t="s">
        <v>951</v>
      </c>
      <c r="B240" s="4" t="n">
        <v>45930</v>
      </c>
      <c r="C240" s="3" t="s">
        <v>952</v>
      </c>
      <c r="D240" s="3" t="s">
        <v>146</v>
      </c>
      <c r="E240" s="3" t="s">
        <v>953</v>
      </c>
      <c r="F240" s="3" t="s">
        <v>147</v>
      </c>
      <c r="G240" s="3" t="s">
        <v>424</v>
      </c>
      <c r="H240" s="3" t="n">
        <v>4</v>
      </c>
      <c r="I240" s="3" t="s">
        <v>425</v>
      </c>
      <c r="J240" s="3" t="s">
        <v>337</v>
      </c>
      <c r="K240" s="3" t="s">
        <v>95</v>
      </c>
      <c r="L240" s="3" t="s">
        <v>55</v>
      </c>
      <c r="M240" s="3" t="s">
        <v>22</v>
      </c>
    </row>
    <row r="241" customFormat="false" ht="15" hidden="false" customHeight="true" outlineLevel="0" collapsed="false">
      <c r="A241" s="5" t="s">
        <v>954</v>
      </c>
      <c r="B241" s="6" t="n">
        <v>45946</v>
      </c>
      <c r="C241" s="5" t="s">
        <v>955</v>
      </c>
      <c r="D241" s="5" t="s">
        <v>90</v>
      </c>
      <c r="E241" s="5" t="s">
        <v>38</v>
      </c>
      <c r="F241" s="5" t="s">
        <v>82</v>
      </c>
      <c r="G241" s="5" t="s">
        <v>83</v>
      </c>
      <c r="H241" s="5" t="s">
        <v>410</v>
      </c>
      <c r="I241" s="5" t="s">
        <v>956</v>
      </c>
      <c r="J241" s="5" t="s">
        <v>272</v>
      </c>
      <c r="K241" s="5" t="s">
        <v>64</v>
      </c>
      <c r="L241" s="5" t="s">
        <v>194</v>
      </c>
      <c r="M241" s="5" t="s">
        <v>22</v>
      </c>
    </row>
    <row r="242" customFormat="false" ht="15" hidden="false" customHeight="true" outlineLevel="0" collapsed="false">
      <c r="A242" s="3" t="s">
        <v>957</v>
      </c>
      <c r="B242" s="3" t="s">
        <v>958</v>
      </c>
      <c r="C242" s="3" t="s">
        <v>959</v>
      </c>
      <c r="D242" s="3" t="s">
        <v>146</v>
      </c>
      <c r="E242" s="3" t="s">
        <v>130</v>
      </c>
      <c r="F242" s="3" t="s">
        <v>204</v>
      </c>
      <c r="G242" s="3" t="s">
        <v>148</v>
      </c>
      <c r="H242" s="3" t="n">
        <v>3</v>
      </c>
      <c r="I242" s="3" t="n">
        <v>9800</v>
      </c>
      <c r="J242" s="3" t="s">
        <v>94</v>
      </c>
      <c r="K242" s="3" t="s">
        <v>64</v>
      </c>
      <c r="L242" s="3" t="s">
        <v>194</v>
      </c>
      <c r="M242" s="3" t="s">
        <v>22</v>
      </c>
    </row>
    <row r="243" customFormat="false" ht="15" hidden="false" customHeight="true" outlineLevel="0" collapsed="false">
      <c r="A243" s="5" t="s">
        <v>960</v>
      </c>
      <c r="B243" s="5" t="s">
        <v>961</v>
      </c>
      <c r="C243" s="5" t="s">
        <v>962</v>
      </c>
      <c r="D243" s="5" t="s">
        <v>122</v>
      </c>
      <c r="E243" s="5" t="s">
        <v>108</v>
      </c>
      <c r="F243" s="5" t="s">
        <v>261</v>
      </c>
      <c r="G243" s="5" t="s">
        <v>137</v>
      </c>
      <c r="H243" s="5" t="n">
        <v>1</v>
      </c>
      <c r="I243" s="5" t="s">
        <v>963</v>
      </c>
      <c r="J243" s="5"/>
      <c r="K243" s="5" t="s">
        <v>553</v>
      </c>
      <c r="L243" s="5" t="s">
        <v>55</v>
      </c>
      <c r="M243" s="5" t="s">
        <v>412</v>
      </c>
    </row>
    <row r="244" customFormat="false" ht="15" hidden="false" customHeight="true" outlineLevel="0" collapsed="false">
      <c r="A244" s="3" t="s">
        <v>849</v>
      </c>
      <c r="B244" s="3" t="s">
        <v>511</v>
      </c>
      <c r="C244" s="3" t="s">
        <v>964</v>
      </c>
      <c r="D244" s="3" t="s">
        <v>69</v>
      </c>
      <c r="E244" s="3" t="s">
        <v>570</v>
      </c>
      <c r="F244" s="3" t="s">
        <v>131</v>
      </c>
      <c r="G244" s="3" t="s">
        <v>965</v>
      </c>
      <c r="H244" s="3" t="n">
        <v>2</v>
      </c>
      <c r="I244" s="3"/>
      <c r="J244" s="3" t="s">
        <v>112</v>
      </c>
      <c r="K244" s="3" t="s">
        <v>95</v>
      </c>
      <c r="L244" s="3" t="s">
        <v>151</v>
      </c>
      <c r="M244" s="3" t="s">
        <v>33</v>
      </c>
    </row>
    <row r="245" customFormat="false" ht="15" hidden="false" customHeight="true" outlineLevel="0" collapsed="false">
      <c r="A245" s="5" t="s">
        <v>966</v>
      </c>
      <c r="B245" s="5" t="s">
        <v>967</v>
      </c>
      <c r="C245" s="5" t="s">
        <v>968</v>
      </c>
      <c r="D245" s="5" t="s">
        <v>98</v>
      </c>
      <c r="E245" s="5" t="s">
        <v>108</v>
      </c>
      <c r="F245" s="5" t="s">
        <v>91</v>
      </c>
      <c r="G245" s="5" t="s">
        <v>29</v>
      </c>
      <c r="H245" s="5" t="n">
        <v>4</v>
      </c>
      <c r="I245" s="5" t="s">
        <v>969</v>
      </c>
      <c r="J245" s="5"/>
      <c r="K245" s="5"/>
      <c r="L245" s="5" t="s">
        <v>114</v>
      </c>
      <c r="M245" s="5" t="s">
        <v>22</v>
      </c>
    </row>
    <row r="246" customFormat="false" ht="15" hidden="false" customHeight="true" outlineLevel="0" collapsed="false">
      <c r="A246" s="3" t="s">
        <v>970</v>
      </c>
      <c r="B246" s="3" t="s">
        <v>971</v>
      </c>
      <c r="C246" s="3" t="s">
        <v>428</v>
      </c>
      <c r="D246" s="3" t="s">
        <v>98</v>
      </c>
      <c r="E246" s="3"/>
      <c r="F246" s="3" t="s">
        <v>170</v>
      </c>
      <c r="G246" s="3" t="s">
        <v>420</v>
      </c>
      <c r="H246" s="3" t="n">
        <v>3</v>
      </c>
      <c r="I246" s="3" t="s">
        <v>454</v>
      </c>
      <c r="J246" s="3" t="s">
        <v>74</v>
      </c>
      <c r="K246" s="3" t="s">
        <v>450</v>
      </c>
      <c r="L246" s="3" t="s">
        <v>32</v>
      </c>
      <c r="M246" s="3" t="s">
        <v>152</v>
      </c>
    </row>
    <row r="247" customFormat="false" ht="15" hidden="false" customHeight="true" outlineLevel="0" collapsed="false">
      <c r="A247" s="5" t="s">
        <v>972</v>
      </c>
      <c r="B247" s="5" t="s">
        <v>973</v>
      </c>
      <c r="C247" s="5" t="s">
        <v>89</v>
      </c>
      <c r="D247" s="5" t="s">
        <v>236</v>
      </c>
      <c r="E247" s="5" t="s">
        <v>237</v>
      </c>
      <c r="F247" s="5" t="s">
        <v>170</v>
      </c>
      <c r="G247" s="5" t="s">
        <v>882</v>
      </c>
      <c r="H247" s="5" t="s">
        <v>157</v>
      </c>
      <c r="I247" s="5" t="s">
        <v>974</v>
      </c>
      <c r="J247" s="5" t="s">
        <v>188</v>
      </c>
      <c r="K247" s="5" t="s">
        <v>481</v>
      </c>
      <c r="L247" s="5" t="s">
        <v>103</v>
      </c>
      <c r="M247" s="5" t="s">
        <v>33</v>
      </c>
    </row>
    <row r="248" customFormat="false" ht="15" hidden="false" customHeight="true" outlineLevel="0" collapsed="false">
      <c r="A248" s="3" t="s">
        <v>975</v>
      </c>
      <c r="B248" s="3" t="s">
        <v>976</v>
      </c>
      <c r="C248" s="3" t="s">
        <v>977</v>
      </c>
      <c r="D248" s="3" t="s">
        <v>80</v>
      </c>
      <c r="E248" s="3" t="s">
        <v>197</v>
      </c>
      <c r="F248" s="3" t="s">
        <v>71</v>
      </c>
      <c r="G248" s="3" t="s">
        <v>687</v>
      </c>
      <c r="H248" s="3" t="n">
        <v>4</v>
      </c>
      <c r="I248" s="3" t="n">
        <v>3900</v>
      </c>
      <c r="J248" s="3"/>
      <c r="K248" s="3"/>
      <c r="L248" s="3" t="s">
        <v>151</v>
      </c>
      <c r="M248" s="3" t="s">
        <v>104</v>
      </c>
    </row>
    <row r="249" customFormat="false" ht="15" hidden="false" customHeight="true" outlineLevel="0" collapsed="false">
      <c r="A249" s="5" t="s">
        <v>978</v>
      </c>
      <c r="B249" s="5" t="s">
        <v>979</v>
      </c>
      <c r="C249" s="5" t="s">
        <v>89</v>
      </c>
      <c r="D249" s="5" t="s">
        <v>122</v>
      </c>
      <c r="E249" s="5" t="s">
        <v>108</v>
      </c>
      <c r="F249" s="5" t="s">
        <v>123</v>
      </c>
      <c r="G249" s="5" t="s">
        <v>367</v>
      </c>
      <c r="H249" s="5" t="n">
        <v>5</v>
      </c>
      <c r="I249" s="5" t="s">
        <v>829</v>
      </c>
      <c r="J249" s="5" t="s">
        <v>112</v>
      </c>
      <c r="K249" s="5" t="s">
        <v>43</v>
      </c>
      <c r="L249" s="5" t="s">
        <v>151</v>
      </c>
      <c r="M249" s="5" t="s">
        <v>45</v>
      </c>
    </row>
    <row r="250" customFormat="false" ht="15" hidden="false" customHeight="true" outlineLevel="0" collapsed="false">
      <c r="A250" s="3" t="s">
        <v>666</v>
      </c>
      <c r="B250" s="3" t="s">
        <v>980</v>
      </c>
      <c r="C250" s="3" t="s">
        <v>320</v>
      </c>
      <c r="D250" s="3" t="s">
        <v>155</v>
      </c>
      <c r="E250" s="3" t="s">
        <v>325</v>
      </c>
      <c r="F250" s="3" t="s">
        <v>109</v>
      </c>
      <c r="G250" s="3" t="s">
        <v>110</v>
      </c>
      <c r="H250" s="3" t="n">
        <v>1</v>
      </c>
      <c r="I250" s="3" t="s">
        <v>981</v>
      </c>
      <c r="J250" s="3" t="s">
        <v>486</v>
      </c>
      <c r="K250" s="3" t="s">
        <v>365</v>
      </c>
      <c r="L250" s="3" t="s">
        <v>398</v>
      </c>
      <c r="M250" s="3" t="s">
        <v>87</v>
      </c>
    </row>
    <row r="251" customFormat="false" ht="15" hidden="false" customHeight="true" outlineLevel="0" collapsed="false">
      <c r="A251" s="5" t="s">
        <v>982</v>
      </c>
      <c r="B251" s="5" t="s">
        <v>983</v>
      </c>
      <c r="C251" s="5" t="s">
        <v>842</v>
      </c>
      <c r="D251" s="5" t="s">
        <v>90</v>
      </c>
      <c r="E251" s="5" t="s">
        <v>38</v>
      </c>
      <c r="F251" s="5" t="s">
        <v>230</v>
      </c>
      <c r="G251" s="5" t="s">
        <v>882</v>
      </c>
      <c r="H251" s="5" t="s">
        <v>984</v>
      </c>
      <c r="I251" s="5" t="s">
        <v>985</v>
      </c>
      <c r="J251" s="5" t="s">
        <v>288</v>
      </c>
      <c r="K251" s="5" t="s">
        <v>150</v>
      </c>
      <c r="L251" s="5" t="s">
        <v>32</v>
      </c>
      <c r="M251" s="5" t="s">
        <v>22</v>
      </c>
    </row>
    <row r="252" customFormat="false" ht="15" hidden="false" customHeight="true" outlineLevel="0" collapsed="false">
      <c r="A252" s="3" t="s">
        <v>986</v>
      </c>
      <c r="B252" s="3" t="s">
        <v>987</v>
      </c>
      <c r="C252" s="3" t="s">
        <v>36</v>
      </c>
      <c r="D252" s="3" t="s">
        <v>236</v>
      </c>
      <c r="E252" s="3" t="s">
        <v>237</v>
      </c>
      <c r="F252" s="3" t="s">
        <v>170</v>
      </c>
      <c r="G252" s="3" t="s">
        <v>566</v>
      </c>
      <c r="H252" s="3" t="s">
        <v>514</v>
      </c>
      <c r="I252" s="3" t="s">
        <v>988</v>
      </c>
      <c r="J252" s="3" t="s">
        <v>63</v>
      </c>
      <c r="K252" s="3" t="s">
        <v>64</v>
      </c>
      <c r="L252" s="3" t="s">
        <v>32</v>
      </c>
      <c r="M252" s="3" t="s">
        <v>87</v>
      </c>
    </row>
    <row r="253" customFormat="false" ht="15" hidden="false" customHeight="true" outlineLevel="0" collapsed="false">
      <c r="A253" s="5" t="s">
        <v>989</v>
      </c>
      <c r="B253" s="5" t="s">
        <v>990</v>
      </c>
      <c r="C253" s="5" t="s">
        <v>220</v>
      </c>
      <c r="D253" s="5" t="s">
        <v>155</v>
      </c>
      <c r="E253" s="5" t="s">
        <v>99</v>
      </c>
      <c r="F253" s="5" t="s">
        <v>170</v>
      </c>
      <c r="G253" s="5" t="s">
        <v>991</v>
      </c>
      <c r="H253" s="5" t="s">
        <v>111</v>
      </c>
      <c r="I253" s="5" t="s">
        <v>499</v>
      </c>
      <c r="J253" s="5" t="s">
        <v>337</v>
      </c>
      <c r="K253" s="5" t="s">
        <v>143</v>
      </c>
      <c r="L253" s="5" t="s">
        <v>55</v>
      </c>
      <c r="M253" s="5" t="s">
        <v>22</v>
      </c>
    </row>
    <row r="254" customFormat="false" ht="15" hidden="false" customHeight="true" outlineLevel="0" collapsed="false">
      <c r="A254" s="3" t="s">
        <v>992</v>
      </c>
      <c r="B254" s="3" t="s">
        <v>993</v>
      </c>
      <c r="C254" s="3" t="s">
        <v>116</v>
      </c>
      <c r="D254" s="3" t="s">
        <v>155</v>
      </c>
      <c r="E254" s="3" t="s">
        <v>99</v>
      </c>
      <c r="F254" s="3" t="s">
        <v>109</v>
      </c>
      <c r="G254" s="3" t="s">
        <v>247</v>
      </c>
      <c r="H254" s="3" t="n">
        <v>1</v>
      </c>
      <c r="I254" s="3" t="s">
        <v>296</v>
      </c>
      <c r="J254" s="3" t="s">
        <v>272</v>
      </c>
      <c r="K254" s="3" t="s">
        <v>102</v>
      </c>
      <c r="L254" s="3" t="s">
        <v>194</v>
      </c>
      <c r="M254" s="3" t="s">
        <v>87</v>
      </c>
    </row>
    <row r="255" customFormat="false" ht="15" hidden="false" customHeight="true" outlineLevel="0" collapsed="false">
      <c r="A255" s="5" t="s">
        <v>994</v>
      </c>
      <c r="B255" s="5" t="s">
        <v>995</v>
      </c>
      <c r="C255" s="5" t="s">
        <v>996</v>
      </c>
      <c r="D255" s="5" t="s">
        <v>90</v>
      </c>
      <c r="E255" s="5" t="s">
        <v>38</v>
      </c>
      <c r="F255" s="5" t="s">
        <v>60</v>
      </c>
      <c r="G255" s="5" t="s">
        <v>61</v>
      </c>
      <c r="H255" s="5" t="n">
        <v>3</v>
      </c>
      <c r="I255" s="5" t="n">
        <v>1650</v>
      </c>
      <c r="J255" s="5"/>
      <c r="K255" s="5" t="s">
        <v>397</v>
      </c>
      <c r="L255" s="5" t="s">
        <v>151</v>
      </c>
      <c r="M255" s="5" t="s">
        <v>22</v>
      </c>
    </row>
    <row r="256" customFormat="false" ht="15" hidden="false" customHeight="true" outlineLevel="0" collapsed="false">
      <c r="A256" s="3" t="s">
        <v>997</v>
      </c>
      <c r="B256" s="4" t="n">
        <v>45934</v>
      </c>
      <c r="C256" s="3" t="s">
        <v>660</v>
      </c>
      <c r="D256" s="3" t="s">
        <v>58</v>
      </c>
      <c r="E256" s="3" t="s">
        <v>246</v>
      </c>
      <c r="F256" s="3" t="s">
        <v>170</v>
      </c>
      <c r="G256" s="3" t="s">
        <v>566</v>
      </c>
      <c r="H256" s="3" t="s">
        <v>41</v>
      </c>
      <c r="I256" s="3" t="s">
        <v>998</v>
      </c>
      <c r="J256" s="3" t="s">
        <v>74</v>
      </c>
      <c r="K256" s="3" t="s">
        <v>372</v>
      </c>
      <c r="L256" s="3" t="s">
        <v>44</v>
      </c>
      <c r="M256" s="3" t="s">
        <v>33</v>
      </c>
    </row>
    <row r="257" customFormat="false" ht="15" hidden="false" customHeight="true" outlineLevel="0" collapsed="false">
      <c r="A257" s="5" t="s">
        <v>999</v>
      </c>
      <c r="B257" s="5"/>
      <c r="C257" s="5" t="s">
        <v>245</v>
      </c>
      <c r="D257" s="5" t="s">
        <v>155</v>
      </c>
      <c r="E257" s="5" t="s">
        <v>352</v>
      </c>
      <c r="F257" s="5" t="s">
        <v>261</v>
      </c>
      <c r="G257" s="5" t="s">
        <v>367</v>
      </c>
      <c r="H257" s="5" t="n">
        <v>7</v>
      </c>
      <c r="I257" s="5" t="n">
        <v>4250</v>
      </c>
      <c r="J257" s="5" t="s">
        <v>112</v>
      </c>
      <c r="K257" s="5" t="s">
        <v>113</v>
      </c>
      <c r="L257" s="5" t="s">
        <v>65</v>
      </c>
      <c r="M257" s="5" t="s">
        <v>104</v>
      </c>
    </row>
    <row r="258" customFormat="false" ht="15" hidden="false" customHeight="true" outlineLevel="0" collapsed="false">
      <c r="A258" s="3" t="s">
        <v>1000</v>
      </c>
      <c r="B258" s="3" t="s">
        <v>1001</v>
      </c>
      <c r="C258" s="3" t="s">
        <v>1002</v>
      </c>
      <c r="D258" s="3" t="s">
        <v>155</v>
      </c>
      <c r="E258" s="3" t="s">
        <v>81</v>
      </c>
      <c r="F258" s="3" t="s">
        <v>39</v>
      </c>
      <c r="G258" s="3" t="s">
        <v>222</v>
      </c>
      <c r="H258" s="3" t="s">
        <v>239</v>
      </c>
      <c r="I258" s="3" t="s">
        <v>1003</v>
      </c>
      <c r="J258" s="3"/>
      <c r="K258" s="3" t="s">
        <v>165</v>
      </c>
      <c r="L258" s="3" t="s">
        <v>215</v>
      </c>
      <c r="M258" s="3" t="s">
        <v>152</v>
      </c>
    </row>
    <row r="259" customFormat="false" ht="15" hidden="false" customHeight="true" outlineLevel="0" collapsed="false">
      <c r="A259" s="5" t="s">
        <v>1004</v>
      </c>
      <c r="B259" s="5" t="s">
        <v>1005</v>
      </c>
      <c r="C259" s="5" t="s">
        <v>217</v>
      </c>
      <c r="D259" s="5" t="s">
        <v>80</v>
      </c>
      <c r="E259" s="5" t="s">
        <v>210</v>
      </c>
      <c r="F259" s="5" t="s">
        <v>131</v>
      </c>
      <c r="G259" s="5" t="s">
        <v>51</v>
      </c>
      <c r="H259" s="5" t="n">
        <v>7</v>
      </c>
      <c r="I259" s="5" t="s">
        <v>396</v>
      </c>
      <c r="J259" s="5"/>
      <c r="K259" s="5" t="s">
        <v>143</v>
      </c>
      <c r="L259" s="5" t="s">
        <v>215</v>
      </c>
      <c r="M259" s="5" t="s">
        <v>45</v>
      </c>
    </row>
    <row r="260" customFormat="false" ht="15" hidden="false" customHeight="true" outlineLevel="0" collapsed="false">
      <c r="A260" s="3" t="s">
        <v>1006</v>
      </c>
      <c r="B260" s="4" t="n">
        <v>45714</v>
      </c>
      <c r="C260" s="3" t="s">
        <v>846</v>
      </c>
      <c r="D260" s="3"/>
      <c r="E260" s="3" t="s">
        <v>186</v>
      </c>
      <c r="F260" s="3" t="s">
        <v>123</v>
      </c>
      <c r="G260" s="3" t="s">
        <v>1007</v>
      </c>
      <c r="H260" s="3" t="n">
        <v>8</v>
      </c>
      <c r="I260" s="3" t="n">
        <v>4150</v>
      </c>
      <c r="J260" s="3"/>
      <c r="K260" s="3" t="s">
        <v>64</v>
      </c>
      <c r="L260" s="3" t="s">
        <v>65</v>
      </c>
      <c r="M260" s="3" t="s">
        <v>45</v>
      </c>
    </row>
    <row r="261" customFormat="false" ht="15" hidden="false" customHeight="true" outlineLevel="0" collapsed="false">
      <c r="A261" s="5" t="s">
        <v>1008</v>
      </c>
      <c r="B261" s="6" t="n">
        <v>45864</v>
      </c>
      <c r="C261" s="5" t="s">
        <v>292</v>
      </c>
      <c r="D261" s="5"/>
      <c r="E261" s="5" t="s">
        <v>108</v>
      </c>
      <c r="F261" s="5"/>
      <c r="G261" s="5" t="s">
        <v>812</v>
      </c>
      <c r="H261" s="5" t="s">
        <v>514</v>
      </c>
      <c r="I261" s="5" t="n">
        <v>2200</v>
      </c>
      <c r="J261" s="5" t="n">
        <v>0.15</v>
      </c>
      <c r="K261" s="5" t="s">
        <v>75</v>
      </c>
      <c r="L261" s="5" t="s">
        <v>215</v>
      </c>
      <c r="M261" s="5" t="s">
        <v>87</v>
      </c>
    </row>
    <row r="262" customFormat="false" ht="15" hidden="false" customHeight="true" outlineLevel="0" collapsed="false">
      <c r="A262" s="3" t="s">
        <v>1009</v>
      </c>
      <c r="B262" s="3" t="s">
        <v>1010</v>
      </c>
      <c r="C262" s="3" t="s">
        <v>628</v>
      </c>
      <c r="D262" s="3" t="s">
        <v>155</v>
      </c>
      <c r="E262" s="3" t="s">
        <v>210</v>
      </c>
      <c r="F262" s="3" t="s">
        <v>131</v>
      </c>
      <c r="G262" s="3" t="s">
        <v>479</v>
      </c>
      <c r="H262" s="3" t="s">
        <v>52</v>
      </c>
      <c r="I262" s="3" t="s">
        <v>1011</v>
      </c>
      <c r="J262" s="3" t="s">
        <v>94</v>
      </c>
      <c r="K262" s="3" t="s">
        <v>481</v>
      </c>
      <c r="L262" s="3" t="s">
        <v>55</v>
      </c>
      <c r="M262" s="3" t="s">
        <v>33</v>
      </c>
    </row>
    <row r="263" customFormat="false" ht="15" hidden="false" customHeight="true" outlineLevel="0" collapsed="false">
      <c r="A263" s="5" t="s">
        <v>1012</v>
      </c>
      <c r="B263" s="6" t="n">
        <v>45878</v>
      </c>
      <c r="C263" s="5" t="s">
        <v>1013</v>
      </c>
      <c r="D263" s="5" t="s">
        <v>26</v>
      </c>
      <c r="E263" s="5" t="s">
        <v>38</v>
      </c>
      <c r="F263" s="5" t="s">
        <v>82</v>
      </c>
      <c r="G263" s="5" t="s">
        <v>51</v>
      </c>
      <c r="H263" s="5" t="s">
        <v>206</v>
      </c>
      <c r="I263" s="5" t="s">
        <v>699</v>
      </c>
      <c r="J263" s="5" t="n">
        <v>0</v>
      </c>
      <c r="K263" s="5" t="s">
        <v>75</v>
      </c>
      <c r="L263" s="5" t="s">
        <v>278</v>
      </c>
      <c r="M263" s="5" t="s">
        <v>33</v>
      </c>
    </row>
    <row r="264" customFormat="false" ht="15" hidden="false" customHeight="true" outlineLevel="0" collapsed="false">
      <c r="A264" s="3" t="s">
        <v>1014</v>
      </c>
      <c r="B264" s="3" t="s">
        <v>1015</v>
      </c>
      <c r="C264" s="3" t="s">
        <v>686</v>
      </c>
      <c r="D264" s="3" t="s">
        <v>169</v>
      </c>
      <c r="E264" s="3" t="s">
        <v>835</v>
      </c>
      <c r="F264" s="3" t="s">
        <v>82</v>
      </c>
      <c r="G264" s="3" t="s">
        <v>83</v>
      </c>
      <c r="H264" s="3" t="s">
        <v>84</v>
      </c>
      <c r="I264" s="3" t="s">
        <v>1016</v>
      </c>
      <c r="J264" s="3" t="s">
        <v>63</v>
      </c>
      <c r="K264" s="3" t="s">
        <v>86</v>
      </c>
      <c r="L264" s="3" t="s">
        <v>114</v>
      </c>
      <c r="M264" s="3" t="s">
        <v>45</v>
      </c>
    </row>
    <row r="265" customFormat="false" ht="15" hidden="false" customHeight="true" outlineLevel="0" collapsed="false">
      <c r="A265" s="5" t="s">
        <v>1017</v>
      </c>
      <c r="B265" s="5" t="s">
        <v>1018</v>
      </c>
      <c r="C265" s="5" t="s">
        <v>968</v>
      </c>
      <c r="D265" s="5"/>
      <c r="E265" s="5" t="s">
        <v>905</v>
      </c>
      <c r="F265" s="5" t="s">
        <v>91</v>
      </c>
      <c r="G265" s="5" t="s">
        <v>1019</v>
      </c>
      <c r="H265" s="5" t="s">
        <v>111</v>
      </c>
      <c r="I265" s="5" t="s">
        <v>1020</v>
      </c>
      <c r="J265" s="5" t="n">
        <v>0.1</v>
      </c>
      <c r="K265" s="5" t="s">
        <v>86</v>
      </c>
      <c r="L265" s="5" t="s">
        <v>103</v>
      </c>
      <c r="M265" s="5" t="s">
        <v>22</v>
      </c>
    </row>
    <row r="266" customFormat="false" ht="15" hidden="false" customHeight="true" outlineLevel="0" collapsed="false">
      <c r="A266" s="3" t="s">
        <v>1021</v>
      </c>
      <c r="B266" s="3" t="s">
        <v>1022</v>
      </c>
      <c r="C266" s="3" t="s">
        <v>344</v>
      </c>
      <c r="D266" s="3" t="s">
        <v>26</v>
      </c>
      <c r="E266" s="3" t="s">
        <v>294</v>
      </c>
      <c r="F266" s="3" t="s">
        <v>82</v>
      </c>
      <c r="G266" s="3" t="s">
        <v>523</v>
      </c>
      <c r="H266" s="3" t="n">
        <v>4</v>
      </c>
      <c r="I266" s="3" t="s">
        <v>1023</v>
      </c>
      <c r="J266" s="3" t="s">
        <v>94</v>
      </c>
      <c r="K266" s="3" t="s">
        <v>500</v>
      </c>
      <c r="L266" s="3" t="s">
        <v>114</v>
      </c>
      <c r="M266" s="3" t="s">
        <v>87</v>
      </c>
    </row>
    <row r="267" customFormat="false" ht="15" hidden="false" customHeight="true" outlineLevel="0" collapsed="false">
      <c r="A267" s="5" t="s">
        <v>1024</v>
      </c>
      <c r="B267" s="5" t="s">
        <v>1025</v>
      </c>
      <c r="C267" s="5" t="s">
        <v>196</v>
      </c>
      <c r="D267" s="5" t="s">
        <v>90</v>
      </c>
      <c r="E267" s="5" t="s">
        <v>49</v>
      </c>
      <c r="F267" s="5" t="s">
        <v>50</v>
      </c>
      <c r="G267" s="5" t="s">
        <v>222</v>
      </c>
      <c r="H267" s="5" t="n">
        <v>2</v>
      </c>
      <c r="I267" s="5" t="n">
        <v>5150</v>
      </c>
      <c r="J267" s="5" t="s">
        <v>272</v>
      </c>
      <c r="K267" s="5" t="s">
        <v>150</v>
      </c>
      <c r="L267" s="5" t="s">
        <v>21</v>
      </c>
      <c r="M267" s="5" t="s">
        <v>33</v>
      </c>
    </row>
    <row r="268" customFormat="false" ht="15" hidden="false" customHeight="true" outlineLevel="0" collapsed="false">
      <c r="A268" s="3" t="s">
        <v>1026</v>
      </c>
      <c r="B268" s="4" t="n">
        <v>45771</v>
      </c>
      <c r="C268" s="3" t="s">
        <v>384</v>
      </c>
      <c r="D268" s="3" t="s">
        <v>37</v>
      </c>
      <c r="E268" s="3" t="s">
        <v>49</v>
      </c>
      <c r="F268" s="3" t="s">
        <v>300</v>
      </c>
      <c r="G268" s="3" t="s">
        <v>309</v>
      </c>
      <c r="H268" s="3" t="s">
        <v>178</v>
      </c>
      <c r="I268" s="3" t="s">
        <v>750</v>
      </c>
      <c r="J268" s="3" t="n">
        <v>0</v>
      </c>
      <c r="K268" s="3" t="s">
        <v>102</v>
      </c>
      <c r="L268" s="3" t="s">
        <v>103</v>
      </c>
      <c r="M268" s="3" t="s">
        <v>22</v>
      </c>
    </row>
    <row r="269" customFormat="false" ht="15" hidden="false" customHeight="true" outlineLevel="0" collapsed="false">
      <c r="A269" s="5" t="s">
        <v>1027</v>
      </c>
      <c r="B269" s="5" t="s">
        <v>740</v>
      </c>
      <c r="C269" s="5" t="s">
        <v>312</v>
      </c>
      <c r="D269" s="5" t="s">
        <v>80</v>
      </c>
      <c r="E269" s="5" t="s">
        <v>99</v>
      </c>
      <c r="F269" s="5" t="s">
        <v>82</v>
      </c>
      <c r="G269" s="5" t="s">
        <v>222</v>
      </c>
      <c r="H269" s="5" t="s">
        <v>716</v>
      </c>
      <c r="I269" s="5" t="s">
        <v>1028</v>
      </c>
      <c r="J269" s="5" t="s">
        <v>74</v>
      </c>
      <c r="K269" s="5" t="s">
        <v>173</v>
      </c>
      <c r="L269" s="5" t="s">
        <v>278</v>
      </c>
      <c r="M269" s="5" t="s">
        <v>22</v>
      </c>
    </row>
    <row r="270" customFormat="false" ht="15" hidden="false" customHeight="true" outlineLevel="0" collapsed="false">
      <c r="A270" s="3" t="s">
        <v>1029</v>
      </c>
      <c r="B270" s="3" t="s">
        <v>1030</v>
      </c>
      <c r="C270" s="3" t="s">
        <v>79</v>
      </c>
      <c r="D270" s="3" t="s">
        <v>471</v>
      </c>
      <c r="E270" s="3" t="s">
        <v>237</v>
      </c>
      <c r="F270" s="3" t="s">
        <v>308</v>
      </c>
      <c r="G270" s="3" t="s">
        <v>309</v>
      </c>
      <c r="H270" s="3"/>
      <c r="I270" s="3" t="s">
        <v>1031</v>
      </c>
      <c r="J270" s="3"/>
      <c r="K270" s="3" t="s">
        <v>150</v>
      </c>
      <c r="L270" s="3" t="s">
        <v>151</v>
      </c>
      <c r="M270" s="3" t="s">
        <v>45</v>
      </c>
    </row>
    <row r="271" customFormat="false" ht="15" hidden="false" customHeight="true" outlineLevel="0" collapsed="false">
      <c r="A271" s="5" t="s">
        <v>1032</v>
      </c>
      <c r="B271" s="5" t="s">
        <v>1033</v>
      </c>
      <c r="C271" s="5" t="s">
        <v>57</v>
      </c>
      <c r="D271" s="5"/>
      <c r="E271" s="5" t="s">
        <v>108</v>
      </c>
      <c r="F271" s="5" t="s">
        <v>91</v>
      </c>
      <c r="G271" s="5" t="s">
        <v>534</v>
      </c>
      <c r="H271" s="5" t="s">
        <v>330</v>
      </c>
      <c r="I271" s="5" t="s">
        <v>1034</v>
      </c>
      <c r="J271" s="5" t="s">
        <v>112</v>
      </c>
      <c r="K271" s="5" t="s">
        <v>372</v>
      </c>
      <c r="L271" s="5" t="s">
        <v>151</v>
      </c>
      <c r="M271" s="5" t="s">
        <v>22</v>
      </c>
    </row>
    <row r="272" customFormat="false" ht="15" hidden="false" customHeight="true" outlineLevel="0" collapsed="false">
      <c r="A272" s="3" t="s">
        <v>1035</v>
      </c>
      <c r="B272" s="4" t="n">
        <v>45730</v>
      </c>
      <c r="C272" s="3" t="s">
        <v>1036</v>
      </c>
      <c r="D272" s="3" t="s">
        <v>146</v>
      </c>
      <c r="E272" s="3" t="s">
        <v>183</v>
      </c>
      <c r="F272" s="3" t="s">
        <v>123</v>
      </c>
      <c r="G272" s="3" t="s">
        <v>367</v>
      </c>
      <c r="H272" s="3" t="n">
        <v>6</v>
      </c>
      <c r="I272" s="3" t="s">
        <v>1037</v>
      </c>
      <c r="J272" s="3" t="s">
        <v>248</v>
      </c>
      <c r="K272" s="3" t="s">
        <v>365</v>
      </c>
      <c r="L272" s="3" t="s">
        <v>32</v>
      </c>
      <c r="M272" s="3" t="s">
        <v>45</v>
      </c>
    </row>
    <row r="273" customFormat="false" ht="15" hidden="false" customHeight="true" outlineLevel="0" collapsed="false">
      <c r="A273" s="5" t="s">
        <v>1038</v>
      </c>
      <c r="B273" s="5" t="s">
        <v>1039</v>
      </c>
      <c r="C273" s="5" t="s">
        <v>503</v>
      </c>
      <c r="D273" s="5" t="s">
        <v>122</v>
      </c>
      <c r="E273" s="5" t="s">
        <v>108</v>
      </c>
      <c r="F273" s="5" t="s">
        <v>230</v>
      </c>
      <c r="G273" s="5" t="s">
        <v>309</v>
      </c>
      <c r="H273" s="5" t="s">
        <v>84</v>
      </c>
      <c r="I273" s="5" t="s">
        <v>939</v>
      </c>
      <c r="J273" s="5" t="n">
        <v>0</v>
      </c>
      <c r="K273" s="5" t="s">
        <v>54</v>
      </c>
      <c r="L273" s="5" t="s">
        <v>96</v>
      </c>
      <c r="M273" s="5" t="s">
        <v>152</v>
      </c>
    </row>
    <row r="274" customFormat="false" ht="15" hidden="false" customHeight="true" outlineLevel="0" collapsed="false">
      <c r="A274" s="3" t="s">
        <v>1040</v>
      </c>
      <c r="B274" s="4" t="n">
        <v>45863</v>
      </c>
      <c r="C274" s="3" t="s">
        <v>1041</v>
      </c>
      <c r="D274" s="3" t="s">
        <v>98</v>
      </c>
      <c r="E274" s="3" t="s">
        <v>99</v>
      </c>
      <c r="F274" s="3" t="s">
        <v>147</v>
      </c>
      <c r="G274" s="3" t="s">
        <v>255</v>
      </c>
      <c r="H274" s="3" t="n">
        <v>3</v>
      </c>
      <c r="I274" s="3" t="s">
        <v>746</v>
      </c>
      <c r="J274" s="3" t="s">
        <v>272</v>
      </c>
      <c r="K274" s="3" t="s">
        <v>500</v>
      </c>
      <c r="L274" s="3" t="s">
        <v>114</v>
      </c>
      <c r="M274" s="3" t="s">
        <v>22</v>
      </c>
    </row>
    <row r="275" customFormat="false" ht="15" hidden="false" customHeight="true" outlineLevel="0" collapsed="false">
      <c r="A275" s="5" t="s">
        <v>1042</v>
      </c>
      <c r="B275" s="5" t="s">
        <v>343</v>
      </c>
      <c r="C275" s="5" t="s">
        <v>1043</v>
      </c>
      <c r="D275" s="5" t="s">
        <v>122</v>
      </c>
      <c r="E275" s="5" t="s">
        <v>162</v>
      </c>
      <c r="F275" s="5" t="s">
        <v>230</v>
      </c>
      <c r="G275" s="5" t="s">
        <v>636</v>
      </c>
      <c r="H275" s="5" t="n">
        <v>2</v>
      </c>
      <c r="I275" s="5" t="s">
        <v>985</v>
      </c>
      <c r="J275" s="5" t="s">
        <v>74</v>
      </c>
      <c r="K275" s="5" t="s">
        <v>102</v>
      </c>
      <c r="L275" s="5" t="s">
        <v>55</v>
      </c>
      <c r="M275" s="5" t="s">
        <v>45</v>
      </c>
    </row>
    <row r="276" customFormat="false" ht="15" hidden="false" customHeight="true" outlineLevel="0" collapsed="false">
      <c r="A276" s="3" t="s">
        <v>1044</v>
      </c>
      <c r="B276" s="3" t="s">
        <v>1045</v>
      </c>
      <c r="C276" s="3" t="s">
        <v>1046</v>
      </c>
      <c r="D276" s="3" t="s">
        <v>471</v>
      </c>
      <c r="E276" s="3" t="s">
        <v>726</v>
      </c>
      <c r="F276" s="3" t="s">
        <v>147</v>
      </c>
      <c r="G276" s="3" t="s">
        <v>520</v>
      </c>
      <c r="H276" s="3" t="n">
        <v>3</v>
      </c>
      <c r="I276" s="3" t="s">
        <v>1047</v>
      </c>
      <c r="J276" s="3" t="s">
        <v>94</v>
      </c>
      <c r="K276" s="3" t="s">
        <v>31</v>
      </c>
      <c r="L276" s="3" t="s">
        <v>398</v>
      </c>
      <c r="M276" s="3" t="s">
        <v>33</v>
      </c>
    </row>
    <row r="277" customFormat="false" ht="15" hidden="false" customHeight="true" outlineLevel="0" collapsed="false">
      <c r="A277" s="5" t="s">
        <v>1048</v>
      </c>
      <c r="B277" s="6" t="n">
        <v>45758</v>
      </c>
      <c r="C277" s="5" t="s">
        <v>316</v>
      </c>
      <c r="D277" s="5" t="s">
        <v>58</v>
      </c>
      <c r="E277" s="5" t="s">
        <v>130</v>
      </c>
      <c r="F277" s="5" t="s">
        <v>170</v>
      </c>
      <c r="G277" s="5" t="s">
        <v>177</v>
      </c>
      <c r="H277" s="5" t="n">
        <v>7</v>
      </c>
      <c r="I277" s="5" t="s">
        <v>1049</v>
      </c>
      <c r="J277" s="5" t="n">
        <v>0.15</v>
      </c>
      <c r="K277" s="5" t="s">
        <v>64</v>
      </c>
      <c r="L277" s="5" t="s">
        <v>114</v>
      </c>
      <c r="M277" s="5" t="s">
        <v>33</v>
      </c>
    </row>
    <row r="278" customFormat="false" ht="15" hidden="false" customHeight="true" outlineLevel="0" collapsed="false">
      <c r="A278" s="3" t="s">
        <v>1050</v>
      </c>
      <c r="B278" s="3" t="s">
        <v>1051</v>
      </c>
      <c r="C278" s="3" t="s">
        <v>1052</v>
      </c>
      <c r="D278" s="3"/>
      <c r="E278" s="3" t="s">
        <v>905</v>
      </c>
      <c r="F278" s="3" t="s">
        <v>50</v>
      </c>
      <c r="G278" s="3" t="s">
        <v>1053</v>
      </c>
      <c r="H278" s="3" t="s">
        <v>111</v>
      </c>
      <c r="I278" s="3" t="n">
        <v>5400</v>
      </c>
      <c r="J278" s="3"/>
      <c r="K278" s="3" t="s">
        <v>143</v>
      </c>
      <c r="L278" s="3" t="s">
        <v>398</v>
      </c>
      <c r="M278" s="3" t="s">
        <v>87</v>
      </c>
    </row>
    <row r="279" customFormat="false" ht="15" hidden="false" customHeight="true" outlineLevel="0" collapsed="false">
      <c r="A279" s="5" t="s">
        <v>1054</v>
      </c>
      <c r="B279" s="5"/>
      <c r="C279" s="5" t="s">
        <v>1055</v>
      </c>
      <c r="D279" s="5" t="s">
        <v>236</v>
      </c>
      <c r="E279" s="5" t="s">
        <v>726</v>
      </c>
      <c r="F279" s="5" t="s">
        <v>147</v>
      </c>
      <c r="G279" s="5" t="s">
        <v>218</v>
      </c>
      <c r="H279" s="5" t="s">
        <v>52</v>
      </c>
      <c r="I279" s="5" t="n">
        <v>9200</v>
      </c>
      <c r="J279" s="5" t="s">
        <v>288</v>
      </c>
      <c r="K279" s="5" t="s">
        <v>31</v>
      </c>
      <c r="L279" s="5" t="s">
        <v>96</v>
      </c>
      <c r="M279" s="5" t="s">
        <v>87</v>
      </c>
    </row>
    <row r="280" customFormat="false" ht="15" hidden="false" customHeight="true" outlineLevel="0" collapsed="false">
      <c r="A280" s="3" t="s">
        <v>1056</v>
      </c>
      <c r="B280" s="3" t="s">
        <v>1057</v>
      </c>
      <c r="C280" s="3" t="s">
        <v>704</v>
      </c>
      <c r="D280" s="3" t="s">
        <v>146</v>
      </c>
      <c r="E280" s="3" t="s">
        <v>16</v>
      </c>
      <c r="F280" s="3" t="s">
        <v>163</v>
      </c>
      <c r="G280" s="3" t="s">
        <v>409</v>
      </c>
      <c r="H280" s="3" t="s">
        <v>111</v>
      </c>
      <c r="I280" s="3" t="s">
        <v>354</v>
      </c>
      <c r="J280" s="3" t="s">
        <v>337</v>
      </c>
      <c r="K280" s="3"/>
      <c r="L280" s="3" t="s">
        <v>55</v>
      </c>
      <c r="M280" s="3" t="s">
        <v>87</v>
      </c>
    </row>
    <row r="281" customFormat="false" ht="15" hidden="false" customHeight="true" outlineLevel="0" collapsed="false">
      <c r="A281" s="5" t="s">
        <v>1058</v>
      </c>
      <c r="B281" s="6" t="n">
        <v>45853</v>
      </c>
      <c r="C281" s="5" t="s">
        <v>964</v>
      </c>
      <c r="D281" s="5" t="s">
        <v>69</v>
      </c>
      <c r="E281" s="5" t="s">
        <v>237</v>
      </c>
      <c r="F281" s="5" t="s">
        <v>308</v>
      </c>
      <c r="G281" s="5" t="s">
        <v>177</v>
      </c>
      <c r="H281" s="5" t="n">
        <v>6</v>
      </c>
      <c r="I281" s="5" t="s">
        <v>1059</v>
      </c>
      <c r="J281" s="5"/>
      <c r="K281" s="5" t="s">
        <v>500</v>
      </c>
      <c r="L281" s="5" t="s">
        <v>151</v>
      </c>
      <c r="M281" s="5" t="s">
        <v>152</v>
      </c>
    </row>
    <row r="282" customFormat="false" ht="15" hidden="false" customHeight="true" outlineLevel="0" collapsed="false">
      <c r="A282" s="3" t="s">
        <v>1060</v>
      </c>
      <c r="B282" s="4" t="n">
        <v>45994</v>
      </c>
      <c r="C282" s="3" t="s">
        <v>1061</v>
      </c>
      <c r="D282" s="3" t="s">
        <v>161</v>
      </c>
      <c r="E282" s="3" t="s">
        <v>81</v>
      </c>
      <c r="F282" s="3" t="s">
        <v>230</v>
      </c>
      <c r="G282" s="3" t="s">
        <v>991</v>
      </c>
      <c r="H282" s="3" t="s">
        <v>206</v>
      </c>
      <c r="I282" s="3" t="n">
        <v>10100</v>
      </c>
      <c r="J282" s="3" t="s">
        <v>63</v>
      </c>
      <c r="K282" s="3" t="s">
        <v>95</v>
      </c>
      <c r="L282" s="3" t="s">
        <v>21</v>
      </c>
      <c r="M282" s="3" t="s">
        <v>33</v>
      </c>
    </row>
    <row r="283" customFormat="false" ht="15" hidden="false" customHeight="true" outlineLevel="0" collapsed="false">
      <c r="A283" s="5" t="s">
        <v>1062</v>
      </c>
      <c r="B283" s="6" t="n">
        <v>45909</v>
      </c>
      <c r="C283" s="5" t="s">
        <v>335</v>
      </c>
      <c r="D283" s="5" t="s">
        <v>161</v>
      </c>
      <c r="E283" s="5" t="s">
        <v>352</v>
      </c>
      <c r="F283" s="5" t="s">
        <v>170</v>
      </c>
      <c r="G283" s="5" t="s">
        <v>336</v>
      </c>
      <c r="H283" s="5" t="s">
        <v>239</v>
      </c>
      <c r="I283" s="5" t="n">
        <v>9600</v>
      </c>
      <c r="J283" s="5" t="s">
        <v>63</v>
      </c>
      <c r="K283" s="5" t="s">
        <v>289</v>
      </c>
      <c r="L283" s="5" t="s">
        <v>114</v>
      </c>
      <c r="M283" s="5" t="s">
        <v>104</v>
      </c>
    </row>
    <row r="284" customFormat="false" ht="15" hidden="false" customHeight="true" outlineLevel="0" collapsed="false">
      <c r="A284" s="3" t="s">
        <v>1063</v>
      </c>
      <c r="B284" s="3" t="s">
        <v>1064</v>
      </c>
      <c r="C284" s="3" t="s">
        <v>678</v>
      </c>
      <c r="D284" s="3" t="s">
        <v>98</v>
      </c>
      <c r="E284" s="3" t="s">
        <v>1065</v>
      </c>
      <c r="F284" s="3"/>
      <c r="G284" s="3" t="s">
        <v>177</v>
      </c>
      <c r="H284" s="3" t="s">
        <v>206</v>
      </c>
      <c r="I284" s="3" t="s">
        <v>1066</v>
      </c>
      <c r="J284" s="3" t="s">
        <v>112</v>
      </c>
      <c r="K284" s="3" t="s">
        <v>102</v>
      </c>
      <c r="L284" s="3" t="s">
        <v>21</v>
      </c>
      <c r="M284" s="3" t="s">
        <v>387</v>
      </c>
    </row>
    <row r="285" customFormat="false" ht="15" hidden="false" customHeight="true" outlineLevel="0" collapsed="false">
      <c r="A285" s="5" t="s">
        <v>1067</v>
      </c>
      <c r="B285" s="6" t="n">
        <v>45956</v>
      </c>
      <c r="C285" s="5" t="s">
        <v>217</v>
      </c>
      <c r="D285" s="5" t="s">
        <v>90</v>
      </c>
      <c r="E285" s="5" t="s">
        <v>38</v>
      </c>
      <c r="F285" s="5" t="s">
        <v>60</v>
      </c>
      <c r="G285" s="5" t="s">
        <v>887</v>
      </c>
      <c r="H285" s="5" t="s">
        <v>84</v>
      </c>
      <c r="I285" s="5" t="s">
        <v>1068</v>
      </c>
      <c r="J285" s="5" t="s">
        <v>74</v>
      </c>
      <c r="K285" s="5" t="s">
        <v>75</v>
      </c>
      <c r="L285" s="5" t="s">
        <v>96</v>
      </c>
      <c r="M285" s="5" t="s">
        <v>242</v>
      </c>
    </row>
    <row r="286" customFormat="false" ht="15" hidden="false" customHeight="true" outlineLevel="0" collapsed="false">
      <c r="A286" s="3" t="s">
        <v>1069</v>
      </c>
      <c r="B286" s="3" t="s">
        <v>383</v>
      </c>
      <c r="C286" s="3" t="s">
        <v>784</v>
      </c>
      <c r="D286" s="3" t="s">
        <v>155</v>
      </c>
      <c r="E286" s="3" t="s">
        <v>81</v>
      </c>
      <c r="F286" s="3" t="s">
        <v>261</v>
      </c>
      <c r="G286" s="3" t="s">
        <v>817</v>
      </c>
      <c r="H286" s="3" t="s">
        <v>52</v>
      </c>
      <c r="I286" s="3" t="s">
        <v>1070</v>
      </c>
      <c r="J286" s="3" t="n">
        <v>0.1</v>
      </c>
      <c r="K286" s="3" t="s">
        <v>143</v>
      </c>
      <c r="L286" s="3" t="s">
        <v>103</v>
      </c>
      <c r="M286" s="3" t="s">
        <v>22</v>
      </c>
    </row>
    <row r="287" customFormat="false" ht="15" hidden="false" customHeight="true" outlineLevel="0" collapsed="false">
      <c r="A287" s="5" t="s">
        <v>1071</v>
      </c>
      <c r="B287" s="5" t="s">
        <v>448</v>
      </c>
      <c r="C287" s="5" t="s">
        <v>1072</v>
      </c>
      <c r="D287" s="5" t="s">
        <v>161</v>
      </c>
      <c r="E287" s="5" t="s">
        <v>108</v>
      </c>
      <c r="F287" s="5" t="s">
        <v>39</v>
      </c>
      <c r="G287" s="5" t="s">
        <v>51</v>
      </c>
      <c r="H287" s="5" t="s">
        <v>1073</v>
      </c>
      <c r="I287" s="5" t="s">
        <v>1074</v>
      </c>
      <c r="J287" s="5" t="s">
        <v>63</v>
      </c>
      <c r="K287" s="5" t="s">
        <v>64</v>
      </c>
      <c r="L287" s="5" t="s">
        <v>194</v>
      </c>
      <c r="M287" s="5" t="s">
        <v>87</v>
      </c>
    </row>
    <row r="288" customFormat="false" ht="15" hidden="false" customHeight="true" outlineLevel="0" collapsed="false">
      <c r="A288" s="3" t="s">
        <v>1075</v>
      </c>
      <c r="B288" s="4" t="n">
        <v>45870</v>
      </c>
      <c r="C288" s="3" t="s">
        <v>789</v>
      </c>
      <c r="D288" s="3" t="s">
        <v>122</v>
      </c>
      <c r="E288" s="3" t="s">
        <v>99</v>
      </c>
      <c r="F288" s="3" t="s">
        <v>380</v>
      </c>
      <c r="G288" s="3" t="s">
        <v>520</v>
      </c>
      <c r="H288" s="3" t="n">
        <v>3</v>
      </c>
      <c r="I288" s="3" t="s">
        <v>902</v>
      </c>
      <c r="J288" s="3" t="s">
        <v>303</v>
      </c>
      <c r="K288" s="3" t="s">
        <v>304</v>
      </c>
      <c r="L288" s="3" t="s">
        <v>278</v>
      </c>
      <c r="M288" s="3" t="s">
        <v>87</v>
      </c>
    </row>
    <row r="289" customFormat="false" ht="15" hidden="false" customHeight="true" outlineLevel="0" collapsed="false">
      <c r="A289" s="5" t="s">
        <v>1076</v>
      </c>
      <c r="B289" s="6" t="n">
        <v>45727</v>
      </c>
      <c r="C289" s="5" t="s">
        <v>57</v>
      </c>
      <c r="D289" s="5" t="s">
        <v>69</v>
      </c>
      <c r="E289" s="5" t="s">
        <v>1077</v>
      </c>
      <c r="F289" s="5" t="s">
        <v>141</v>
      </c>
      <c r="G289" s="5" t="s">
        <v>727</v>
      </c>
      <c r="H289" s="5" t="s">
        <v>41</v>
      </c>
      <c r="I289" s="5" t="s">
        <v>318</v>
      </c>
      <c r="J289" s="5"/>
      <c r="K289" s="5" t="s">
        <v>102</v>
      </c>
      <c r="L289" s="5" t="s">
        <v>65</v>
      </c>
      <c r="M289" s="5" t="s">
        <v>467</v>
      </c>
    </row>
    <row r="290" customFormat="false" ht="15" hidden="false" customHeight="true" outlineLevel="0" collapsed="false">
      <c r="A290" s="3" t="s">
        <v>1078</v>
      </c>
      <c r="B290" s="3" t="s">
        <v>1079</v>
      </c>
      <c r="C290" s="3" t="s">
        <v>154</v>
      </c>
      <c r="D290" s="3" t="s">
        <v>129</v>
      </c>
      <c r="E290" s="3" t="s">
        <v>130</v>
      </c>
      <c r="F290" s="3" t="s">
        <v>141</v>
      </c>
      <c r="G290" s="3" t="s">
        <v>1080</v>
      </c>
      <c r="H290" s="3" t="n">
        <v>8</v>
      </c>
      <c r="I290" s="3" t="n">
        <v>2250</v>
      </c>
      <c r="J290" s="3" t="s">
        <v>188</v>
      </c>
      <c r="K290" s="3" t="s">
        <v>75</v>
      </c>
      <c r="L290" s="3" t="s">
        <v>103</v>
      </c>
      <c r="M290" s="3" t="s">
        <v>22</v>
      </c>
    </row>
    <row r="291" customFormat="false" ht="15" hidden="false" customHeight="true" outlineLevel="0" collapsed="false">
      <c r="A291" s="5" t="s">
        <v>584</v>
      </c>
      <c r="B291" s="5" t="s">
        <v>1081</v>
      </c>
      <c r="C291" s="5" t="s">
        <v>602</v>
      </c>
      <c r="D291" s="5" t="s">
        <v>122</v>
      </c>
      <c r="E291" s="5" t="s">
        <v>108</v>
      </c>
      <c r="F291" s="5" t="s">
        <v>91</v>
      </c>
      <c r="G291" s="5" t="s">
        <v>520</v>
      </c>
      <c r="H291" s="5" t="s">
        <v>330</v>
      </c>
      <c r="I291" s="5" t="s">
        <v>1082</v>
      </c>
      <c r="J291" s="5" t="s">
        <v>63</v>
      </c>
      <c r="K291" s="5" t="s">
        <v>143</v>
      </c>
      <c r="L291" s="5" t="s">
        <v>103</v>
      </c>
      <c r="M291" s="5" t="s">
        <v>87</v>
      </c>
    </row>
    <row r="292" customFormat="false" ht="15" hidden="false" customHeight="true" outlineLevel="0" collapsed="false">
      <c r="A292" s="3" t="s">
        <v>1083</v>
      </c>
      <c r="B292" s="4" t="n">
        <v>45948</v>
      </c>
      <c r="C292" s="3" t="s">
        <v>719</v>
      </c>
      <c r="D292" s="3" t="s">
        <v>15</v>
      </c>
      <c r="E292" s="3" t="s">
        <v>16</v>
      </c>
      <c r="F292" s="3" t="s">
        <v>141</v>
      </c>
      <c r="G292" s="3" t="s">
        <v>392</v>
      </c>
      <c r="H292" s="3" t="n">
        <v>8</v>
      </c>
      <c r="I292" s="3" t="s">
        <v>354</v>
      </c>
      <c r="J292" s="3" t="n">
        <v>0.1</v>
      </c>
      <c r="K292" s="3" t="s">
        <v>553</v>
      </c>
      <c r="L292" s="3" t="s">
        <v>96</v>
      </c>
      <c r="M292" s="3" t="s">
        <v>22</v>
      </c>
    </row>
    <row r="293" customFormat="false" ht="15" hidden="false" customHeight="true" outlineLevel="0" collapsed="false">
      <c r="A293" s="5" t="s">
        <v>1084</v>
      </c>
      <c r="B293" s="5" t="s">
        <v>1085</v>
      </c>
      <c r="C293" s="5" t="s">
        <v>1086</v>
      </c>
      <c r="D293" s="5"/>
      <c r="E293" s="5" t="s">
        <v>81</v>
      </c>
      <c r="F293" s="5" t="s">
        <v>109</v>
      </c>
      <c r="G293" s="5" t="s">
        <v>409</v>
      </c>
      <c r="H293" s="5" t="s">
        <v>111</v>
      </c>
      <c r="I293" s="5" t="s">
        <v>485</v>
      </c>
      <c r="J293" s="5" t="s">
        <v>272</v>
      </c>
      <c r="K293" s="5" t="s">
        <v>75</v>
      </c>
      <c r="L293" s="5" t="s">
        <v>76</v>
      </c>
      <c r="M293" s="5" t="s">
        <v>87</v>
      </c>
    </row>
    <row r="294" customFormat="false" ht="15" hidden="false" customHeight="true" outlineLevel="0" collapsed="false">
      <c r="A294" s="3" t="s">
        <v>1087</v>
      </c>
      <c r="B294" s="4" t="n">
        <v>45707</v>
      </c>
      <c r="C294" s="3" t="s">
        <v>154</v>
      </c>
      <c r="D294" s="3" t="s">
        <v>37</v>
      </c>
      <c r="E294" s="3" t="s">
        <v>38</v>
      </c>
      <c r="F294" s="3" t="s">
        <v>170</v>
      </c>
      <c r="G294" s="3" t="s">
        <v>177</v>
      </c>
      <c r="H294" s="3" t="n">
        <v>7</v>
      </c>
      <c r="I294" s="3" t="n">
        <v>6950</v>
      </c>
      <c r="J294" s="3" t="s">
        <v>241</v>
      </c>
      <c r="K294" s="3" t="s">
        <v>150</v>
      </c>
      <c r="L294" s="3" t="s">
        <v>44</v>
      </c>
      <c r="M294" s="3" t="s">
        <v>45</v>
      </c>
    </row>
    <row r="295" customFormat="false" ht="15" hidden="false" customHeight="true" outlineLevel="0" collapsed="false">
      <c r="A295" s="5" t="s">
        <v>1088</v>
      </c>
      <c r="B295" s="5" t="s">
        <v>1089</v>
      </c>
      <c r="C295" s="5" t="s">
        <v>1090</v>
      </c>
      <c r="D295" s="5" t="s">
        <v>15</v>
      </c>
      <c r="E295" s="5" t="s">
        <v>16</v>
      </c>
      <c r="F295" s="5" t="s">
        <v>204</v>
      </c>
      <c r="G295" s="5" t="s">
        <v>187</v>
      </c>
      <c r="H295" s="5" t="s">
        <v>41</v>
      </c>
      <c r="I295" s="5" t="s">
        <v>1091</v>
      </c>
      <c r="J295" s="5" t="s">
        <v>63</v>
      </c>
      <c r="K295" s="5" t="s">
        <v>102</v>
      </c>
      <c r="L295" s="5" t="s">
        <v>114</v>
      </c>
      <c r="M295" s="5" t="s">
        <v>45</v>
      </c>
    </row>
    <row r="296" customFormat="false" ht="15" hidden="false" customHeight="true" outlineLevel="0" collapsed="false">
      <c r="A296" s="3" t="s">
        <v>1092</v>
      </c>
      <c r="B296" s="3" t="s">
        <v>1093</v>
      </c>
      <c r="C296" s="3" t="s">
        <v>48</v>
      </c>
      <c r="D296" s="3" t="s">
        <v>169</v>
      </c>
      <c r="E296" s="3" t="s">
        <v>186</v>
      </c>
      <c r="F296" s="3" t="s">
        <v>39</v>
      </c>
      <c r="G296" s="3" t="s">
        <v>51</v>
      </c>
      <c r="H296" s="3" t="s">
        <v>878</v>
      </c>
      <c r="I296" s="3" t="s">
        <v>762</v>
      </c>
      <c r="J296" s="3" t="s">
        <v>337</v>
      </c>
      <c r="K296" s="3" t="s">
        <v>31</v>
      </c>
      <c r="L296" s="3" t="s">
        <v>55</v>
      </c>
      <c r="M296" s="3" t="s">
        <v>104</v>
      </c>
    </row>
    <row r="297" customFormat="false" ht="15" hidden="false" customHeight="true" outlineLevel="0" collapsed="false">
      <c r="A297" s="5" t="s">
        <v>1094</v>
      </c>
      <c r="B297" s="5" t="s">
        <v>507</v>
      </c>
      <c r="C297" s="5" t="s">
        <v>964</v>
      </c>
      <c r="D297" s="5" t="s">
        <v>98</v>
      </c>
      <c r="E297" s="5" t="s">
        <v>352</v>
      </c>
      <c r="F297" s="5" t="s">
        <v>230</v>
      </c>
      <c r="G297" s="5" t="s">
        <v>231</v>
      </c>
      <c r="H297" s="5" t="n">
        <v>1</v>
      </c>
      <c r="I297" s="5" t="s">
        <v>1095</v>
      </c>
      <c r="J297" s="5" t="s">
        <v>63</v>
      </c>
      <c r="K297" s="5" t="s">
        <v>165</v>
      </c>
      <c r="L297" s="5" t="s">
        <v>32</v>
      </c>
      <c r="M297" s="5" t="s">
        <v>45</v>
      </c>
    </row>
    <row r="298" customFormat="false" ht="15" hidden="false" customHeight="true" outlineLevel="0" collapsed="false">
      <c r="A298" s="3" t="s">
        <v>1096</v>
      </c>
      <c r="B298" s="3" t="s">
        <v>1097</v>
      </c>
      <c r="C298" s="3" t="s">
        <v>672</v>
      </c>
      <c r="D298" s="3" t="s">
        <v>15</v>
      </c>
      <c r="E298" s="3" t="s">
        <v>192</v>
      </c>
      <c r="F298" s="3" t="s">
        <v>308</v>
      </c>
      <c r="G298" s="3" t="s">
        <v>336</v>
      </c>
      <c r="H298" s="3" t="s">
        <v>111</v>
      </c>
      <c r="I298" s="3" t="s">
        <v>1098</v>
      </c>
      <c r="J298" s="3" t="s">
        <v>63</v>
      </c>
      <c r="K298" s="3" t="s">
        <v>64</v>
      </c>
      <c r="L298" s="3" t="s">
        <v>32</v>
      </c>
      <c r="M298" s="3" t="s">
        <v>33</v>
      </c>
    </row>
    <row r="299" customFormat="false" ht="15" hidden="false" customHeight="true" outlineLevel="0" collapsed="false">
      <c r="A299" s="5" t="s">
        <v>1099</v>
      </c>
      <c r="B299" s="6" t="n">
        <v>45739</v>
      </c>
      <c r="C299" s="5" t="s">
        <v>712</v>
      </c>
      <c r="D299" s="5" t="s">
        <v>80</v>
      </c>
      <c r="E299" s="5" t="s">
        <v>197</v>
      </c>
      <c r="F299" s="5" t="s">
        <v>71</v>
      </c>
      <c r="G299" s="5" t="s">
        <v>687</v>
      </c>
      <c r="H299" s="5" t="n">
        <v>1</v>
      </c>
      <c r="I299" s="5" t="s">
        <v>1100</v>
      </c>
      <c r="J299" s="5" t="s">
        <v>272</v>
      </c>
      <c r="K299" s="5" t="s">
        <v>75</v>
      </c>
      <c r="L299" s="5" t="s">
        <v>65</v>
      </c>
      <c r="M299" s="5" t="s">
        <v>33</v>
      </c>
    </row>
    <row r="300" customFormat="false" ht="15" hidden="false" customHeight="true" outlineLevel="0" collapsed="false">
      <c r="A300" s="3" t="s">
        <v>1101</v>
      </c>
      <c r="B300" s="4" t="n">
        <v>45726</v>
      </c>
      <c r="C300" s="3" t="s">
        <v>538</v>
      </c>
      <c r="D300" s="3" t="s">
        <v>26</v>
      </c>
      <c r="E300" s="3" t="s">
        <v>38</v>
      </c>
      <c r="F300" s="3" t="s">
        <v>60</v>
      </c>
      <c r="G300" s="3" t="s">
        <v>887</v>
      </c>
      <c r="H300" s="3" t="s">
        <v>157</v>
      </c>
      <c r="I300" s="3" t="s">
        <v>1102</v>
      </c>
      <c r="J300" s="3" t="s">
        <v>74</v>
      </c>
      <c r="K300" s="3" t="s">
        <v>54</v>
      </c>
      <c r="L300" s="3" t="s">
        <v>215</v>
      </c>
      <c r="M300" s="3" t="s">
        <v>22</v>
      </c>
    </row>
    <row r="301" customFormat="false" ht="15" hidden="false" customHeight="true" outlineLevel="0" collapsed="false">
      <c r="A301" s="5" t="s">
        <v>1103</v>
      </c>
      <c r="B301" s="5" t="s">
        <v>1104</v>
      </c>
      <c r="C301" s="5" t="s">
        <v>801</v>
      </c>
      <c r="D301" s="5" t="s">
        <v>122</v>
      </c>
      <c r="E301" s="5" t="s">
        <v>99</v>
      </c>
      <c r="F301" s="5" t="s">
        <v>204</v>
      </c>
      <c r="G301" s="5" t="s">
        <v>226</v>
      </c>
      <c r="H301" s="5" t="n">
        <v>4</v>
      </c>
      <c r="I301" s="5" t="s">
        <v>1105</v>
      </c>
      <c r="J301" s="5" t="s">
        <v>337</v>
      </c>
      <c r="K301" s="5" t="s">
        <v>102</v>
      </c>
      <c r="L301" s="5" t="s">
        <v>103</v>
      </c>
      <c r="M301" s="5" t="s">
        <v>467</v>
      </c>
    </row>
    <row r="302" customFormat="false" ht="15" hidden="false" customHeight="true" outlineLevel="0" collapsed="false">
      <c r="A302" s="3" t="s">
        <v>1106</v>
      </c>
      <c r="B302" s="3" t="s">
        <v>1107</v>
      </c>
      <c r="C302" s="3" t="s">
        <v>259</v>
      </c>
      <c r="D302" s="3" t="s">
        <v>155</v>
      </c>
      <c r="E302" s="3" t="s">
        <v>197</v>
      </c>
      <c r="F302" s="3" t="s">
        <v>308</v>
      </c>
      <c r="G302" s="3" t="s">
        <v>301</v>
      </c>
      <c r="H302" s="3" t="s">
        <v>330</v>
      </c>
      <c r="I302" s="3" t="s">
        <v>1108</v>
      </c>
      <c r="J302" s="3" t="n">
        <v>0.2</v>
      </c>
      <c r="K302" s="3" t="s">
        <v>75</v>
      </c>
      <c r="L302" s="3" t="s">
        <v>398</v>
      </c>
      <c r="M302" s="3" t="s">
        <v>45</v>
      </c>
    </row>
    <row r="303" customFormat="false" ht="15" hidden="false" customHeight="true" outlineLevel="0" collapsed="false">
      <c r="A303" s="5" t="s">
        <v>1109</v>
      </c>
      <c r="B303" s="5" t="s">
        <v>1110</v>
      </c>
      <c r="C303" s="5" t="s">
        <v>1111</v>
      </c>
      <c r="D303" s="5" t="s">
        <v>58</v>
      </c>
      <c r="E303" s="5" t="s">
        <v>905</v>
      </c>
      <c r="F303" s="5" t="s">
        <v>17</v>
      </c>
      <c r="G303" s="5" t="s">
        <v>367</v>
      </c>
      <c r="H303" s="5" t="n">
        <v>2</v>
      </c>
      <c r="I303" s="5" t="s">
        <v>1112</v>
      </c>
      <c r="J303" s="5"/>
      <c r="K303" s="5" t="s">
        <v>102</v>
      </c>
      <c r="L303" s="5" t="s">
        <v>32</v>
      </c>
      <c r="M303" s="5" t="s">
        <v>45</v>
      </c>
    </row>
    <row r="304" customFormat="false" ht="15" hidden="false" customHeight="true" outlineLevel="0" collapsed="false">
      <c r="A304" s="3" t="s">
        <v>1113</v>
      </c>
      <c r="B304" s="3" t="s">
        <v>1114</v>
      </c>
      <c r="C304" s="3" t="s">
        <v>1115</v>
      </c>
      <c r="D304" s="3"/>
      <c r="E304" s="3" t="s">
        <v>294</v>
      </c>
      <c r="F304" s="3" t="s">
        <v>141</v>
      </c>
      <c r="G304" s="3" t="s">
        <v>100</v>
      </c>
      <c r="H304" s="3" t="s">
        <v>206</v>
      </c>
      <c r="I304" s="3" t="n">
        <v>1550</v>
      </c>
      <c r="J304" s="3"/>
      <c r="K304" s="3" t="s">
        <v>365</v>
      </c>
      <c r="L304" s="3" t="s">
        <v>96</v>
      </c>
      <c r="M304" s="3" t="s">
        <v>22</v>
      </c>
    </row>
    <row r="305" customFormat="false" ht="15" hidden="false" customHeight="true" outlineLevel="0" collapsed="false">
      <c r="A305" s="5" t="s">
        <v>1116</v>
      </c>
      <c r="B305" s="5" t="s">
        <v>1117</v>
      </c>
      <c r="C305" s="5" t="s">
        <v>824</v>
      </c>
      <c r="D305" s="5" t="s">
        <v>122</v>
      </c>
      <c r="E305" s="5" t="s">
        <v>108</v>
      </c>
      <c r="F305" s="5" t="s">
        <v>50</v>
      </c>
      <c r="G305" s="5" t="s">
        <v>222</v>
      </c>
      <c r="H305" s="5" t="s">
        <v>178</v>
      </c>
      <c r="I305" s="5" t="s">
        <v>1118</v>
      </c>
      <c r="J305" s="5"/>
      <c r="K305" s="5" t="s">
        <v>143</v>
      </c>
      <c r="L305" s="5" t="s">
        <v>103</v>
      </c>
      <c r="M305" s="5" t="s">
        <v>33</v>
      </c>
    </row>
    <row r="306" customFormat="false" ht="15" hidden="false" customHeight="true" outlineLevel="0" collapsed="false">
      <c r="A306" s="3" t="s">
        <v>1119</v>
      </c>
      <c r="B306" s="3" t="s">
        <v>1120</v>
      </c>
      <c r="C306" s="3" t="s">
        <v>1121</v>
      </c>
      <c r="D306" s="3"/>
      <c r="E306" s="3" t="s">
        <v>282</v>
      </c>
      <c r="F306" s="3" t="s">
        <v>230</v>
      </c>
      <c r="G306" s="3" t="s">
        <v>231</v>
      </c>
      <c r="H306" s="3" t="s">
        <v>84</v>
      </c>
      <c r="I306" s="3" t="s">
        <v>1122</v>
      </c>
      <c r="J306" s="3" t="s">
        <v>94</v>
      </c>
      <c r="K306" s="3" t="s">
        <v>75</v>
      </c>
      <c r="L306" s="3" t="s">
        <v>55</v>
      </c>
      <c r="M306" s="3" t="s">
        <v>22</v>
      </c>
    </row>
    <row r="307" customFormat="false" ht="15" hidden="false" customHeight="true" outlineLevel="0" collapsed="false">
      <c r="A307" s="5" t="s">
        <v>1123</v>
      </c>
      <c r="B307" s="5" t="s">
        <v>1124</v>
      </c>
      <c r="C307" s="5" t="s">
        <v>712</v>
      </c>
      <c r="D307" s="5" t="s">
        <v>37</v>
      </c>
      <c r="E307" s="5" t="s">
        <v>38</v>
      </c>
      <c r="F307" s="5" t="s">
        <v>308</v>
      </c>
      <c r="G307" s="5" t="s">
        <v>1125</v>
      </c>
      <c r="H307" s="5" t="s">
        <v>41</v>
      </c>
      <c r="I307" s="5" t="n">
        <v>7100</v>
      </c>
      <c r="J307" s="5" t="s">
        <v>63</v>
      </c>
      <c r="K307" s="5" t="s">
        <v>304</v>
      </c>
      <c r="L307" s="5" t="s">
        <v>215</v>
      </c>
      <c r="M307" s="5" t="s">
        <v>174</v>
      </c>
    </row>
    <row r="308" customFormat="false" ht="15" hidden="false" customHeight="true" outlineLevel="0" collapsed="false">
      <c r="A308" s="3" t="s">
        <v>1126</v>
      </c>
      <c r="B308" s="3" t="s">
        <v>1127</v>
      </c>
      <c r="C308" s="3" t="s">
        <v>1128</v>
      </c>
      <c r="D308" s="3" t="s">
        <v>155</v>
      </c>
      <c r="E308" s="3" t="s">
        <v>81</v>
      </c>
      <c r="F308" s="3" t="s">
        <v>147</v>
      </c>
      <c r="G308" s="3" t="s">
        <v>205</v>
      </c>
      <c r="H308" s="3" t="s">
        <v>84</v>
      </c>
      <c r="I308" s="3" t="s">
        <v>1129</v>
      </c>
      <c r="J308" s="3" t="s">
        <v>112</v>
      </c>
      <c r="K308" s="3" t="s">
        <v>102</v>
      </c>
      <c r="L308" s="3" t="s">
        <v>96</v>
      </c>
      <c r="M308" s="3" t="s">
        <v>22</v>
      </c>
    </row>
    <row r="309" customFormat="false" ht="15" hidden="false" customHeight="true" outlineLevel="0" collapsed="false">
      <c r="A309" s="5" t="s">
        <v>1130</v>
      </c>
      <c r="B309" s="5" t="s">
        <v>1131</v>
      </c>
      <c r="C309" s="5" t="s">
        <v>145</v>
      </c>
      <c r="D309" s="5" t="s">
        <v>129</v>
      </c>
      <c r="E309" s="5" t="s">
        <v>183</v>
      </c>
      <c r="F309" s="5" t="s">
        <v>204</v>
      </c>
      <c r="G309" s="5" t="s">
        <v>520</v>
      </c>
      <c r="H309" s="5" t="s">
        <v>514</v>
      </c>
      <c r="I309" s="5" t="s">
        <v>1132</v>
      </c>
      <c r="J309" s="5" t="n">
        <v>0.1</v>
      </c>
      <c r="K309" s="5" t="s">
        <v>64</v>
      </c>
      <c r="L309" s="5" t="s">
        <v>398</v>
      </c>
      <c r="M309" s="5" t="s">
        <v>22</v>
      </c>
    </row>
    <row r="310" customFormat="false" ht="15" hidden="false" customHeight="true" outlineLevel="0" collapsed="false">
      <c r="A310" s="3" t="s">
        <v>1133</v>
      </c>
      <c r="B310" s="3" t="s">
        <v>1134</v>
      </c>
      <c r="C310" s="3" t="s">
        <v>1135</v>
      </c>
      <c r="D310" s="3" t="s">
        <v>161</v>
      </c>
      <c r="E310" s="3" t="s">
        <v>99</v>
      </c>
      <c r="F310" s="3" t="s">
        <v>380</v>
      </c>
      <c r="G310" s="3" t="s">
        <v>793</v>
      </c>
      <c r="H310" s="3"/>
      <c r="I310" s="3" t="s">
        <v>1136</v>
      </c>
      <c r="J310" s="3" t="s">
        <v>337</v>
      </c>
      <c r="K310" s="3" t="s">
        <v>95</v>
      </c>
      <c r="L310" s="3" t="s">
        <v>32</v>
      </c>
      <c r="M310" s="3" t="s">
        <v>152</v>
      </c>
    </row>
    <row r="311" customFormat="false" ht="15" hidden="false" customHeight="true" outlineLevel="0" collapsed="false">
      <c r="A311" s="5" t="s">
        <v>1137</v>
      </c>
      <c r="B311" s="6" t="n">
        <v>45700</v>
      </c>
      <c r="C311" s="5" t="s">
        <v>470</v>
      </c>
      <c r="D311" s="5" t="s">
        <v>80</v>
      </c>
      <c r="E311" s="5" t="s">
        <v>490</v>
      </c>
      <c r="F311" s="5" t="s">
        <v>204</v>
      </c>
      <c r="G311" s="5" t="s">
        <v>226</v>
      </c>
      <c r="H311" s="5" t="s">
        <v>41</v>
      </c>
      <c r="I311" s="5" t="s">
        <v>1138</v>
      </c>
      <c r="J311" s="5" t="s">
        <v>272</v>
      </c>
      <c r="K311" s="5" t="s">
        <v>450</v>
      </c>
      <c r="L311" s="5" t="s">
        <v>398</v>
      </c>
      <c r="M311" s="5" t="s">
        <v>87</v>
      </c>
    </row>
    <row r="312" customFormat="false" ht="15" hidden="false" customHeight="true" outlineLevel="0" collapsed="false">
      <c r="A312" s="3" t="s">
        <v>1139</v>
      </c>
      <c r="B312" s="3" t="s">
        <v>1140</v>
      </c>
      <c r="C312" s="3" t="s">
        <v>635</v>
      </c>
      <c r="D312" s="3" t="s">
        <v>90</v>
      </c>
      <c r="E312" s="3" t="s">
        <v>453</v>
      </c>
      <c r="F312" s="3" t="s">
        <v>147</v>
      </c>
      <c r="G312" s="3" t="s">
        <v>424</v>
      </c>
      <c r="H312" s="3" t="n">
        <v>1</v>
      </c>
      <c r="I312" s="3" t="s">
        <v>1132</v>
      </c>
      <c r="J312" s="3" t="n">
        <v>0.1</v>
      </c>
      <c r="K312" s="3" t="s">
        <v>31</v>
      </c>
      <c r="L312" s="3" t="s">
        <v>96</v>
      </c>
      <c r="M312" s="3" t="s">
        <v>387</v>
      </c>
    </row>
    <row r="313" customFormat="false" ht="15" hidden="false" customHeight="true" outlineLevel="0" collapsed="false">
      <c r="A313" s="5" t="s">
        <v>1141</v>
      </c>
      <c r="B313" s="6" t="n">
        <v>45871</v>
      </c>
      <c r="C313" s="5" t="s">
        <v>384</v>
      </c>
      <c r="D313" s="5" t="s">
        <v>161</v>
      </c>
      <c r="E313" s="5" t="s">
        <v>210</v>
      </c>
      <c r="F313" s="5" t="s">
        <v>163</v>
      </c>
      <c r="G313" s="5" t="s">
        <v>409</v>
      </c>
      <c r="H313" s="5" t="n">
        <v>3</v>
      </c>
      <c r="I313" s="5" t="n">
        <v>1450</v>
      </c>
      <c r="J313" s="5" t="n">
        <v>0</v>
      </c>
      <c r="K313" s="5" t="s">
        <v>481</v>
      </c>
      <c r="L313" s="5" t="s">
        <v>278</v>
      </c>
      <c r="M313" s="5" t="s">
        <v>45</v>
      </c>
    </row>
    <row r="314" customFormat="false" ht="15" hidden="false" customHeight="true" outlineLevel="0" collapsed="false">
      <c r="A314" s="3" t="s">
        <v>1142</v>
      </c>
      <c r="B314" s="4" t="n">
        <v>45980</v>
      </c>
      <c r="C314" s="3"/>
      <c r="D314" s="3" t="s">
        <v>129</v>
      </c>
      <c r="E314" s="3" t="s">
        <v>768</v>
      </c>
      <c r="F314" s="3" t="s">
        <v>131</v>
      </c>
      <c r="G314" s="3" t="s">
        <v>222</v>
      </c>
      <c r="H314" s="3" t="n">
        <v>2</v>
      </c>
      <c r="I314" s="3" t="n">
        <v>5400</v>
      </c>
      <c r="J314" s="3" t="s">
        <v>112</v>
      </c>
      <c r="K314" s="3" t="s">
        <v>143</v>
      </c>
      <c r="L314" s="3" t="s">
        <v>194</v>
      </c>
      <c r="M314" s="3" t="s">
        <v>22</v>
      </c>
    </row>
    <row r="315" customFormat="false" ht="15" hidden="false" customHeight="true" outlineLevel="0" collapsed="false">
      <c r="A315" s="5" t="s">
        <v>1143</v>
      </c>
      <c r="B315" s="5" t="s">
        <v>858</v>
      </c>
      <c r="C315" s="5" t="s">
        <v>1144</v>
      </c>
      <c r="D315" s="5" t="s">
        <v>122</v>
      </c>
      <c r="E315" s="5" t="s">
        <v>81</v>
      </c>
      <c r="F315" s="5" t="s">
        <v>230</v>
      </c>
      <c r="G315" s="5" t="s">
        <v>238</v>
      </c>
      <c r="H315" s="5" t="n">
        <v>3</v>
      </c>
      <c r="I315" s="5" t="s">
        <v>1145</v>
      </c>
      <c r="J315" s="5" t="s">
        <v>63</v>
      </c>
      <c r="K315" s="5" t="s">
        <v>365</v>
      </c>
      <c r="L315" s="5" t="s">
        <v>44</v>
      </c>
      <c r="M315" s="5" t="s">
        <v>87</v>
      </c>
    </row>
    <row r="316" customFormat="false" ht="15" hidden="false" customHeight="true" outlineLevel="0" collapsed="false">
      <c r="A316" s="3" t="s">
        <v>1146</v>
      </c>
      <c r="B316" s="4" t="n">
        <v>45891</v>
      </c>
      <c r="C316" s="3" t="s">
        <v>1147</v>
      </c>
      <c r="D316" s="3" t="s">
        <v>98</v>
      </c>
      <c r="E316" s="3" t="s">
        <v>847</v>
      </c>
      <c r="F316" s="3" t="s">
        <v>28</v>
      </c>
      <c r="G316" s="3" t="s">
        <v>520</v>
      </c>
      <c r="H316" s="3" t="n">
        <v>8</v>
      </c>
      <c r="I316" s="3" t="s">
        <v>1148</v>
      </c>
      <c r="J316" s="3" t="s">
        <v>272</v>
      </c>
      <c r="K316" s="3" t="s">
        <v>102</v>
      </c>
      <c r="L316" s="3" t="s">
        <v>32</v>
      </c>
      <c r="M316" s="3" t="s">
        <v>33</v>
      </c>
    </row>
    <row r="317" customFormat="false" ht="15" hidden="false" customHeight="true" outlineLevel="0" collapsed="false">
      <c r="A317" s="5" t="s">
        <v>1149</v>
      </c>
      <c r="B317" s="5" t="s">
        <v>1150</v>
      </c>
      <c r="C317" s="5" t="s">
        <v>672</v>
      </c>
      <c r="D317" s="5" t="s">
        <v>169</v>
      </c>
      <c r="E317" s="5" t="s">
        <v>38</v>
      </c>
      <c r="F317" s="5" t="s">
        <v>131</v>
      </c>
      <c r="G317" s="5" t="s">
        <v>83</v>
      </c>
      <c r="H317" s="5" t="n">
        <v>7</v>
      </c>
      <c r="I317" s="5" t="s">
        <v>1151</v>
      </c>
      <c r="J317" s="5" t="s">
        <v>94</v>
      </c>
      <c r="K317" s="5" t="s">
        <v>64</v>
      </c>
      <c r="L317" s="5" t="s">
        <v>278</v>
      </c>
      <c r="M317" s="5" t="s">
        <v>33</v>
      </c>
    </row>
    <row r="318" customFormat="false" ht="15" hidden="false" customHeight="true" outlineLevel="0" collapsed="false">
      <c r="A318" s="3" t="s">
        <v>1152</v>
      </c>
      <c r="B318" s="3" t="s">
        <v>1153</v>
      </c>
      <c r="C318" s="3" t="s">
        <v>859</v>
      </c>
      <c r="D318" s="3" t="s">
        <v>98</v>
      </c>
      <c r="E318" s="3" t="s">
        <v>260</v>
      </c>
      <c r="F318" s="3" t="s">
        <v>60</v>
      </c>
      <c r="G318" s="3" t="s">
        <v>409</v>
      </c>
      <c r="H318" s="3" t="n">
        <v>6</v>
      </c>
      <c r="I318" s="3" t="s">
        <v>530</v>
      </c>
      <c r="J318" s="3" t="s">
        <v>337</v>
      </c>
      <c r="K318" s="3" t="s">
        <v>75</v>
      </c>
      <c r="L318" s="3" t="s">
        <v>55</v>
      </c>
      <c r="M318" s="3" t="s">
        <v>33</v>
      </c>
    </row>
    <row r="319" customFormat="false" ht="15" hidden="false" customHeight="true" outlineLevel="0" collapsed="false">
      <c r="A319" s="5" t="s">
        <v>1154</v>
      </c>
      <c r="B319" s="6" t="n">
        <v>45870</v>
      </c>
      <c r="C319" s="5" t="s">
        <v>390</v>
      </c>
      <c r="D319" s="5" t="s">
        <v>129</v>
      </c>
      <c r="E319" s="5" t="s">
        <v>246</v>
      </c>
      <c r="F319" s="5" t="s">
        <v>50</v>
      </c>
      <c r="G319" s="5" t="s">
        <v>51</v>
      </c>
      <c r="H319" s="5" t="n">
        <v>2</v>
      </c>
      <c r="I319" s="5" t="s">
        <v>1155</v>
      </c>
      <c r="J319" s="5" t="n">
        <v>0</v>
      </c>
      <c r="K319" s="5" t="s">
        <v>165</v>
      </c>
      <c r="L319" s="5" t="s">
        <v>398</v>
      </c>
      <c r="M319" s="5" t="s">
        <v>152</v>
      </c>
    </row>
    <row r="320" customFormat="false" ht="15" hidden="false" customHeight="true" outlineLevel="0" collapsed="false">
      <c r="A320" s="3" t="s">
        <v>1156</v>
      </c>
      <c r="B320" s="3" t="s">
        <v>1157</v>
      </c>
      <c r="C320" s="3" t="s">
        <v>250</v>
      </c>
      <c r="D320" s="3" t="s">
        <v>80</v>
      </c>
      <c r="E320" s="3" t="s">
        <v>99</v>
      </c>
      <c r="F320" s="3" t="s">
        <v>380</v>
      </c>
      <c r="G320" s="3" t="s">
        <v>793</v>
      </c>
      <c r="H320" s="3" t="s">
        <v>465</v>
      </c>
      <c r="I320" s="3" t="n">
        <v>9300</v>
      </c>
      <c r="J320" s="3" t="n">
        <v>0.1</v>
      </c>
      <c r="K320" s="3" t="s">
        <v>95</v>
      </c>
      <c r="L320" s="3" t="s">
        <v>398</v>
      </c>
      <c r="M320" s="3" t="s">
        <v>87</v>
      </c>
    </row>
    <row r="321" customFormat="false" ht="15" hidden="false" customHeight="true" outlineLevel="0" collapsed="false">
      <c r="A321" s="5" t="s">
        <v>1026</v>
      </c>
      <c r="B321" s="5" t="s">
        <v>1158</v>
      </c>
      <c r="C321" s="5" t="s">
        <v>1159</v>
      </c>
      <c r="D321" s="5" t="s">
        <v>26</v>
      </c>
      <c r="E321" s="5" t="s">
        <v>408</v>
      </c>
      <c r="F321" s="5" t="s">
        <v>170</v>
      </c>
      <c r="G321" s="5" t="s">
        <v>309</v>
      </c>
      <c r="H321" s="5" t="s">
        <v>465</v>
      </c>
      <c r="I321" s="5" t="s">
        <v>750</v>
      </c>
      <c r="J321" s="5"/>
      <c r="K321" s="5" t="s">
        <v>360</v>
      </c>
      <c r="L321" s="5" t="s">
        <v>215</v>
      </c>
      <c r="M321" s="5" t="s">
        <v>87</v>
      </c>
    </row>
    <row r="322" customFormat="false" ht="15" hidden="false" customHeight="true" outlineLevel="0" collapsed="false">
      <c r="A322" s="3" t="s">
        <v>1160</v>
      </c>
      <c r="B322" s="3" t="s">
        <v>1161</v>
      </c>
      <c r="C322" s="3" t="s">
        <v>250</v>
      </c>
      <c r="D322" s="3" t="s">
        <v>98</v>
      </c>
      <c r="E322" s="3" t="s">
        <v>140</v>
      </c>
      <c r="F322" s="3" t="s">
        <v>39</v>
      </c>
      <c r="G322" s="3" t="s">
        <v>479</v>
      </c>
      <c r="H322" s="3" t="n">
        <v>4</v>
      </c>
      <c r="I322" s="3" t="s">
        <v>1162</v>
      </c>
      <c r="J322" s="3"/>
      <c r="K322" s="3" t="s">
        <v>95</v>
      </c>
      <c r="L322" s="3" t="s">
        <v>21</v>
      </c>
      <c r="M322" s="3" t="s">
        <v>22</v>
      </c>
    </row>
    <row r="323" customFormat="false" ht="15" hidden="false" customHeight="true" outlineLevel="0" collapsed="false">
      <c r="A323" s="5" t="s">
        <v>1163</v>
      </c>
      <c r="B323" s="6" t="n">
        <v>45903</v>
      </c>
      <c r="C323" s="5" t="s">
        <v>1164</v>
      </c>
      <c r="D323" s="5" t="s">
        <v>129</v>
      </c>
      <c r="E323" s="5" t="s">
        <v>246</v>
      </c>
      <c r="F323" s="5" t="s">
        <v>109</v>
      </c>
      <c r="G323" s="5" t="s">
        <v>247</v>
      </c>
      <c r="H323" s="5" t="s">
        <v>41</v>
      </c>
      <c r="I323" s="5" t="n">
        <v>2400</v>
      </c>
      <c r="J323" s="5" t="n">
        <v>0.1</v>
      </c>
      <c r="K323" s="5" t="s">
        <v>173</v>
      </c>
      <c r="L323" s="5" t="s">
        <v>44</v>
      </c>
      <c r="M323" s="5" t="s">
        <v>87</v>
      </c>
    </row>
    <row r="324" customFormat="false" ht="15" hidden="false" customHeight="true" outlineLevel="0" collapsed="false">
      <c r="A324" s="3" t="s">
        <v>1165</v>
      </c>
      <c r="B324" s="3" t="s">
        <v>1166</v>
      </c>
      <c r="C324" s="3" t="s">
        <v>57</v>
      </c>
      <c r="D324" s="3" t="s">
        <v>169</v>
      </c>
      <c r="E324" s="3" t="s">
        <v>453</v>
      </c>
      <c r="F324" s="3" t="s">
        <v>163</v>
      </c>
      <c r="G324" s="3" t="s">
        <v>247</v>
      </c>
      <c r="H324" s="3" t="n">
        <v>1</v>
      </c>
      <c r="I324" s="3" t="s">
        <v>625</v>
      </c>
      <c r="J324" s="3" t="s">
        <v>94</v>
      </c>
      <c r="K324" s="3" t="s">
        <v>31</v>
      </c>
      <c r="L324" s="3" t="s">
        <v>114</v>
      </c>
      <c r="M324" s="3" t="s">
        <v>45</v>
      </c>
    </row>
    <row r="325" customFormat="false" ht="15" hidden="false" customHeight="true" outlineLevel="0" collapsed="false">
      <c r="A325" s="5" t="s">
        <v>1167</v>
      </c>
      <c r="B325" s="6" t="n">
        <v>45770</v>
      </c>
      <c r="C325" s="5" t="s">
        <v>220</v>
      </c>
      <c r="D325" s="5" t="s">
        <v>122</v>
      </c>
      <c r="E325" s="5" t="s">
        <v>432</v>
      </c>
      <c r="F325" s="5" t="s">
        <v>170</v>
      </c>
      <c r="G325" s="5" t="s">
        <v>177</v>
      </c>
      <c r="H325" s="5" t="n">
        <v>3</v>
      </c>
      <c r="I325" s="5" t="s">
        <v>1168</v>
      </c>
      <c r="J325" s="5" t="n">
        <v>0.2</v>
      </c>
      <c r="K325" s="5" t="s">
        <v>365</v>
      </c>
      <c r="L325" s="5" t="s">
        <v>151</v>
      </c>
      <c r="M325" s="5" t="s">
        <v>45</v>
      </c>
    </row>
    <row r="326" customFormat="false" ht="15" hidden="false" customHeight="true" outlineLevel="0" collapsed="false">
      <c r="A326" s="3" t="s">
        <v>1169</v>
      </c>
      <c r="B326" s="4" t="n">
        <v>45944</v>
      </c>
      <c r="C326" s="3" t="s">
        <v>320</v>
      </c>
      <c r="D326" s="3"/>
      <c r="E326" s="3" t="s">
        <v>162</v>
      </c>
      <c r="F326" s="3" t="s">
        <v>163</v>
      </c>
      <c r="G326" s="3" t="s">
        <v>409</v>
      </c>
      <c r="H326" s="3" t="s">
        <v>984</v>
      </c>
      <c r="I326" s="3" t="s">
        <v>1170</v>
      </c>
      <c r="J326" s="3" t="s">
        <v>94</v>
      </c>
      <c r="K326" s="3" t="s">
        <v>102</v>
      </c>
      <c r="L326" s="3" t="s">
        <v>55</v>
      </c>
      <c r="M326" s="3" t="s">
        <v>87</v>
      </c>
    </row>
    <row r="327" customFormat="false" ht="15" hidden="false" customHeight="true" outlineLevel="0" collapsed="false">
      <c r="A327" s="5" t="s">
        <v>1171</v>
      </c>
      <c r="B327" s="6" t="n">
        <v>45979</v>
      </c>
      <c r="C327" s="5" t="s">
        <v>719</v>
      </c>
      <c r="D327" s="5" t="s">
        <v>647</v>
      </c>
      <c r="E327" s="5" t="s">
        <v>70</v>
      </c>
      <c r="F327" s="5" t="s">
        <v>147</v>
      </c>
      <c r="G327" s="5" t="s">
        <v>226</v>
      </c>
      <c r="H327" s="5" t="s">
        <v>111</v>
      </c>
      <c r="I327" s="5" t="s">
        <v>1172</v>
      </c>
      <c r="J327" s="5" t="s">
        <v>94</v>
      </c>
      <c r="K327" s="5" t="s">
        <v>102</v>
      </c>
      <c r="L327" s="5" t="s">
        <v>194</v>
      </c>
      <c r="M327" s="5" t="s">
        <v>45</v>
      </c>
    </row>
    <row r="328" customFormat="false" ht="15" hidden="false" customHeight="true" outlineLevel="0" collapsed="false">
      <c r="A328" s="3" t="s">
        <v>1173</v>
      </c>
      <c r="B328" s="3" t="s">
        <v>1174</v>
      </c>
      <c r="C328" s="3" t="s">
        <v>203</v>
      </c>
      <c r="D328" s="3" t="s">
        <v>129</v>
      </c>
      <c r="E328" s="3" t="s">
        <v>246</v>
      </c>
      <c r="F328" s="3" t="s">
        <v>230</v>
      </c>
      <c r="G328" s="3" t="s">
        <v>882</v>
      </c>
      <c r="H328" s="3" t="n">
        <v>3</v>
      </c>
      <c r="I328" s="3" t="s">
        <v>1175</v>
      </c>
      <c r="J328" s="3" t="s">
        <v>63</v>
      </c>
      <c r="K328" s="3" t="s">
        <v>64</v>
      </c>
      <c r="L328" s="3" t="s">
        <v>65</v>
      </c>
      <c r="M328" s="3" t="s">
        <v>412</v>
      </c>
    </row>
    <row r="329" customFormat="false" ht="15" hidden="false" customHeight="true" outlineLevel="0" collapsed="false">
      <c r="A329" s="5" t="s">
        <v>1176</v>
      </c>
      <c r="B329" s="5" t="s">
        <v>1177</v>
      </c>
      <c r="C329" s="5" t="s">
        <v>1178</v>
      </c>
      <c r="D329" s="5" t="s">
        <v>161</v>
      </c>
      <c r="E329" s="5" t="s">
        <v>287</v>
      </c>
      <c r="F329" s="5" t="s">
        <v>147</v>
      </c>
      <c r="G329" s="5" t="s">
        <v>1179</v>
      </c>
      <c r="H329" s="5" t="s">
        <v>41</v>
      </c>
      <c r="I329" s="5" t="s">
        <v>1112</v>
      </c>
      <c r="J329" s="5" t="s">
        <v>94</v>
      </c>
      <c r="K329" s="5" t="s">
        <v>553</v>
      </c>
      <c r="L329" s="5" t="s">
        <v>44</v>
      </c>
      <c r="M329" s="5" t="s">
        <v>33</v>
      </c>
    </row>
    <row r="330" customFormat="false" ht="15" hidden="false" customHeight="true" outlineLevel="0" collapsed="false">
      <c r="A330" s="3" t="s">
        <v>1180</v>
      </c>
      <c r="B330" s="3" t="s">
        <v>1181</v>
      </c>
      <c r="C330" s="3" t="s">
        <v>938</v>
      </c>
      <c r="D330" s="3"/>
      <c r="E330" s="3" t="s">
        <v>81</v>
      </c>
      <c r="F330" s="3" t="s">
        <v>204</v>
      </c>
      <c r="G330" s="3" t="s">
        <v>205</v>
      </c>
      <c r="H330" s="3" t="s">
        <v>111</v>
      </c>
      <c r="I330" s="3" t="s">
        <v>285</v>
      </c>
      <c r="J330" s="3" t="n">
        <v>0</v>
      </c>
      <c r="K330" s="3" t="s">
        <v>75</v>
      </c>
      <c r="L330" s="3" t="s">
        <v>32</v>
      </c>
      <c r="M330" s="3" t="s">
        <v>22</v>
      </c>
    </row>
    <row r="331" customFormat="false" ht="15" hidden="false" customHeight="true" outlineLevel="0" collapsed="false">
      <c r="A331" s="5" t="s">
        <v>1182</v>
      </c>
      <c r="B331" s="6" t="n">
        <v>45739</v>
      </c>
      <c r="C331" s="5" t="s">
        <v>1183</v>
      </c>
      <c r="D331" s="5" t="s">
        <v>155</v>
      </c>
      <c r="E331" s="5" t="s">
        <v>197</v>
      </c>
      <c r="F331" s="5" t="s">
        <v>60</v>
      </c>
      <c r="G331" s="5" t="s">
        <v>317</v>
      </c>
      <c r="H331" s="5" t="s">
        <v>514</v>
      </c>
      <c r="I331" s="5" t="n">
        <v>2650</v>
      </c>
      <c r="J331" s="5" t="n">
        <v>0.2</v>
      </c>
      <c r="K331" s="5" t="s">
        <v>481</v>
      </c>
      <c r="L331" s="5" t="s">
        <v>398</v>
      </c>
      <c r="M331" s="5" t="s">
        <v>87</v>
      </c>
    </row>
    <row r="332" customFormat="false" ht="15" hidden="false" customHeight="true" outlineLevel="0" collapsed="false">
      <c r="A332" s="3" t="s">
        <v>1184</v>
      </c>
      <c r="B332" s="4" t="n">
        <v>45868</v>
      </c>
      <c r="C332" s="3" t="s">
        <v>441</v>
      </c>
      <c r="D332" s="3" t="s">
        <v>15</v>
      </c>
      <c r="E332" s="3" t="s">
        <v>246</v>
      </c>
      <c r="F332" s="3" t="s">
        <v>60</v>
      </c>
      <c r="G332" s="3" t="s">
        <v>61</v>
      </c>
      <c r="H332" s="3"/>
      <c r="I332" s="3" t="n">
        <v>1650</v>
      </c>
      <c r="J332" s="3" t="s">
        <v>94</v>
      </c>
      <c r="K332" s="3" t="s">
        <v>102</v>
      </c>
      <c r="L332" s="3" t="s">
        <v>65</v>
      </c>
      <c r="M332" s="3" t="s">
        <v>45</v>
      </c>
    </row>
    <row r="333" customFormat="false" ht="15" hidden="false" customHeight="true" outlineLevel="0" collapsed="false">
      <c r="A333" s="5" t="s">
        <v>1185</v>
      </c>
      <c r="B333" s="5" t="s">
        <v>1186</v>
      </c>
      <c r="C333" s="5" t="s">
        <v>196</v>
      </c>
      <c r="D333" s="5" t="s">
        <v>98</v>
      </c>
      <c r="E333" s="5" t="s">
        <v>260</v>
      </c>
      <c r="F333" s="5" t="s">
        <v>163</v>
      </c>
      <c r="G333" s="5" t="s">
        <v>317</v>
      </c>
      <c r="H333" s="5" t="s">
        <v>410</v>
      </c>
      <c r="I333" s="5" t="n">
        <v>2500</v>
      </c>
      <c r="J333" s="5" t="s">
        <v>112</v>
      </c>
      <c r="K333" s="5" t="s">
        <v>150</v>
      </c>
      <c r="L333" s="5" t="s">
        <v>114</v>
      </c>
      <c r="M333" s="5" t="s">
        <v>45</v>
      </c>
    </row>
    <row r="334" customFormat="false" ht="15" hidden="false" customHeight="true" outlineLevel="0" collapsed="false">
      <c r="A334" s="3" t="s">
        <v>1187</v>
      </c>
      <c r="B334" s="3" t="s">
        <v>1188</v>
      </c>
      <c r="C334" s="3" t="s">
        <v>270</v>
      </c>
      <c r="D334" s="3" t="s">
        <v>98</v>
      </c>
      <c r="E334" s="3" t="s">
        <v>99</v>
      </c>
      <c r="F334" s="3" t="s">
        <v>163</v>
      </c>
      <c r="G334" s="3" t="s">
        <v>61</v>
      </c>
      <c r="H334" s="3" t="n">
        <v>7</v>
      </c>
      <c r="I334" s="3" t="s">
        <v>1189</v>
      </c>
      <c r="J334" s="3" t="s">
        <v>63</v>
      </c>
      <c r="K334" s="3" t="s">
        <v>95</v>
      </c>
      <c r="L334" s="3" t="s">
        <v>32</v>
      </c>
      <c r="M334" s="3" t="s">
        <v>22</v>
      </c>
    </row>
    <row r="335" customFormat="false" ht="15" hidden="false" customHeight="true" outlineLevel="0" collapsed="false">
      <c r="A335" s="5" t="s">
        <v>1190</v>
      </c>
      <c r="B335" s="5" t="s">
        <v>1191</v>
      </c>
      <c r="C335" s="5" t="s">
        <v>1192</v>
      </c>
      <c r="D335" s="5" t="s">
        <v>98</v>
      </c>
      <c r="E335" s="5" t="s">
        <v>352</v>
      </c>
      <c r="F335" s="5" t="s">
        <v>230</v>
      </c>
      <c r="G335" s="5" t="s">
        <v>231</v>
      </c>
      <c r="H335" s="5" t="s">
        <v>52</v>
      </c>
      <c r="I335" s="5" t="s">
        <v>1193</v>
      </c>
      <c r="J335" s="5"/>
      <c r="K335" s="5" t="s">
        <v>20</v>
      </c>
      <c r="L335" s="5" t="s">
        <v>398</v>
      </c>
      <c r="M335" s="5" t="s">
        <v>22</v>
      </c>
    </row>
    <row r="336" customFormat="false" ht="15" hidden="false" customHeight="true" outlineLevel="0" collapsed="false">
      <c r="A336" s="3" t="s">
        <v>1194</v>
      </c>
      <c r="B336" s="3" t="s">
        <v>1195</v>
      </c>
      <c r="C336" s="3"/>
      <c r="D336" s="3" t="s">
        <v>161</v>
      </c>
      <c r="E336" s="3" t="s">
        <v>221</v>
      </c>
      <c r="F336" s="3" t="s">
        <v>39</v>
      </c>
      <c r="G336" s="3" t="s">
        <v>222</v>
      </c>
      <c r="H336" s="3" t="n">
        <v>5</v>
      </c>
      <c r="I336" s="3" t="s">
        <v>1196</v>
      </c>
      <c r="J336" s="3" t="s">
        <v>188</v>
      </c>
      <c r="K336" s="3" t="s">
        <v>31</v>
      </c>
      <c r="L336" s="3" t="s">
        <v>103</v>
      </c>
      <c r="M336" s="3" t="s">
        <v>87</v>
      </c>
    </row>
    <row r="337" customFormat="false" ht="15" hidden="false" customHeight="true" outlineLevel="0" collapsed="false">
      <c r="A337" s="5" t="s">
        <v>1197</v>
      </c>
      <c r="B337" s="5" t="s">
        <v>917</v>
      </c>
      <c r="C337" s="5" t="s">
        <v>384</v>
      </c>
      <c r="D337" s="5" t="s">
        <v>161</v>
      </c>
      <c r="E337" s="5" t="s">
        <v>81</v>
      </c>
      <c r="F337" s="5" t="s">
        <v>109</v>
      </c>
      <c r="G337" s="5" t="s">
        <v>247</v>
      </c>
      <c r="H337" s="5" t="s">
        <v>41</v>
      </c>
      <c r="I337" s="5" t="n">
        <v>2350</v>
      </c>
      <c r="J337" s="5" t="s">
        <v>94</v>
      </c>
      <c r="K337" s="5" t="s">
        <v>273</v>
      </c>
      <c r="L337" s="5" t="s">
        <v>194</v>
      </c>
      <c r="M337" s="5" t="s">
        <v>87</v>
      </c>
    </row>
    <row r="338" customFormat="false" ht="15" hidden="false" customHeight="true" outlineLevel="0" collapsed="false">
      <c r="A338" s="3" t="s">
        <v>1198</v>
      </c>
      <c r="B338" s="3" t="s">
        <v>685</v>
      </c>
      <c r="C338" s="3" t="s">
        <v>749</v>
      </c>
      <c r="D338" s="3" t="s">
        <v>129</v>
      </c>
      <c r="E338" s="3" t="s">
        <v>742</v>
      </c>
      <c r="F338" s="3" t="s">
        <v>91</v>
      </c>
      <c r="G338" s="3" t="s">
        <v>793</v>
      </c>
      <c r="H338" s="3" t="s">
        <v>157</v>
      </c>
      <c r="I338" s="3" t="n">
        <v>9900</v>
      </c>
      <c r="J338" s="3" t="s">
        <v>188</v>
      </c>
      <c r="K338" s="3" t="s">
        <v>95</v>
      </c>
      <c r="L338" s="3" t="s">
        <v>194</v>
      </c>
      <c r="M338" s="3" t="s">
        <v>22</v>
      </c>
    </row>
    <row r="339" customFormat="false" ht="15" hidden="false" customHeight="true" outlineLevel="0" collapsed="false">
      <c r="A339" s="5" t="s">
        <v>1199</v>
      </c>
      <c r="B339" s="5" t="s">
        <v>448</v>
      </c>
      <c r="C339" s="5" t="s">
        <v>560</v>
      </c>
      <c r="D339" s="5" t="s">
        <v>169</v>
      </c>
      <c r="E339" s="5" t="s">
        <v>186</v>
      </c>
      <c r="F339" s="5" t="s">
        <v>300</v>
      </c>
      <c r="G339" s="5" t="s">
        <v>309</v>
      </c>
      <c r="H339" s="5" t="n">
        <v>4</v>
      </c>
      <c r="I339" s="5" t="s">
        <v>1200</v>
      </c>
      <c r="J339" s="5" t="n">
        <v>0.05</v>
      </c>
      <c r="K339" s="5" t="s">
        <v>31</v>
      </c>
      <c r="L339" s="5" t="s">
        <v>151</v>
      </c>
      <c r="M339" s="5" t="s">
        <v>412</v>
      </c>
    </row>
    <row r="340" customFormat="false" ht="15" hidden="false" customHeight="true" outlineLevel="0" collapsed="false">
      <c r="A340" s="3" t="s">
        <v>1201</v>
      </c>
      <c r="B340" s="4" t="n">
        <v>45900</v>
      </c>
      <c r="C340" s="3" t="s">
        <v>846</v>
      </c>
      <c r="D340" s="3" t="s">
        <v>236</v>
      </c>
      <c r="E340" s="3" t="s">
        <v>70</v>
      </c>
      <c r="F340" s="3" t="s">
        <v>204</v>
      </c>
      <c r="G340" s="3" t="s">
        <v>205</v>
      </c>
      <c r="H340" s="3" t="s">
        <v>84</v>
      </c>
      <c r="I340" s="3" t="s">
        <v>874</v>
      </c>
      <c r="J340" s="3"/>
      <c r="K340" s="3" t="s">
        <v>31</v>
      </c>
      <c r="L340" s="3" t="s">
        <v>65</v>
      </c>
      <c r="M340" s="3" t="s">
        <v>412</v>
      </c>
    </row>
    <row r="341" customFormat="false" ht="15" hidden="false" customHeight="true" outlineLevel="0" collapsed="false">
      <c r="A341" s="5" t="s">
        <v>1202</v>
      </c>
      <c r="B341" s="5"/>
      <c r="C341" s="5" t="s">
        <v>593</v>
      </c>
      <c r="D341" s="5" t="s">
        <v>15</v>
      </c>
      <c r="E341" s="5" t="s">
        <v>130</v>
      </c>
      <c r="F341" s="5" t="s">
        <v>147</v>
      </c>
      <c r="G341" s="5" t="s">
        <v>29</v>
      </c>
      <c r="H341" s="5" t="n">
        <v>6</v>
      </c>
      <c r="I341" s="5" t="s">
        <v>1203</v>
      </c>
      <c r="J341" s="5" t="s">
        <v>337</v>
      </c>
      <c r="K341" s="5" t="s">
        <v>273</v>
      </c>
      <c r="L341" s="5" t="s">
        <v>96</v>
      </c>
      <c r="M341" s="5" t="s">
        <v>22</v>
      </c>
    </row>
    <row r="342" customFormat="false" ht="15" hidden="false" customHeight="true" outlineLevel="0" collapsed="false">
      <c r="A342" s="3" t="s">
        <v>1204</v>
      </c>
      <c r="B342" s="4" t="n">
        <v>45680</v>
      </c>
      <c r="C342" s="3" t="s">
        <v>851</v>
      </c>
      <c r="D342" s="3" t="s">
        <v>122</v>
      </c>
      <c r="E342" s="3" t="s">
        <v>99</v>
      </c>
      <c r="F342" s="3" t="s">
        <v>163</v>
      </c>
      <c r="G342" s="3" t="s">
        <v>353</v>
      </c>
      <c r="H342" s="3" t="s">
        <v>111</v>
      </c>
      <c r="I342" s="3" t="s">
        <v>1205</v>
      </c>
      <c r="J342" s="3" t="n">
        <v>0</v>
      </c>
      <c r="K342" s="3" t="s">
        <v>365</v>
      </c>
      <c r="L342" s="3" t="s">
        <v>21</v>
      </c>
      <c r="M342" s="3" t="s">
        <v>22</v>
      </c>
    </row>
    <row r="343" customFormat="false" ht="15" hidden="false" customHeight="true" outlineLevel="0" collapsed="false">
      <c r="A343" s="5" t="s">
        <v>1206</v>
      </c>
      <c r="B343" s="5" t="s">
        <v>654</v>
      </c>
      <c r="C343" s="5" t="s">
        <v>203</v>
      </c>
      <c r="D343" s="5" t="s">
        <v>98</v>
      </c>
      <c r="E343" s="5" t="s">
        <v>1065</v>
      </c>
      <c r="F343" s="5" t="s">
        <v>60</v>
      </c>
      <c r="G343" s="5" t="s">
        <v>409</v>
      </c>
      <c r="H343" s="5" t="s">
        <v>239</v>
      </c>
      <c r="I343" s="5" t="s">
        <v>411</v>
      </c>
      <c r="J343" s="5" t="s">
        <v>337</v>
      </c>
      <c r="K343" s="5"/>
      <c r="L343" s="5" t="s">
        <v>65</v>
      </c>
      <c r="M343" s="5" t="s">
        <v>33</v>
      </c>
    </row>
    <row r="344" customFormat="false" ht="15" hidden="false" customHeight="true" outlineLevel="0" collapsed="false">
      <c r="A344" s="3" t="s">
        <v>1207</v>
      </c>
      <c r="B344" s="3" t="s">
        <v>1208</v>
      </c>
      <c r="C344" s="3" t="s">
        <v>437</v>
      </c>
      <c r="D344" s="3" t="s">
        <v>122</v>
      </c>
      <c r="E344" s="3" t="s">
        <v>81</v>
      </c>
      <c r="F344" s="3" t="s">
        <v>300</v>
      </c>
      <c r="G344" s="3" t="s">
        <v>171</v>
      </c>
      <c r="H344" s="3" t="s">
        <v>41</v>
      </c>
      <c r="I344" s="3" t="s">
        <v>1209</v>
      </c>
      <c r="J344" s="3" t="n">
        <v>0.05</v>
      </c>
      <c r="K344" s="3" t="s">
        <v>64</v>
      </c>
      <c r="L344" s="3" t="s">
        <v>103</v>
      </c>
      <c r="M344" s="3" t="s">
        <v>22</v>
      </c>
    </row>
    <row r="345" customFormat="false" ht="15" hidden="false" customHeight="true" outlineLevel="0" collapsed="false">
      <c r="A345" s="5" t="s">
        <v>1210</v>
      </c>
      <c r="B345" s="6" t="n">
        <v>45910</v>
      </c>
      <c r="C345" s="5" t="s">
        <v>1211</v>
      </c>
      <c r="D345" s="5" t="s">
        <v>161</v>
      </c>
      <c r="E345" s="5" t="s">
        <v>432</v>
      </c>
      <c r="F345" s="5" t="s">
        <v>308</v>
      </c>
      <c r="G345" s="5" t="s">
        <v>462</v>
      </c>
      <c r="H345" s="5" t="s">
        <v>84</v>
      </c>
      <c r="I345" s="5" t="s">
        <v>891</v>
      </c>
      <c r="J345" s="5" t="s">
        <v>486</v>
      </c>
      <c r="K345" s="5" t="s">
        <v>143</v>
      </c>
      <c r="L345" s="5" t="s">
        <v>32</v>
      </c>
      <c r="M345" s="5" t="s">
        <v>45</v>
      </c>
    </row>
    <row r="346" customFormat="false" ht="15" hidden="false" customHeight="true" outlineLevel="0" collapsed="false">
      <c r="A346" s="3" t="s">
        <v>1212</v>
      </c>
      <c r="B346" s="3" t="s">
        <v>555</v>
      </c>
      <c r="C346" s="3" t="s">
        <v>1213</v>
      </c>
      <c r="D346" s="3" t="s">
        <v>90</v>
      </c>
      <c r="E346" s="3" t="s">
        <v>27</v>
      </c>
      <c r="F346" s="3" t="s">
        <v>131</v>
      </c>
      <c r="G346" s="3" t="s">
        <v>51</v>
      </c>
      <c r="H346" s="3" t="n">
        <v>1</v>
      </c>
      <c r="I346" s="3" t="s">
        <v>212</v>
      </c>
      <c r="J346" s="3" t="s">
        <v>188</v>
      </c>
      <c r="K346" s="3" t="s">
        <v>54</v>
      </c>
      <c r="L346" s="3" t="s">
        <v>215</v>
      </c>
      <c r="M346" s="3" t="s">
        <v>33</v>
      </c>
    </row>
    <row r="347" customFormat="false" ht="15" hidden="false" customHeight="true" outlineLevel="0" collapsed="false">
      <c r="A347" s="5" t="s">
        <v>1214</v>
      </c>
      <c r="B347" s="5" t="s">
        <v>1215</v>
      </c>
      <c r="C347" s="5" t="s">
        <v>745</v>
      </c>
      <c r="D347" s="5" t="s">
        <v>37</v>
      </c>
      <c r="E347" s="5" t="s">
        <v>38</v>
      </c>
      <c r="F347" s="5" t="s">
        <v>141</v>
      </c>
      <c r="G347" s="5" t="s">
        <v>265</v>
      </c>
      <c r="H347" s="5" t="n">
        <v>1</v>
      </c>
      <c r="I347" s="5" t="s">
        <v>442</v>
      </c>
      <c r="J347" s="5" t="n">
        <v>0.05</v>
      </c>
      <c r="K347" s="5" t="s">
        <v>450</v>
      </c>
      <c r="L347" s="5" t="s">
        <v>114</v>
      </c>
      <c r="M347" s="5" t="s">
        <v>45</v>
      </c>
    </row>
    <row r="348" customFormat="false" ht="15" hidden="false" customHeight="true" outlineLevel="0" collapsed="false">
      <c r="A348" s="3" t="s">
        <v>1216</v>
      </c>
      <c r="B348" s="4" t="n">
        <v>45689</v>
      </c>
      <c r="C348" s="3" t="s">
        <v>952</v>
      </c>
      <c r="D348" s="3" t="s">
        <v>90</v>
      </c>
      <c r="E348" s="3" t="s">
        <v>38</v>
      </c>
      <c r="F348" s="3" t="s">
        <v>123</v>
      </c>
      <c r="G348" s="3" t="s">
        <v>124</v>
      </c>
      <c r="H348" s="3" t="n">
        <v>7</v>
      </c>
      <c r="I348" s="3" t="s">
        <v>193</v>
      </c>
      <c r="J348" s="3"/>
      <c r="K348" s="3" t="s">
        <v>397</v>
      </c>
      <c r="L348" s="3" t="s">
        <v>32</v>
      </c>
      <c r="M348" s="3" t="s">
        <v>33</v>
      </c>
    </row>
    <row r="349" customFormat="false" ht="15" hidden="false" customHeight="true" outlineLevel="0" collapsed="false">
      <c r="A349" s="5" t="s">
        <v>1217</v>
      </c>
      <c r="B349" s="5" t="s">
        <v>1218</v>
      </c>
      <c r="C349" s="5" t="s">
        <v>320</v>
      </c>
      <c r="D349" s="5" t="s">
        <v>122</v>
      </c>
      <c r="E349" s="5" t="s">
        <v>99</v>
      </c>
      <c r="F349" s="5" t="s">
        <v>300</v>
      </c>
      <c r="G349" s="5" t="s">
        <v>336</v>
      </c>
      <c r="H349" s="5" t="s">
        <v>206</v>
      </c>
      <c r="I349" s="5" t="s">
        <v>863</v>
      </c>
      <c r="J349" s="5" t="s">
        <v>94</v>
      </c>
      <c r="K349" s="5" t="s">
        <v>150</v>
      </c>
      <c r="L349" s="5" t="s">
        <v>55</v>
      </c>
      <c r="M349" s="5" t="s">
        <v>22</v>
      </c>
    </row>
    <row r="350" customFormat="false" ht="15" hidden="false" customHeight="true" outlineLevel="0" collapsed="false">
      <c r="A350" s="3" t="s">
        <v>1219</v>
      </c>
      <c r="B350" s="4" t="n">
        <v>45937</v>
      </c>
      <c r="C350" s="3" t="s">
        <v>196</v>
      </c>
      <c r="D350" s="3" t="s">
        <v>26</v>
      </c>
      <c r="E350" s="3" t="s">
        <v>294</v>
      </c>
      <c r="F350" s="3" t="s">
        <v>91</v>
      </c>
      <c r="G350" s="3" t="s">
        <v>927</v>
      </c>
      <c r="H350" s="3" t="s">
        <v>41</v>
      </c>
      <c r="I350" s="3" t="s">
        <v>1129</v>
      </c>
      <c r="J350" s="3" t="n">
        <v>0</v>
      </c>
      <c r="K350" s="3" t="s">
        <v>113</v>
      </c>
      <c r="L350" s="3" t="s">
        <v>21</v>
      </c>
      <c r="M350" s="3" t="s">
        <v>87</v>
      </c>
    </row>
    <row r="351" customFormat="false" ht="15" hidden="false" customHeight="true" outlineLevel="0" collapsed="false">
      <c r="A351" s="5" t="s">
        <v>1220</v>
      </c>
      <c r="B351" s="5" t="s">
        <v>1221</v>
      </c>
      <c r="C351" s="5" t="s">
        <v>1222</v>
      </c>
      <c r="D351" s="5" t="s">
        <v>98</v>
      </c>
      <c r="E351" s="5" t="s">
        <v>99</v>
      </c>
      <c r="F351" s="5" t="s">
        <v>380</v>
      </c>
      <c r="G351" s="5" t="s">
        <v>433</v>
      </c>
      <c r="H351" s="5" t="n">
        <v>2</v>
      </c>
      <c r="I351" s="5" t="s">
        <v>1223</v>
      </c>
      <c r="J351" s="5" t="s">
        <v>241</v>
      </c>
      <c r="K351" s="5" t="s">
        <v>289</v>
      </c>
      <c r="L351" s="5" t="s">
        <v>151</v>
      </c>
      <c r="M351" s="5" t="s">
        <v>33</v>
      </c>
    </row>
    <row r="352" customFormat="false" ht="15" hidden="false" customHeight="true" outlineLevel="0" collapsed="false">
      <c r="A352" s="3" t="s">
        <v>1224</v>
      </c>
      <c r="B352" s="4" t="n">
        <v>45815</v>
      </c>
      <c r="C352" s="3" t="s">
        <v>593</v>
      </c>
      <c r="D352" s="3" t="s">
        <v>80</v>
      </c>
      <c r="E352" s="3" t="s">
        <v>197</v>
      </c>
      <c r="F352" s="3" t="s">
        <v>300</v>
      </c>
      <c r="G352" s="3" t="s">
        <v>231</v>
      </c>
      <c r="H352" s="3" t="n">
        <v>1</v>
      </c>
      <c r="I352" s="3" t="s">
        <v>172</v>
      </c>
      <c r="J352" s="3" t="s">
        <v>94</v>
      </c>
      <c r="K352" s="3" t="s">
        <v>500</v>
      </c>
      <c r="L352" s="3" t="s">
        <v>32</v>
      </c>
      <c r="M352" s="3" t="s">
        <v>355</v>
      </c>
    </row>
    <row r="353" customFormat="false" ht="15" hidden="false" customHeight="true" outlineLevel="0" collapsed="false">
      <c r="A353" s="5" t="s">
        <v>1225</v>
      </c>
      <c r="B353" s="6" t="n">
        <v>46005</v>
      </c>
      <c r="C353" s="5" t="s">
        <v>538</v>
      </c>
      <c r="D353" s="5" t="s">
        <v>26</v>
      </c>
      <c r="E353" s="5" t="s">
        <v>49</v>
      </c>
      <c r="F353" s="5" t="s">
        <v>170</v>
      </c>
      <c r="G353" s="5" t="s">
        <v>301</v>
      </c>
      <c r="H353" s="5" t="n">
        <v>1</v>
      </c>
      <c r="I353" s="5" t="n">
        <v>6850</v>
      </c>
      <c r="J353" s="5" t="n">
        <v>0</v>
      </c>
      <c r="K353" s="5" t="s">
        <v>304</v>
      </c>
      <c r="L353" s="5" t="s">
        <v>76</v>
      </c>
      <c r="M353" s="5" t="s">
        <v>33</v>
      </c>
    </row>
    <row r="354" customFormat="false" ht="15" hidden="false" customHeight="true" outlineLevel="0" collapsed="false">
      <c r="A354" s="3" t="s">
        <v>1226</v>
      </c>
      <c r="B354" s="4" t="n">
        <v>45958</v>
      </c>
      <c r="C354" s="3" t="s">
        <v>1222</v>
      </c>
      <c r="D354" s="3" t="s">
        <v>169</v>
      </c>
      <c r="E354" s="3" t="s">
        <v>38</v>
      </c>
      <c r="F354" s="3" t="s">
        <v>230</v>
      </c>
      <c r="G354" s="3" t="s">
        <v>882</v>
      </c>
      <c r="H354" s="3" t="s">
        <v>514</v>
      </c>
      <c r="I354" s="3" t="s">
        <v>669</v>
      </c>
      <c r="J354" s="3" t="n">
        <v>0.2</v>
      </c>
      <c r="K354" s="3" t="s">
        <v>481</v>
      </c>
      <c r="L354" s="3" t="s">
        <v>65</v>
      </c>
      <c r="M354" s="3" t="s">
        <v>387</v>
      </c>
    </row>
    <row r="355" customFormat="false" ht="15" hidden="false" customHeight="true" outlineLevel="0" collapsed="false">
      <c r="A355" s="5" t="s">
        <v>1227</v>
      </c>
      <c r="B355" s="5" t="s">
        <v>533</v>
      </c>
      <c r="C355" s="5" t="s">
        <v>333</v>
      </c>
      <c r="D355" s="5" t="s">
        <v>98</v>
      </c>
      <c r="E355" s="5" t="s">
        <v>197</v>
      </c>
      <c r="F355" s="5" t="s">
        <v>91</v>
      </c>
      <c r="G355" s="5" t="s">
        <v>205</v>
      </c>
      <c r="H355" s="5" t="n">
        <v>1</v>
      </c>
      <c r="I355" s="5" t="s">
        <v>285</v>
      </c>
      <c r="J355" s="5"/>
      <c r="K355" s="5" t="s">
        <v>102</v>
      </c>
      <c r="L355" s="5" t="s">
        <v>32</v>
      </c>
      <c r="M355" s="5" t="s">
        <v>87</v>
      </c>
    </row>
    <row r="356" customFormat="false" ht="15" hidden="false" customHeight="true" outlineLevel="0" collapsed="false">
      <c r="A356" s="3" t="s">
        <v>1228</v>
      </c>
      <c r="B356" s="4" t="n">
        <v>45890</v>
      </c>
      <c r="C356" s="3" t="s">
        <v>270</v>
      </c>
      <c r="D356" s="3" t="s">
        <v>122</v>
      </c>
      <c r="E356" s="3" t="s">
        <v>99</v>
      </c>
      <c r="F356" s="3" t="s">
        <v>141</v>
      </c>
      <c r="G356" s="3" t="s">
        <v>317</v>
      </c>
      <c r="H356" s="3" t="s">
        <v>52</v>
      </c>
      <c r="I356" s="3" t="s">
        <v>1229</v>
      </c>
      <c r="J356" s="3" t="s">
        <v>74</v>
      </c>
      <c r="K356" s="3" t="s">
        <v>143</v>
      </c>
      <c r="L356" s="3" t="s">
        <v>114</v>
      </c>
      <c r="M356" s="3" t="s">
        <v>87</v>
      </c>
    </row>
    <row r="357" customFormat="false" ht="15" hidden="false" customHeight="true" outlineLevel="0" collapsed="false">
      <c r="A357" s="5" t="s">
        <v>1230</v>
      </c>
      <c r="B357" s="5" t="s">
        <v>1208</v>
      </c>
      <c r="C357" s="5" t="s">
        <v>264</v>
      </c>
      <c r="D357" s="5" t="s">
        <v>122</v>
      </c>
      <c r="E357" s="5" t="s">
        <v>325</v>
      </c>
      <c r="F357" s="5" t="s">
        <v>300</v>
      </c>
      <c r="G357" s="5" t="s">
        <v>1231</v>
      </c>
      <c r="H357" s="5" t="s">
        <v>878</v>
      </c>
      <c r="I357" s="5" t="s">
        <v>1232</v>
      </c>
      <c r="J357" s="5" t="s">
        <v>112</v>
      </c>
      <c r="K357" s="5" t="s">
        <v>31</v>
      </c>
      <c r="L357" s="5" t="s">
        <v>96</v>
      </c>
      <c r="M357" s="5" t="s">
        <v>45</v>
      </c>
    </row>
    <row r="358" customFormat="false" ht="15" hidden="false" customHeight="true" outlineLevel="0" collapsed="false">
      <c r="A358" s="3" t="s">
        <v>1233</v>
      </c>
      <c r="B358" s="3" t="s">
        <v>1234</v>
      </c>
      <c r="C358" s="3" t="s">
        <v>712</v>
      </c>
      <c r="D358" s="3" t="s">
        <v>37</v>
      </c>
      <c r="E358" s="3" t="s">
        <v>408</v>
      </c>
      <c r="F358" s="3" t="s">
        <v>141</v>
      </c>
      <c r="G358" s="3" t="s">
        <v>61</v>
      </c>
      <c r="H358" s="3" t="s">
        <v>111</v>
      </c>
      <c r="I358" s="3" t="s">
        <v>1189</v>
      </c>
      <c r="J358" s="3" t="s">
        <v>241</v>
      </c>
      <c r="K358" s="3" t="s">
        <v>143</v>
      </c>
      <c r="L358" s="3" t="s">
        <v>103</v>
      </c>
      <c r="M358" s="3" t="s">
        <v>87</v>
      </c>
    </row>
    <row r="359" customFormat="false" ht="15" hidden="false" customHeight="true" outlineLevel="0" collapsed="false">
      <c r="A359" s="5" t="s">
        <v>1235</v>
      </c>
      <c r="B359" s="5" t="s">
        <v>555</v>
      </c>
      <c r="C359" s="5" t="s">
        <v>1236</v>
      </c>
      <c r="D359" s="5" t="s">
        <v>80</v>
      </c>
      <c r="E359" s="5" t="s">
        <v>108</v>
      </c>
      <c r="F359" s="5" t="s">
        <v>170</v>
      </c>
      <c r="G359" s="5" t="s">
        <v>336</v>
      </c>
      <c r="H359" s="5" t="n">
        <v>2</v>
      </c>
      <c r="I359" s="5" t="s">
        <v>731</v>
      </c>
      <c r="J359" s="5" t="n">
        <v>0.05</v>
      </c>
      <c r="K359" s="5" t="s">
        <v>553</v>
      </c>
      <c r="L359" s="5" t="s">
        <v>21</v>
      </c>
      <c r="M359" s="5" t="s">
        <v>45</v>
      </c>
    </row>
    <row r="360" customFormat="false" ht="15" hidden="false" customHeight="true" outlineLevel="0" collapsed="false">
      <c r="A360" s="3" t="s">
        <v>1237</v>
      </c>
      <c r="B360" s="3" t="s">
        <v>1238</v>
      </c>
      <c r="C360" s="3" t="s">
        <v>1239</v>
      </c>
      <c r="D360" s="3" t="s">
        <v>80</v>
      </c>
      <c r="E360" s="3" t="s">
        <v>108</v>
      </c>
      <c r="F360" s="3" t="s">
        <v>131</v>
      </c>
      <c r="G360" s="3" t="s">
        <v>51</v>
      </c>
      <c r="H360" s="3" t="s">
        <v>52</v>
      </c>
      <c r="I360" s="3" t="n">
        <v>3750</v>
      </c>
      <c r="J360" s="3" t="s">
        <v>188</v>
      </c>
      <c r="K360" s="3" t="s">
        <v>143</v>
      </c>
      <c r="L360" s="3" t="s">
        <v>103</v>
      </c>
      <c r="M360" s="3" t="s">
        <v>33</v>
      </c>
    </row>
    <row r="361" customFormat="false" ht="15" hidden="false" customHeight="true" outlineLevel="0" collapsed="false">
      <c r="A361" s="5" t="s">
        <v>1240</v>
      </c>
      <c r="B361" s="5" t="s">
        <v>804</v>
      </c>
      <c r="C361" s="5" t="s">
        <v>316</v>
      </c>
      <c r="D361" s="5" t="s">
        <v>58</v>
      </c>
      <c r="E361" s="5" t="s">
        <v>130</v>
      </c>
      <c r="F361" s="5" t="s">
        <v>308</v>
      </c>
      <c r="G361" s="5" t="s">
        <v>177</v>
      </c>
      <c r="H361" s="5" t="n">
        <v>7</v>
      </c>
      <c r="I361" s="5" t="s">
        <v>1241</v>
      </c>
      <c r="J361" s="5" t="s">
        <v>486</v>
      </c>
      <c r="K361" s="5" t="s">
        <v>64</v>
      </c>
      <c r="L361" s="5" t="s">
        <v>21</v>
      </c>
      <c r="M361" s="5" t="s">
        <v>45</v>
      </c>
    </row>
    <row r="362" customFormat="false" ht="15" hidden="false" customHeight="true" outlineLevel="0" collapsed="false">
      <c r="A362" s="3" t="s">
        <v>1242</v>
      </c>
      <c r="B362" s="4" t="n">
        <v>45750</v>
      </c>
      <c r="C362" s="3" t="s">
        <v>235</v>
      </c>
      <c r="D362" s="3" t="s">
        <v>129</v>
      </c>
      <c r="E362" s="3" t="s">
        <v>16</v>
      </c>
      <c r="F362" s="3" t="s">
        <v>380</v>
      </c>
      <c r="G362" s="3" t="s">
        <v>29</v>
      </c>
      <c r="H362" s="3" t="n">
        <v>2</v>
      </c>
      <c r="I362" s="3" t="s">
        <v>1243</v>
      </c>
      <c r="J362" s="3" t="s">
        <v>63</v>
      </c>
      <c r="K362" s="3" t="s">
        <v>143</v>
      </c>
      <c r="L362" s="3" t="s">
        <v>65</v>
      </c>
      <c r="M362" s="3" t="s">
        <v>22</v>
      </c>
    </row>
    <row r="363" customFormat="false" ht="15" hidden="false" customHeight="true" outlineLevel="0" collapsed="false">
      <c r="A363" s="5" t="s">
        <v>1244</v>
      </c>
      <c r="B363" s="5" t="s">
        <v>1245</v>
      </c>
      <c r="C363" s="5" t="s">
        <v>1246</v>
      </c>
      <c r="D363" s="5"/>
      <c r="E363" s="5" t="s">
        <v>197</v>
      </c>
      <c r="F363" s="5" t="s">
        <v>163</v>
      </c>
      <c r="G363" s="5" t="s">
        <v>317</v>
      </c>
      <c r="H363" s="5" t="n">
        <v>4</v>
      </c>
      <c r="I363" s="5"/>
      <c r="J363" s="5" t="s">
        <v>303</v>
      </c>
      <c r="K363" s="5" t="s">
        <v>133</v>
      </c>
      <c r="L363" s="5" t="s">
        <v>32</v>
      </c>
      <c r="M363" s="5" t="s">
        <v>33</v>
      </c>
    </row>
    <row r="364" customFormat="false" ht="15" hidden="false" customHeight="true" outlineLevel="0" collapsed="false">
      <c r="A364" s="3" t="s">
        <v>1247</v>
      </c>
      <c r="B364" s="3" t="s">
        <v>1248</v>
      </c>
      <c r="C364" s="3" t="s">
        <v>610</v>
      </c>
      <c r="D364" s="3" t="s">
        <v>122</v>
      </c>
      <c r="E364" s="3" t="s">
        <v>197</v>
      </c>
      <c r="F364" s="3" t="s">
        <v>82</v>
      </c>
      <c r="G364" s="3" t="s">
        <v>222</v>
      </c>
      <c r="H364" s="3" t="s">
        <v>52</v>
      </c>
      <c r="I364" s="3" t="s">
        <v>1249</v>
      </c>
      <c r="J364" s="3" t="n">
        <v>0</v>
      </c>
      <c r="K364" s="3" t="s">
        <v>165</v>
      </c>
      <c r="L364" s="3" t="s">
        <v>76</v>
      </c>
      <c r="M364" s="3" t="s">
        <v>22</v>
      </c>
    </row>
    <row r="365" customFormat="false" ht="15" hidden="false" customHeight="true" outlineLevel="0" collapsed="false">
      <c r="A365" s="5" t="s">
        <v>1250</v>
      </c>
      <c r="B365" s="5" t="s">
        <v>1251</v>
      </c>
      <c r="C365" s="5" t="s">
        <v>276</v>
      </c>
      <c r="D365" s="5" t="s">
        <v>155</v>
      </c>
      <c r="E365" s="5" t="s">
        <v>325</v>
      </c>
      <c r="F365" s="5" t="s">
        <v>147</v>
      </c>
      <c r="G365" s="5" t="s">
        <v>520</v>
      </c>
      <c r="H365" s="5" t="s">
        <v>111</v>
      </c>
      <c r="I365" s="5" t="s">
        <v>256</v>
      </c>
      <c r="J365" s="5" t="n">
        <v>0.1</v>
      </c>
      <c r="K365" s="5" t="s">
        <v>133</v>
      </c>
      <c r="L365" s="5" t="s">
        <v>32</v>
      </c>
      <c r="M365" s="5" t="s">
        <v>45</v>
      </c>
    </row>
    <row r="366" customFormat="false" ht="15" hidden="false" customHeight="true" outlineLevel="0" collapsed="false">
      <c r="A366" s="3" t="s">
        <v>1252</v>
      </c>
      <c r="B366" s="3"/>
      <c r="C366" s="3"/>
      <c r="D366" s="3" t="s">
        <v>80</v>
      </c>
      <c r="E366" s="3" t="s">
        <v>221</v>
      </c>
      <c r="F366" s="3" t="s">
        <v>204</v>
      </c>
      <c r="G366" s="3" t="s">
        <v>424</v>
      </c>
      <c r="H366" s="3"/>
      <c r="I366" s="3" t="n">
        <v>6400</v>
      </c>
      <c r="J366" s="3" t="n">
        <v>0</v>
      </c>
      <c r="K366" s="3" t="s">
        <v>289</v>
      </c>
      <c r="L366" s="3" t="s">
        <v>103</v>
      </c>
      <c r="M366" s="3" t="s">
        <v>45</v>
      </c>
    </row>
    <row r="367" customFormat="false" ht="15" hidden="false" customHeight="true" outlineLevel="0" collapsed="false">
      <c r="A367" s="5" t="s">
        <v>1253</v>
      </c>
      <c r="B367" s="5" t="s">
        <v>1254</v>
      </c>
      <c r="C367" s="5" t="s">
        <v>225</v>
      </c>
      <c r="D367" s="5" t="s">
        <v>90</v>
      </c>
      <c r="E367" s="5" t="s">
        <v>294</v>
      </c>
      <c r="F367" s="5" t="s">
        <v>170</v>
      </c>
      <c r="G367" s="5" t="s">
        <v>198</v>
      </c>
      <c r="H367" s="5" t="s">
        <v>1073</v>
      </c>
      <c r="I367" s="5" t="s">
        <v>1255</v>
      </c>
      <c r="J367" s="5" t="n">
        <v>0.1</v>
      </c>
      <c r="K367" s="5" t="s">
        <v>481</v>
      </c>
      <c r="L367" s="5" t="s">
        <v>32</v>
      </c>
      <c r="M367" s="5" t="s">
        <v>87</v>
      </c>
    </row>
    <row r="368" customFormat="false" ht="15" hidden="false" customHeight="true" outlineLevel="0" collapsed="false">
      <c r="A368" s="3" t="s">
        <v>1256</v>
      </c>
      <c r="B368" s="3" t="s">
        <v>1257</v>
      </c>
      <c r="C368" s="3" t="s">
        <v>719</v>
      </c>
      <c r="D368" s="3" t="s">
        <v>58</v>
      </c>
      <c r="E368" s="3" t="s">
        <v>59</v>
      </c>
      <c r="F368" s="3" t="s">
        <v>230</v>
      </c>
      <c r="G368" s="3" t="s">
        <v>336</v>
      </c>
      <c r="H368" s="3" t="s">
        <v>206</v>
      </c>
      <c r="I368" s="3" t="s">
        <v>794</v>
      </c>
      <c r="J368" s="3" t="s">
        <v>63</v>
      </c>
      <c r="K368" s="3" t="s">
        <v>64</v>
      </c>
      <c r="L368" s="3" t="s">
        <v>21</v>
      </c>
      <c r="M368" s="3" t="s">
        <v>87</v>
      </c>
    </row>
    <row r="369" customFormat="false" ht="15" hidden="false" customHeight="true" outlineLevel="0" collapsed="false">
      <c r="A369" s="5" t="s">
        <v>667</v>
      </c>
      <c r="B369" s="5" t="s">
        <v>1258</v>
      </c>
      <c r="C369" s="5" t="s">
        <v>1259</v>
      </c>
      <c r="D369" s="5" t="s">
        <v>146</v>
      </c>
      <c r="E369" s="5" t="s">
        <v>16</v>
      </c>
      <c r="F369" s="5" t="s">
        <v>170</v>
      </c>
      <c r="G369" s="5" t="s">
        <v>309</v>
      </c>
      <c r="H369" s="5" t="n">
        <v>1</v>
      </c>
      <c r="I369" s="5" t="n">
        <v>3100</v>
      </c>
      <c r="J369" s="5"/>
      <c r="K369" s="5" t="s">
        <v>143</v>
      </c>
      <c r="L369" s="5" t="s">
        <v>65</v>
      </c>
      <c r="M369" s="5" t="s">
        <v>33</v>
      </c>
    </row>
    <row r="370" customFormat="false" ht="15" hidden="false" customHeight="true" outlineLevel="0" collapsed="false">
      <c r="A370" s="3" t="s">
        <v>1260</v>
      </c>
      <c r="B370" s="3" t="s">
        <v>1261</v>
      </c>
      <c r="C370" s="3" t="s">
        <v>1246</v>
      </c>
      <c r="D370" s="3" t="s">
        <v>161</v>
      </c>
      <c r="E370" s="3" t="s">
        <v>108</v>
      </c>
      <c r="F370" s="3" t="s">
        <v>60</v>
      </c>
      <c r="G370" s="3" t="s">
        <v>61</v>
      </c>
      <c r="H370" s="3" t="n">
        <v>3</v>
      </c>
      <c r="I370" s="3" t="n">
        <v>1600</v>
      </c>
      <c r="J370" s="3" t="s">
        <v>112</v>
      </c>
      <c r="K370" s="3" t="s">
        <v>75</v>
      </c>
      <c r="L370" s="3" t="s">
        <v>114</v>
      </c>
      <c r="M370" s="3" t="s">
        <v>45</v>
      </c>
    </row>
    <row r="371" customFormat="false" ht="15" hidden="false" customHeight="true" outlineLevel="0" collapsed="false">
      <c r="A371" s="5" t="s">
        <v>1262</v>
      </c>
      <c r="B371" s="5" t="s">
        <v>1263</v>
      </c>
      <c r="C371" s="5" t="s">
        <v>168</v>
      </c>
      <c r="D371" s="5" t="s">
        <v>58</v>
      </c>
      <c r="E371" s="5" t="s">
        <v>130</v>
      </c>
      <c r="F371" s="5" t="s">
        <v>91</v>
      </c>
      <c r="G371" s="5" t="s">
        <v>226</v>
      </c>
      <c r="H371" s="5" t="s">
        <v>84</v>
      </c>
      <c r="I371" s="5" t="n">
        <v>54200</v>
      </c>
      <c r="J371" s="5" t="s">
        <v>248</v>
      </c>
      <c r="K371" s="5" t="s">
        <v>133</v>
      </c>
      <c r="L371" s="5" t="s">
        <v>21</v>
      </c>
      <c r="M371" s="5" t="s">
        <v>33</v>
      </c>
    </row>
    <row r="372" customFormat="false" ht="15" hidden="false" customHeight="true" outlineLevel="0" collapsed="false">
      <c r="A372" s="3" t="s">
        <v>1264</v>
      </c>
      <c r="B372" s="3" t="s">
        <v>1265</v>
      </c>
      <c r="C372" s="3" t="s">
        <v>729</v>
      </c>
      <c r="D372" s="3" t="s">
        <v>90</v>
      </c>
      <c r="E372" s="3" t="s">
        <v>49</v>
      </c>
      <c r="F372" s="3" t="s">
        <v>170</v>
      </c>
      <c r="G372" s="3" t="s">
        <v>238</v>
      </c>
      <c r="H372" s="3" t="s">
        <v>157</v>
      </c>
      <c r="I372" s="3"/>
      <c r="J372" s="3"/>
      <c r="K372" s="3" t="s">
        <v>95</v>
      </c>
      <c r="L372" s="3" t="s">
        <v>21</v>
      </c>
      <c r="M372" s="3" t="s">
        <v>45</v>
      </c>
    </row>
    <row r="373" customFormat="false" ht="15" hidden="false" customHeight="true" outlineLevel="0" collapsed="false">
      <c r="A373" s="5" t="s">
        <v>1266</v>
      </c>
      <c r="B373" s="5" t="s">
        <v>106</v>
      </c>
      <c r="C373" s="5" t="s">
        <v>1267</v>
      </c>
      <c r="D373" s="5" t="s">
        <v>69</v>
      </c>
      <c r="E373" s="5" t="s">
        <v>237</v>
      </c>
      <c r="F373" s="5" t="s">
        <v>123</v>
      </c>
      <c r="G373" s="5" t="s">
        <v>687</v>
      </c>
      <c r="H373" s="5" t="n">
        <v>3</v>
      </c>
      <c r="I373" s="5" t="n">
        <v>4100</v>
      </c>
      <c r="J373" s="5"/>
      <c r="K373" s="5" t="s">
        <v>31</v>
      </c>
      <c r="L373" s="5" t="s">
        <v>76</v>
      </c>
      <c r="M373" s="5" t="s">
        <v>45</v>
      </c>
    </row>
    <row r="374" customFormat="false" ht="15" hidden="false" customHeight="true" outlineLevel="0" collapsed="false">
      <c r="A374" s="3" t="s">
        <v>1268</v>
      </c>
      <c r="B374" s="3" t="s">
        <v>1269</v>
      </c>
      <c r="C374" s="3" t="s">
        <v>464</v>
      </c>
      <c r="D374" s="3" t="s">
        <v>80</v>
      </c>
      <c r="E374" s="3" t="s">
        <v>287</v>
      </c>
      <c r="F374" s="3" t="s">
        <v>39</v>
      </c>
      <c r="G374" s="3" t="s">
        <v>83</v>
      </c>
      <c r="H374" s="3" t="s">
        <v>206</v>
      </c>
      <c r="I374" s="3" t="s">
        <v>1270</v>
      </c>
      <c r="J374" s="3" t="s">
        <v>241</v>
      </c>
      <c r="K374" s="3" t="s">
        <v>365</v>
      </c>
      <c r="L374" s="3" t="s">
        <v>55</v>
      </c>
      <c r="M374" s="3" t="s">
        <v>412</v>
      </c>
    </row>
    <row r="375" customFormat="false" ht="15" hidden="false" customHeight="true" outlineLevel="0" collapsed="false">
      <c r="A375" s="5" t="s">
        <v>1271</v>
      </c>
      <c r="B375" s="5" t="s">
        <v>1272</v>
      </c>
      <c r="C375" s="5" t="s">
        <v>805</v>
      </c>
      <c r="D375" s="5" t="s">
        <v>161</v>
      </c>
      <c r="E375" s="5" t="s">
        <v>162</v>
      </c>
      <c r="F375" s="5" t="s">
        <v>60</v>
      </c>
      <c r="G375" s="5" t="s">
        <v>247</v>
      </c>
      <c r="H375" s="5" t="s">
        <v>52</v>
      </c>
      <c r="I375" s="5" t="s">
        <v>1273</v>
      </c>
      <c r="J375" s="5"/>
      <c r="K375" s="5" t="s">
        <v>95</v>
      </c>
      <c r="L375" s="5" t="s">
        <v>65</v>
      </c>
      <c r="M375" s="5" t="s">
        <v>242</v>
      </c>
    </row>
    <row r="376" customFormat="false" ht="15" hidden="false" customHeight="true" outlineLevel="0" collapsed="false">
      <c r="A376" s="3" t="s">
        <v>1274</v>
      </c>
      <c r="B376" s="4" t="n">
        <v>45772</v>
      </c>
      <c r="C376" s="3" t="s">
        <v>470</v>
      </c>
      <c r="D376" s="3" t="s">
        <v>80</v>
      </c>
      <c r="E376" s="3" t="s">
        <v>221</v>
      </c>
      <c r="F376" s="3"/>
      <c r="G376" s="3" t="s">
        <v>51</v>
      </c>
      <c r="H376" s="3" t="s">
        <v>655</v>
      </c>
      <c r="I376" s="3" t="n">
        <v>3800</v>
      </c>
      <c r="J376" s="3" t="s">
        <v>288</v>
      </c>
      <c r="K376" s="3" t="s">
        <v>54</v>
      </c>
      <c r="L376" s="3" t="s">
        <v>114</v>
      </c>
      <c r="M376" s="3" t="s">
        <v>22</v>
      </c>
    </row>
    <row r="377" customFormat="false" ht="15" hidden="false" customHeight="true" outlineLevel="0" collapsed="false">
      <c r="A377" s="5" t="s">
        <v>1275</v>
      </c>
      <c r="B377" s="5" t="s">
        <v>1276</v>
      </c>
      <c r="C377" s="5" t="s">
        <v>610</v>
      </c>
      <c r="D377" s="5" t="s">
        <v>98</v>
      </c>
      <c r="E377" s="5" t="s">
        <v>108</v>
      </c>
      <c r="F377" s="5" t="s">
        <v>147</v>
      </c>
      <c r="G377" s="5" t="s">
        <v>226</v>
      </c>
      <c r="H377" s="5" t="n">
        <v>7</v>
      </c>
      <c r="I377" s="5" t="s">
        <v>1277</v>
      </c>
      <c r="J377" s="5" t="s">
        <v>241</v>
      </c>
      <c r="K377" s="5" t="s">
        <v>150</v>
      </c>
      <c r="L377" s="5" t="s">
        <v>194</v>
      </c>
      <c r="M377" s="5" t="s">
        <v>45</v>
      </c>
    </row>
    <row r="378" customFormat="false" ht="15" hidden="false" customHeight="true" outlineLevel="0" collapsed="false">
      <c r="A378" s="3" t="s">
        <v>1278</v>
      </c>
      <c r="B378" s="3" t="s">
        <v>1279</v>
      </c>
      <c r="C378" s="3" t="s">
        <v>1246</v>
      </c>
      <c r="D378" s="3" t="s">
        <v>155</v>
      </c>
      <c r="E378" s="3" t="s">
        <v>221</v>
      </c>
      <c r="F378" s="3" t="s">
        <v>131</v>
      </c>
      <c r="G378" s="3" t="s">
        <v>51</v>
      </c>
      <c r="H378" s="3" t="s">
        <v>41</v>
      </c>
      <c r="I378" s="3" t="s">
        <v>1280</v>
      </c>
      <c r="J378" s="3" t="n">
        <v>0.05</v>
      </c>
      <c r="K378" s="3" t="s">
        <v>481</v>
      </c>
      <c r="L378" s="3" t="s">
        <v>194</v>
      </c>
      <c r="M378" s="3" t="s">
        <v>33</v>
      </c>
    </row>
    <row r="379" customFormat="false" ht="15" hidden="false" customHeight="true" outlineLevel="0" collapsed="false">
      <c r="A379" s="5" t="s">
        <v>1281</v>
      </c>
      <c r="B379" s="5" t="s">
        <v>1282</v>
      </c>
      <c r="C379" s="5" t="s">
        <v>196</v>
      </c>
      <c r="D379" s="5" t="s">
        <v>155</v>
      </c>
      <c r="E379" s="5" t="s">
        <v>81</v>
      </c>
      <c r="F379" s="5" t="s">
        <v>170</v>
      </c>
      <c r="G379" s="5" t="s">
        <v>475</v>
      </c>
      <c r="H379" s="5" t="s">
        <v>41</v>
      </c>
      <c r="I379" s="5" t="s">
        <v>1283</v>
      </c>
      <c r="J379" s="5" t="n">
        <v>0.1</v>
      </c>
      <c r="K379" s="5" t="s">
        <v>64</v>
      </c>
      <c r="L379" s="5" t="s">
        <v>96</v>
      </c>
      <c r="M379" s="5" t="s">
        <v>22</v>
      </c>
    </row>
    <row r="380" customFormat="false" ht="15" hidden="false" customHeight="true" outlineLevel="0" collapsed="false">
      <c r="A380" s="3" t="s">
        <v>1284</v>
      </c>
      <c r="B380" s="3" t="s">
        <v>135</v>
      </c>
      <c r="C380" s="3" t="s">
        <v>1285</v>
      </c>
      <c r="D380" s="3" t="s">
        <v>80</v>
      </c>
      <c r="E380" s="3" t="s">
        <v>221</v>
      </c>
      <c r="F380" s="3" t="s">
        <v>82</v>
      </c>
      <c r="G380" s="3" t="s">
        <v>1053</v>
      </c>
      <c r="H380" s="3" t="n">
        <v>4</v>
      </c>
      <c r="I380" s="3" t="s">
        <v>1286</v>
      </c>
      <c r="J380" s="3" t="s">
        <v>63</v>
      </c>
      <c r="K380" s="3" t="s">
        <v>75</v>
      </c>
      <c r="L380" s="3" t="s">
        <v>398</v>
      </c>
      <c r="M380" s="3" t="s">
        <v>33</v>
      </c>
    </row>
    <row r="381" customFormat="false" ht="15" hidden="false" customHeight="true" outlineLevel="0" collapsed="false">
      <c r="A381" s="5" t="s">
        <v>1287</v>
      </c>
      <c r="B381" s="6" t="n">
        <v>45761</v>
      </c>
      <c r="C381" s="5" t="s">
        <v>920</v>
      </c>
      <c r="D381" s="5"/>
      <c r="E381" s="5" t="s">
        <v>905</v>
      </c>
      <c r="F381" s="5" t="s">
        <v>308</v>
      </c>
      <c r="G381" s="5" t="s">
        <v>309</v>
      </c>
      <c r="H381" s="5" t="n">
        <v>8</v>
      </c>
      <c r="I381" s="5" t="s">
        <v>1288</v>
      </c>
      <c r="J381" s="5" t="n">
        <v>0.15</v>
      </c>
      <c r="K381" s="5" t="s">
        <v>481</v>
      </c>
      <c r="L381" s="5" t="s">
        <v>76</v>
      </c>
      <c r="M381" s="5" t="s">
        <v>33</v>
      </c>
    </row>
    <row r="382" customFormat="false" ht="15" hidden="false" customHeight="true" outlineLevel="0" collapsed="false">
      <c r="A382" s="3" t="s">
        <v>1289</v>
      </c>
      <c r="B382" s="4" t="n">
        <v>45745</v>
      </c>
      <c r="C382" s="3"/>
      <c r="D382" s="3" t="s">
        <v>26</v>
      </c>
      <c r="E382" s="3" t="s">
        <v>27</v>
      </c>
      <c r="F382" s="3" t="s">
        <v>204</v>
      </c>
      <c r="G382" s="3" t="s">
        <v>433</v>
      </c>
      <c r="H382" s="3" t="s">
        <v>239</v>
      </c>
      <c r="I382" s="3" t="s">
        <v>314</v>
      </c>
      <c r="J382" s="3" t="s">
        <v>188</v>
      </c>
      <c r="K382" s="3" t="s">
        <v>173</v>
      </c>
      <c r="L382" s="3" t="s">
        <v>44</v>
      </c>
      <c r="M382" s="3" t="s">
        <v>22</v>
      </c>
    </row>
    <row r="383" customFormat="false" ht="15" hidden="false" customHeight="true" outlineLevel="0" collapsed="false">
      <c r="A383" s="5" t="s">
        <v>1290</v>
      </c>
      <c r="B383" s="5" t="s">
        <v>1291</v>
      </c>
      <c r="C383" s="5" t="s">
        <v>375</v>
      </c>
      <c r="D383" s="5" t="s">
        <v>58</v>
      </c>
      <c r="E383" s="5" t="s">
        <v>246</v>
      </c>
      <c r="F383" s="5" t="s">
        <v>141</v>
      </c>
      <c r="G383" s="5" t="s">
        <v>505</v>
      </c>
      <c r="H383" s="5" t="n">
        <v>6</v>
      </c>
      <c r="I383" s="5" t="s">
        <v>142</v>
      </c>
      <c r="J383" s="5" t="n">
        <v>0.05</v>
      </c>
      <c r="K383" s="5" t="s">
        <v>289</v>
      </c>
      <c r="L383" s="5" t="s">
        <v>194</v>
      </c>
      <c r="M383" s="5" t="s">
        <v>87</v>
      </c>
    </row>
    <row r="384" customFormat="false" ht="15" hidden="false" customHeight="true" outlineLevel="0" collapsed="false">
      <c r="A384" s="3" t="s">
        <v>1292</v>
      </c>
      <c r="B384" s="3" t="s">
        <v>1293</v>
      </c>
      <c r="C384" s="3" t="s">
        <v>1294</v>
      </c>
      <c r="D384" s="3" t="s">
        <v>155</v>
      </c>
      <c r="E384" s="3" t="s">
        <v>1065</v>
      </c>
      <c r="F384" s="3" t="s">
        <v>91</v>
      </c>
      <c r="G384" s="3" t="s">
        <v>753</v>
      </c>
      <c r="H384" s="3" t="n">
        <v>1</v>
      </c>
      <c r="I384" s="3" t="s">
        <v>1295</v>
      </c>
      <c r="J384" s="3" t="s">
        <v>178</v>
      </c>
      <c r="K384" s="3" t="s">
        <v>150</v>
      </c>
      <c r="L384" s="3" t="s">
        <v>151</v>
      </c>
      <c r="M384" s="3" t="s">
        <v>467</v>
      </c>
    </row>
    <row r="385" customFormat="false" ht="15" hidden="false" customHeight="true" outlineLevel="0" collapsed="false">
      <c r="A385" s="5" t="s">
        <v>1296</v>
      </c>
      <c r="B385" s="5" t="s">
        <v>601</v>
      </c>
      <c r="C385" s="5"/>
      <c r="D385" s="5" t="s">
        <v>122</v>
      </c>
      <c r="E385" s="5" t="s">
        <v>99</v>
      </c>
      <c r="F385" s="5" t="s">
        <v>28</v>
      </c>
      <c r="G385" s="5" t="s">
        <v>1297</v>
      </c>
      <c r="H385" s="5" t="s">
        <v>111</v>
      </c>
      <c r="I385" s="5" t="s">
        <v>1298</v>
      </c>
      <c r="J385" s="5" t="s">
        <v>241</v>
      </c>
      <c r="K385" s="5" t="s">
        <v>113</v>
      </c>
      <c r="L385" s="5" t="s">
        <v>21</v>
      </c>
      <c r="M385" s="5" t="s">
        <v>87</v>
      </c>
    </row>
    <row r="386" customFormat="false" ht="15" hidden="false" customHeight="true" outlineLevel="0" collapsed="false">
      <c r="A386" s="3" t="s">
        <v>1299</v>
      </c>
      <c r="B386" s="4" t="n">
        <v>45811</v>
      </c>
      <c r="C386" s="3" t="s">
        <v>1300</v>
      </c>
      <c r="D386" s="3" t="s">
        <v>155</v>
      </c>
      <c r="E386" s="3" t="s">
        <v>99</v>
      </c>
      <c r="F386" s="3" t="s">
        <v>60</v>
      </c>
      <c r="G386" s="3" t="s">
        <v>61</v>
      </c>
      <c r="H386" s="3" t="s">
        <v>52</v>
      </c>
      <c r="I386" s="3"/>
      <c r="J386" s="3" t="s">
        <v>94</v>
      </c>
      <c r="K386" s="3" t="s">
        <v>31</v>
      </c>
      <c r="L386" s="3" t="s">
        <v>65</v>
      </c>
      <c r="M386" s="3" t="s">
        <v>412</v>
      </c>
    </row>
    <row r="387" customFormat="false" ht="15" hidden="false" customHeight="true" outlineLevel="0" collapsed="false">
      <c r="A387" s="5" t="s">
        <v>1301</v>
      </c>
      <c r="B387" s="5" t="s">
        <v>1302</v>
      </c>
      <c r="C387" s="5" t="s">
        <v>920</v>
      </c>
      <c r="D387" s="5" t="s">
        <v>122</v>
      </c>
      <c r="E387" s="5"/>
      <c r="F387" s="5" t="s">
        <v>131</v>
      </c>
      <c r="G387" s="5" t="s">
        <v>51</v>
      </c>
      <c r="H387" s="5" t="n">
        <v>2</v>
      </c>
      <c r="I387" s="5" t="n">
        <v>3950</v>
      </c>
      <c r="J387" s="5" t="s">
        <v>94</v>
      </c>
      <c r="K387" s="5"/>
      <c r="L387" s="5" t="s">
        <v>21</v>
      </c>
      <c r="M387" s="5" t="s">
        <v>45</v>
      </c>
    </row>
    <row r="388" customFormat="false" ht="15" hidden="false" customHeight="true" outlineLevel="0" collapsed="false">
      <c r="A388" s="3" t="s">
        <v>421</v>
      </c>
      <c r="B388" s="3" t="s">
        <v>1303</v>
      </c>
      <c r="C388" s="3" t="s">
        <v>423</v>
      </c>
      <c r="D388" s="3" t="s">
        <v>37</v>
      </c>
      <c r="E388" s="3" t="s">
        <v>49</v>
      </c>
      <c r="F388" s="3" t="s">
        <v>380</v>
      </c>
      <c r="G388" s="3" t="s">
        <v>520</v>
      </c>
      <c r="H388" s="3" t="s">
        <v>111</v>
      </c>
      <c r="I388" s="3" t="s">
        <v>425</v>
      </c>
      <c r="J388" s="3" t="s">
        <v>112</v>
      </c>
      <c r="K388" s="3" t="s">
        <v>150</v>
      </c>
      <c r="L388" s="3" t="s">
        <v>114</v>
      </c>
      <c r="M388" s="3" t="s">
        <v>87</v>
      </c>
    </row>
    <row r="389" customFormat="false" ht="15" hidden="false" customHeight="true" outlineLevel="0" collapsed="false">
      <c r="A389" s="5" t="s">
        <v>1304</v>
      </c>
      <c r="B389" s="5" t="s">
        <v>834</v>
      </c>
      <c r="C389" s="5" t="s">
        <v>551</v>
      </c>
      <c r="D389" s="5" t="s">
        <v>90</v>
      </c>
      <c r="E389" s="5" t="s">
        <v>49</v>
      </c>
      <c r="F389" s="5" t="s">
        <v>300</v>
      </c>
      <c r="G389" s="5" t="s">
        <v>336</v>
      </c>
      <c r="H389" s="5"/>
      <c r="I389" s="5" t="s">
        <v>1305</v>
      </c>
      <c r="J389" s="5" t="n">
        <v>0</v>
      </c>
      <c r="K389" s="5" t="s">
        <v>64</v>
      </c>
      <c r="L389" s="5" t="s">
        <v>103</v>
      </c>
      <c r="M389" s="5" t="s">
        <v>33</v>
      </c>
    </row>
    <row r="390" customFormat="false" ht="15" hidden="false" customHeight="true" outlineLevel="0" collapsed="false">
      <c r="A390" s="3" t="s">
        <v>1306</v>
      </c>
      <c r="B390" s="4" t="n">
        <v>45705</v>
      </c>
      <c r="C390" s="3" t="s">
        <v>1246</v>
      </c>
      <c r="D390" s="3" t="s">
        <v>647</v>
      </c>
      <c r="E390" s="3" t="s">
        <v>583</v>
      </c>
      <c r="F390" s="3" t="s">
        <v>170</v>
      </c>
      <c r="G390" s="3" t="s">
        <v>301</v>
      </c>
      <c r="H390" s="3" t="s">
        <v>111</v>
      </c>
      <c r="I390" s="3" t="s">
        <v>1307</v>
      </c>
      <c r="J390" s="3" t="n">
        <v>0</v>
      </c>
      <c r="K390" s="3" t="s">
        <v>113</v>
      </c>
      <c r="L390" s="3" t="s">
        <v>44</v>
      </c>
      <c r="M390" s="3" t="s">
        <v>33</v>
      </c>
    </row>
    <row r="391" customFormat="false" ht="15" hidden="false" customHeight="true" outlineLevel="0" collapsed="false">
      <c r="A391" s="5" t="s">
        <v>1160</v>
      </c>
      <c r="B391" s="5" t="s">
        <v>1161</v>
      </c>
      <c r="C391" s="5" t="s">
        <v>664</v>
      </c>
      <c r="D391" s="5" t="s">
        <v>80</v>
      </c>
      <c r="E391" s="5" t="s">
        <v>81</v>
      </c>
      <c r="F391" s="5" t="s">
        <v>50</v>
      </c>
      <c r="G391" s="5" t="s">
        <v>156</v>
      </c>
      <c r="H391" s="5"/>
      <c r="I391" s="5" t="s">
        <v>1162</v>
      </c>
      <c r="J391" s="5"/>
      <c r="K391" s="5" t="s">
        <v>95</v>
      </c>
      <c r="L391" s="5" t="s">
        <v>21</v>
      </c>
      <c r="M391" s="5" t="s">
        <v>33</v>
      </c>
    </row>
    <row r="392" customFormat="false" ht="15" hidden="false" customHeight="true" outlineLevel="0" collapsed="false">
      <c r="A392" s="3" t="s">
        <v>1308</v>
      </c>
      <c r="B392" s="4" t="n">
        <v>45750</v>
      </c>
      <c r="C392" s="3" t="s">
        <v>645</v>
      </c>
      <c r="D392" s="3" t="s">
        <v>471</v>
      </c>
      <c r="E392" s="3" t="s">
        <v>648</v>
      </c>
      <c r="F392" s="3" t="s">
        <v>380</v>
      </c>
      <c r="G392" s="3" t="s">
        <v>520</v>
      </c>
      <c r="H392" s="3" t="s">
        <v>178</v>
      </c>
      <c r="I392" s="3" t="s">
        <v>760</v>
      </c>
      <c r="J392" s="3" t="s">
        <v>241</v>
      </c>
      <c r="K392" s="3" t="s">
        <v>150</v>
      </c>
      <c r="L392" s="3" t="s">
        <v>215</v>
      </c>
      <c r="M392" s="3" t="s">
        <v>22</v>
      </c>
    </row>
    <row r="393" customFormat="false" ht="15" hidden="false" customHeight="true" outlineLevel="0" collapsed="false">
      <c r="A393" s="5" t="s">
        <v>1309</v>
      </c>
      <c r="B393" s="5" t="s">
        <v>1310</v>
      </c>
      <c r="C393" s="5" t="s">
        <v>593</v>
      </c>
      <c r="D393" s="5" t="s">
        <v>155</v>
      </c>
      <c r="E393" s="5" t="s">
        <v>99</v>
      </c>
      <c r="F393" s="5" t="s">
        <v>50</v>
      </c>
      <c r="G393" s="5" t="s">
        <v>1311</v>
      </c>
      <c r="H393" s="5" t="s">
        <v>178</v>
      </c>
      <c r="I393" s="5" t="s">
        <v>1312</v>
      </c>
      <c r="J393" s="5"/>
      <c r="K393" s="5" t="s">
        <v>372</v>
      </c>
      <c r="L393" s="5" t="s">
        <v>21</v>
      </c>
      <c r="M393" s="5" t="s">
        <v>33</v>
      </c>
    </row>
    <row r="394" customFormat="false" ht="15" hidden="false" customHeight="true" outlineLevel="0" collapsed="false">
      <c r="A394" s="3" t="s">
        <v>1313</v>
      </c>
      <c r="B394" s="4" t="n">
        <v>45742</v>
      </c>
      <c r="C394" s="3" t="s">
        <v>686</v>
      </c>
      <c r="D394" s="3" t="s">
        <v>161</v>
      </c>
      <c r="E394" s="3" t="s">
        <v>197</v>
      </c>
      <c r="F394" s="3" t="s">
        <v>170</v>
      </c>
      <c r="G394" s="3" t="s">
        <v>475</v>
      </c>
      <c r="H394" s="3" t="n">
        <v>6</v>
      </c>
      <c r="I394" s="3" t="s">
        <v>1314</v>
      </c>
      <c r="J394" s="3" t="n">
        <v>0</v>
      </c>
      <c r="K394" s="3" t="s">
        <v>446</v>
      </c>
      <c r="L394" s="3" t="s">
        <v>21</v>
      </c>
      <c r="M394" s="3" t="s">
        <v>45</v>
      </c>
    </row>
    <row r="395" customFormat="false" ht="15" hidden="false" customHeight="true" outlineLevel="0" collapsed="false">
      <c r="A395" s="5" t="s">
        <v>1315</v>
      </c>
      <c r="B395" s="6" t="n">
        <v>45768</v>
      </c>
      <c r="C395" s="5" t="s">
        <v>276</v>
      </c>
      <c r="D395" s="5" t="s">
        <v>122</v>
      </c>
      <c r="E395" s="5" t="s">
        <v>108</v>
      </c>
      <c r="F395" s="5" t="s">
        <v>204</v>
      </c>
      <c r="G395" s="5" t="s">
        <v>283</v>
      </c>
      <c r="H395" s="5" t="s">
        <v>465</v>
      </c>
      <c r="I395" s="5" t="s">
        <v>1316</v>
      </c>
      <c r="J395" s="5" t="s">
        <v>74</v>
      </c>
      <c r="K395" s="5" t="s">
        <v>64</v>
      </c>
      <c r="L395" s="5" t="s">
        <v>114</v>
      </c>
      <c r="M395" s="5" t="s">
        <v>22</v>
      </c>
    </row>
    <row r="396" customFormat="false" ht="15" hidden="false" customHeight="true" outlineLevel="0" collapsed="false">
      <c r="A396" s="3" t="s">
        <v>1317</v>
      </c>
      <c r="B396" s="4" t="n">
        <v>45914</v>
      </c>
      <c r="C396" s="3" t="s">
        <v>160</v>
      </c>
      <c r="D396" s="3" t="s">
        <v>26</v>
      </c>
      <c r="E396" s="3" t="s">
        <v>1318</v>
      </c>
      <c r="F396" s="3" t="s">
        <v>28</v>
      </c>
      <c r="G396" s="3" t="s">
        <v>226</v>
      </c>
      <c r="H396" s="3" t="n">
        <v>4</v>
      </c>
      <c r="I396" s="3" t="s">
        <v>1319</v>
      </c>
      <c r="J396" s="3" t="s">
        <v>94</v>
      </c>
      <c r="K396" s="3" t="s">
        <v>75</v>
      </c>
      <c r="L396" s="3" t="s">
        <v>194</v>
      </c>
      <c r="M396" s="3" t="s">
        <v>87</v>
      </c>
    </row>
    <row r="397" customFormat="false" ht="15" hidden="false" customHeight="true" outlineLevel="0" collapsed="false">
      <c r="A397" s="5" t="s">
        <v>1320</v>
      </c>
      <c r="B397" s="5" t="s">
        <v>1321</v>
      </c>
      <c r="C397" s="5" t="s">
        <v>276</v>
      </c>
      <c r="D397" s="5" t="s">
        <v>169</v>
      </c>
      <c r="E397" s="5" t="s">
        <v>49</v>
      </c>
      <c r="F397" s="5" t="s">
        <v>261</v>
      </c>
      <c r="G397" s="5" t="s">
        <v>367</v>
      </c>
      <c r="H397" s="5" t="s">
        <v>295</v>
      </c>
      <c r="I397" s="5" t="n">
        <v>4300</v>
      </c>
      <c r="J397" s="5" t="s">
        <v>337</v>
      </c>
      <c r="K397" s="5" t="s">
        <v>500</v>
      </c>
      <c r="L397" s="5" t="s">
        <v>32</v>
      </c>
      <c r="M397" s="5" t="s">
        <v>45</v>
      </c>
    </row>
    <row r="398" customFormat="false" ht="15" hidden="false" customHeight="true" outlineLevel="0" collapsed="false">
      <c r="A398" s="3" t="s">
        <v>1322</v>
      </c>
      <c r="B398" s="3" t="s">
        <v>1323</v>
      </c>
      <c r="C398" s="3" t="s">
        <v>1324</v>
      </c>
      <c r="D398" s="3" t="s">
        <v>169</v>
      </c>
      <c r="E398" s="3" t="s">
        <v>38</v>
      </c>
      <c r="F398" s="3" t="s">
        <v>163</v>
      </c>
      <c r="G398" s="3" t="s">
        <v>247</v>
      </c>
      <c r="H398" s="3" t="s">
        <v>84</v>
      </c>
      <c r="I398" s="3" t="s">
        <v>296</v>
      </c>
      <c r="J398" s="3" t="n">
        <v>0.15</v>
      </c>
      <c r="K398" s="3" t="s">
        <v>165</v>
      </c>
      <c r="L398" s="3" t="s">
        <v>76</v>
      </c>
      <c r="M398" s="3" t="s">
        <v>22</v>
      </c>
    </row>
    <row r="399" customFormat="false" ht="15" hidden="false" customHeight="true" outlineLevel="0" collapsed="false">
      <c r="A399" s="5" t="s">
        <v>1325</v>
      </c>
      <c r="B399" s="5"/>
      <c r="C399" s="5" t="s">
        <v>1222</v>
      </c>
      <c r="D399" s="5" t="s">
        <v>80</v>
      </c>
      <c r="E399" s="5" t="s">
        <v>108</v>
      </c>
      <c r="F399" s="5" t="s">
        <v>163</v>
      </c>
      <c r="G399" s="5" t="s">
        <v>247</v>
      </c>
      <c r="H399" s="5" t="s">
        <v>878</v>
      </c>
      <c r="I399" s="5" t="s">
        <v>1273</v>
      </c>
      <c r="J399" s="5" t="s">
        <v>486</v>
      </c>
      <c r="K399" s="5" t="s">
        <v>386</v>
      </c>
      <c r="L399" s="5" t="s">
        <v>44</v>
      </c>
      <c r="M399" s="5" t="s">
        <v>152</v>
      </c>
    </row>
    <row r="400" customFormat="false" ht="15" hidden="false" customHeight="true" outlineLevel="0" collapsed="false">
      <c r="A400" s="3" t="s">
        <v>1326</v>
      </c>
      <c r="B400" s="3" t="s">
        <v>1327</v>
      </c>
      <c r="C400" s="3" t="s">
        <v>464</v>
      </c>
      <c r="D400" s="3" t="s">
        <v>155</v>
      </c>
      <c r="E400" s="3" t="s">
        <v>352</v>
      </c>
      <c r="F400" s="3" t="s">
        <v>261</v>
      </c>
      <c r="G400" s="3" t="s">
        <v>687</v>
      </c>
      <c r="H400" s="3" t="n">
        <v>8</v>
      </c>
      <c r="I400" s="3" t="s">
        <v>1328</v>
      </c>
      <c r="J400" s="3"/>
      <c r="K400" s="3" t="s">
        <v>386</v>
      </c>
      <c r="L400" s="3" t="s">
        <v>55</v>
      </c>
      <c r="M400" s="3" t="s">
        <v>33</v>
      </c>
    </row>
    <row r="401" customFormat="false" ht="15" hidden="false" customHeight="true" outlineLevel="0" collapsed="false">
      <c r="A401" s="5" t="s">
        <v>1329</v>
      </c>
      <c r="B401" s="6" t="n">
        <v>45723</v>
      </c>
      <c r="C401" s="5"/>
      <c r="D401" s="5" t="s">
        <v>161</v>
      </c>
      <c r="E401" s="5" t="s">
        <v>221</v>
      </c>
      <c r="F401" s="5" t="s">
        <v>308</v>
      </c>
      <c r="G401" s="5" t="s">
        <v>198</v>
      </c>
      <c r="H401" s="5" t="s">
        <v>111</v>
      </c>
      <c r="I401" s="5" t="s">
        <v>1330</v>
      </c>
      <c r="J401" s="5" t="s">
        <v>63</v>
      </c>
      <c r="K401" s="5" t="s">
        <v>95</v>
      </c>
      <c r="L401" s="5" t="s">
        <v>76</v>
      </c>
      <c r="M401" s="5" t="s">
        <v>33</v>
      </c>
    </row>
  </sheetData>
  <autoFilter ref="A1:M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B"/>
    <pageSetUpPr fitToPage="false"/>
  </sheetPr>
  <dimension ref="A1:S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25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1" min="11" style="1" width="18"/>
    <col collapsed="false" customWidth="true" hidden="false" outlineLevel="0" max="12" min="12" style="1" width="15"/>
    <col collapsed="false" customWidth="true" hidden="false" outlineLevel="0" max="13" min="13" style="1" width="13"/>
    <col collapsed="false" customWidth="true" hidden="false" outlineLevel="0" max="14" min="14" style="1" width="16"/>
    <col collapsed="false" customWidth="true" hidden="false" outlineLevel="0" max="15" min="15" style="1" width="18"/>
    <col collapsed="false" customWidth="true" hidden="false" outlineLevel="0" max="16" min="16" style="1" width="17"/>
    <col collapsed="false" customWidth="true" hidden="false" outlineLevel="0" max="17" min="17" style="1" width="12"/>
    <col collapsed="false" customWidth="true" hidden="false" outlineLevel="0" max="18" min="18" style="1" width="19"/>
    <col collapsed="false" customWidth="true" hidden="false" outlineLevel="0" max="19" min="19" style="1" width="32"/>
  </cols>
  <sheetData>
    <row r="1" customFormat="false" ht="31.5" hidden="false" customHeight="true" outlineLevel="0" collapsed="false">
      <c r="A1" s="7" t="s">
        <v>1331</v>
      </c>
      <c r="B1" s="7" t="s">
        <v>1332</v>
      </c>
      <c r="C1" s="7" t="s">
        <v>1333</v>
      </c>
      <c r="D1" s="7" t="s">
        <v>1334</v>
      </c>
      <c r="E1" s="7" t="s">
        <v>1335</v>
      </c>
      <c r="F1" s="7" t="s">
        <v>5</v>
      </c>
      <c r="G1" s="7" t="s">
        <v>1336</v>
      </c>
      <c r="H1" s="7" t="s">
        <v>1337</v>
      </c>
      <c r="I1" s="7" t="s">
        <v>1338</v>
      </c>
      <c r="J1" s="7" t="s">
        <v>1339</v>
      </c>
      <c r="K1" s="7" t="s">
        <v>1340</v>
      </c>
      <c r="L1" s="7" t="s">
        <v>1341</v>
      </c>
      <c r="M1" s="7" t="s">
        <v>1342</v>
      </c>
      <c r="N1" s="8" t="s">
        <v>1343</v>
      </c>
      <c r="O1" s="8" t="s">
        <v>1344</v>
      </c>
      <c r="P1" s="8" t="s">
        <v>1345</v>
      </c>
      <c r="Q1" s="8" t="s">
        <v>1346</v>
      </c>
      <c r="R1" s="8" t="s">
        <v>1347</v>
      </c>
      <c r="S1" s="8" t="s">
        <v>1348</v>
      </c>
    </row>
    <row r="2" customFormat="false" ht="15" hidden="false" customHeight="true" outlineLevel="0" collapsed="false">
      <c r="A2" s="9" t="str">
        <f aca="false">UPPER(TRIM(Raw_Data!A2))</f>
        <v>ORD-1001</v>
      </c>
      <c r="B2" s="10" t="n">
        <f aca="false">IFERROR(IF(ISNUMBER(Raw_Data!B2),Raw_Data!B2,IF(ISNUMBER(FIND("/",Raw_Data!B2)),DATE(VALUE(RIGHT(TRIM(Raw_Data!B2),4)),VALUE(MID(TRIM(Raw_Data!B2),4,2)),VALUE(LEFT(TRIM(Raw_Data!B2),2))),IF(MID(TRIM(Raw_Data!B2),5,1)="-",DATE(VALUE(LEFT(TRIM(Raw_Data!B2),4)),VALUE(MID(TRIM(Raw_Data!B2),6,2)),VALUE(RIGHT(TRIM(Raw_Data!B2),2))),DATE(VALUE(RIGHT(TRIM(Raw_Data!B2),4)),MATCH(MID(TRIM(Raw_Data!B2),4,3),{"Jan","Feb","Mar","Apr","May","Jun","Jul","Aug","Sep","Oct","Nov","Dec"},0),VALUE(LEFT(TRIM(Raw_Data!B2),2)))))),"")</f>
        <v>45716</v>
      </c>
      <c r="C2" s="9" t="str">
        <f aca="false">IF(TRIM(Raw_Data!C2)="","Unknown",PROPER(TRIM(Raw_Data!C2)))</f>
        <v>Fatima Mirza</v>
      </c>
      <c r="D2" s="9" t="str">
        <f aca="false">IFERROR(INDEX({"Punjab","Sindh","KPK","Balochistan"},MATCH(UPPER(LEFT(TRIM(Raw_Data!D2),1)),{"P","S","K","B"},0)),IFERROR(INDEX(Data_Dictionary!$G$4:$G$16,MATCH(E2,Data_Dictionary!$F$4:$F$16,0)),"Unassigned"))</f>
        <v>KPK</v>
      </c>
      <c r="E2" s="9" t="str">
        <f aca="false">IF(TRIM(Raw_Data!E2)="","Unknown",PROPER(TRIM(Raw_Data!E2)))</f>
        <v>Peshawar</v>
      </c>
      <c r="F2" s="9" t="str">
        <f aca="false">IFERROR(INDEX({"Electronics","Home &amp; Kitchen","Clothing","Groceries","Beauty"},MATCH(UPPER(LEFT(TRIM(Raw_Data!F2),3)),{"ELE","HOM","CLO","GRO","BEA"},0)),"Uncategorised")</f>
        <v>Beauty</v>
      </c>
      <c r="G2" s="9" t="str">
        <f aca="false">IF(TRIM(Raw_Data!G2)="","Unknown",PROPER(TRIM(Raw_Data!G2)))</f>
        <v>Hair Dryer</v>
      </c>
      <c r="H2" s="11" t="n">
        <f aca="false">IFERROR(ABS(VALUE(TRIM(Raw_Data!H2))),"")</f>
        <v>2</v>
      </c>
      <c r="I2" s="12" t="n">
        <f aca="false">IFERROR(VALUE(TRIM(SUBSTITUTE(SUBSTITUTE(SUBSTITUTE(SUBSTITUTE(TRIM(Raw_Data!I2),"PKR",""),"Rs.",""),"Rs",""),",",""))),"")</f>
        <v>4050</v>
      </c>
      <c r="J2" s="13" t="n">
        <f aca="false">IFERROR(IF(TRIM(Raw_Data!J2)="",0,IF(VALUE(TRIM(Raw_Data!J2))&gt;1,VALUE(TRIM(Raw_Data!J2))/100,VALUE(TRIM(Raw_Data!J2)))),0)</f>
        <v>0</v>
      </c>
      <c r="K2" s="9" t="str">
        <f aca="false">IF(TRIM(Raw_Data!K2)="","Unassigned",PROPER(TRIM(Raw_Data!K2)))</f>
        <v>Nimra Aslam</v>
      </c>
      <c r="L2" s="9" t="str">
        <f aca="false">IFERROR(INDEX({"Credit Card","Credit Card","Debit Card","Debit Card","Cash","PayPal"},MATCH(UPPER(LEFT(TRIM(Raw_Data!L2),2)),{"CR","CC","DE","DC","CA","PA"},0)),"Other")</f>
        <v>Cash</v>
      </c>
      <c r="M2" s="9" t="str">
        <f aca="false">IFERROR(INDEX({"Completed","Returned","Cancelled","Pending"},MATCH(UPPER(LEFT(TRIM(Raw_Data!M2),3)),{"COM","RET","CAN","PEN"},0)),"Unknown")</f>
        <v>Completed</v>
      </c>
      <c r="N2" s="14" t="n">
        <f aca="false">IF(OR(H2="",I2=""),"",H2*I2)</f>
        <v>8100</v>
      </c>
      <c r="O2" s="14" t="n">
        <f aca="false">IF(N2="","",N2*J2)</f>
        <v>0</v>
      </c>
      <c r="P2" s="14" t="n">
        <f aca="false">IF(N2="","",N2-O2)</f>
        <v>8100</v>
      </c>
      <c r="Q2" s="15" t="n">
        <f aca="false">IF(B2="","",DATE(YEAR(B2),MONTH(B2),1))</f>
        <v>45689</v>
      </c>
      <c r="R2" s="16" t="str">
        <f aca="false">IF(A2="","Invalid - Exclude",IF(COUNTIF($A$2:A2,A2)&gt;1,"Duplicate - Exclude",IF(OR(B2="",H2="",I2=""),"Invalid - Exclude","Valid")))</f>
        <v>Valid</v>
      </c>
      <c r="S2" s="16" t="str">
        <f aca="false">IF(R2="Valid","",IF(R2="Duplicate - Exclude","Repeat of an earlier Order ID",IF(B2="","Date missing or unreadable",IF(H2="","Quantity missing or unreadable",IF(I2="","Unit price missing or unreadable","Order ID missing")))))</f>
        <v/>
      </c>
    </row>
    <row r="3" customFormat="false" ht="15" hidden="false" customHeight="true" outlineLevel="0" collapsed="false">
      <c r="A3" s="17" t="str">
        <f aca="false">UPPER(TRIM(Raw_Data!A3))</f>
        <v>ORD-1002</v>
      </c>
      <c r="B3" s="18" t="n">
        <f aca="false">IFERROR(IF(ISNUMBER(Raw_Data!B3),Raw_Data!B3,IF(ISNUMBER(FIND("/",Raw_Data!B3)),DATE(VALUE(RIGHT(TRIM(Raw_Data!B3),4)),VALUE(MID(TRIM(Raw_Data!B3),4,2)),VALUE(LEFT(TRIM(Raw_Data!B3),2))),IF(MID(TRIM(Raw_Data!B3),5,1)="-",DATE(VALUE(LEFT(TRIM(Raw_Data!B3),4)),VALUE(MID(TRIM(Raw_Data!B3),6,2)),VALUE(RIGHT(TRIM(Raw_Data!B3),2))),DATE(VALUE(RIGHT(TRIM(Raw_Data!B3),4)),MATCH(MID(TRIM(Raw_Data!B3),4,3),{"Jan","Feb","Mar","Apr","May","Jun","Jul","Aug","Sep","Oct","Nov","Dec"},0),VALUE(LEFT(TRIM(Raw_Data!B3),2)))))),"")</f>
        <v>45972</v>
      </c>
      <c r="C3" s="17" t="str">
        <f aca="false">IF(TRIM(Raw_Data!C3)="","Unknown",PROPER(TRIM(Raw_Data!C3)))</f>
        <v>Bilal Qureshi</v>
      </c>
      <c r="D3" s="17" t="str">
        <f aca="false">IFERROR(INDEX({"Punjab","Sindh","KPK","Balochistan"},MATCH(UPPER(LEFT(TRIM(Raw_Data!D3),1)),{"P","S","K","B"},0)),IFERROR(INDEX(Data_Dictionary!$G$4:$G$16,MATCH(E3,Data_Dictionary!$F$4:$F$16,0)),"Unassigned"))</f>
        <v>Sindh</v>
      </c>
      <c r="E3" s="17" t="str">
        <f aca="false">IF(TRIM(Raw_Data!E3)="","Unknown",PROPER(TRIM(Raw_Data!E3)))</f>
        <v>Karachi</v>
      </c>
      <c r="F3" s="17" t="str">
        <f aca="false">IFERROR(INDEX({"Electronics","Home &amp; Kitchen","Clothing","Groceries","Beauty"},MATCH(UPPER(LEFT(TRIM(Raw_Data!F3),3)),{"ELE","HOM","CLO","GRO","BEA"},0)),"Uncategorised")</f>
        <v>Electronics</v>
      </c>
      <c r="G3" s="17" t="str">
        <f aca="false">IF(TRIM(Raw_Data!G3)="","Unknown",PROPER(TRIM(Raw_Data!G3)))</f>
        <v>Bluetooth Speaker</v>
      </c>
      <c r="H3" s="19" t="n">
        <f aca="false">IFERROR(ABS(VALUE(TRIM(Raw_Data!H3))),"")</f>
        <v>6</v>
      </c>
      <c r="I3" s="20" t="n">
        <f aca="false">IFERROR(VALUE(TRIM(SUBSTITUTE(SUBSTITUTE(SUBSTITUTE(SUBSTITUTE(TRIM(Raw_Data!I3),"PKR",""),"Rs.",""),"Rs",""),",",""))),"")</f>
        <v>4450</v>
      </c>
      <c r="J3" s="21" t="n">
        <f aca="false">IFERROR(IF(TRIM(Raw_Data!J3)="",0,IF(VALUE(TRIM(Raw_Data!J3))&gt;1,VALUE(TRIM(Raw_Data!J3))/100,VALUE(TRIM(Raw_Data!J3)))),0)</f>
        <v>0</v>
      </c>
      <c r="K3" s="17" t="str">
        <f aca="false">IF(TRIM(Raw_Data!K3)="","Unassigned",PROPER(TRIM(Raw_Data!K3)))</f>
        <v>Waqar Ahmed</v>
      </c>
      <c r="L3" s="17" t="str">
        <f aca="false">IFERROR(INDEX({"Credit Card","Credit Card","Debit Card","Debit Card","Cash","PayPal"},MATCH(UPPER(LEFT(TRIM(Raw_Data!L3),2)),{"CR","CC","DE","DC","CA","PA"},0)),"Other")</f>
        <v>Credit Card</v>
      </c>
      <c r="M3" s="17" t="str">
        <f aca="false">IFERROR(INDEX({"Completed","Returned","Cancelled","Pending"},MATCH(UPPER(LEFT(TRIM(Raw_Data!M3),3)),{"COM","RET","CAN","PEN"},0)),"Unknown")</f>
        <v>Completed</v>
      </c>
      <c r="N3" s="20" t="n">
        <f aca="false">IF(OR(H3="",I3=""),"",H3*I3)</f>
        <v>26700</v>
      </c>
      <c r="O3" s="20" t="n">
        <f aca="false">IF(N3="","",N3*J3)</f>
        <v>0</v>
      </c>
      <c r="P3" s="20" t="n">
        <f aca="false">IF(N3="","",N3-O3)</f>
        <v>26700</v>
      </c>
      <c r="Q3" s="22" t="n">
        <f aca="false">IF(B3="","",DATE(YEAR(B3),MONTH(B3),1))</f>
        <v>45962</v>
      </c>
      <c r="R3" s="17" t="str">
        <f aca="false">IF(A3="","Invalid - Exclude",IF(COUNTIF($A$2:A3,A3)&gt;1,"Duplicate - Exclude",IF(OR(B3="",H3="",I3=""),"Invalid - Exclude","Valid")))</f>
        <v>Valid</v>
      </c>
      <c r="S3" s="17" t="str">
        <f aca="false">IF(R3="Valid","",IF(R3="Duplicate - Exclude","Repeat of an earlier Order ID",IF(B3="","Date missing or unreadable",IF(H3="","Quantity missing or unreadable",IF(I3="","Unit price missing or unreadable","Order ID missing")))))</f>
        <v/>
      </c>
    </row>
    <row r="4" customFormat="false" ht="15" hidden="false" customHeight="true" outlineLevel="0" collapsed="false">
      <c r="A4" s="9" t="str">
        <f aca="false">UPPER(TRIM(Raw_Data!A4))</f>
        <v>ORD-1003</v>
      </c>
      <c r="B4" s="10" t="n">
        <f aca="false">IFERROR(IF(ISNUMBER(Raw_Data!B4),Raw_Data!B4,IF(ISNUMBER(FIND("/",Raw_Data!B4)),DATE(VALUE(RIGHT(TRIM(Raw_Data!B4),4)),VALUE(MID(TRIM(Raw_Data!B4),4,2)),VALUE(LEFT(TRIM(Raw_Data!B4),2))),IF(MID(TRIM(Raw_Data!B4),5,1)="-",DATE(VALUE(LEFT(TRIM(Raw_Data!B4),4)),VALUE(MID(TRIM(Raw_Data!B4),6,2)),VALUE(RIGHT(TRIM(Raw_Data!B4),2))),DATE(VALUE(RIGHT(TRIM(Raw_Data!B4),4)),MATCH(MID(TRIM(Raw_Data!B4),4,3),{"Jan","Feb","Mar","Apr","May","Jun","Jul","Aug","Sep","Oct","Nov","Dec"},0),VALUE(LEFT(TRIM(Raw_Data!B4),2)))))),"")</f>
        <v>45792</v>
      </c>
      <c r="C4" s="9" t="str">
        <f aca="false">IF(TRIM(Raw_Data!C4)="","Unknown",PROPER(TRIM(Raw_Data!C4)))</f>
        <v>Nida Siddiqui</v>
      </c>
      <c r="D4" s="9" t="str">
        <f aca="false">IFERROR(INDEX({"Punjab","Sindh","KPK","Balochistan"},MATCH(UPPER(LEFT(TRIM(Raw_Data!D4),1)),{"P","S","K","B"},0)),IFERROR(INDEX(Data_Dictionary!$G$4:$G$16,MATCH(E4,Data_Dictionary!$F$4:$F$16,0)),"Unassigned"))</f>
        <v>Sindh</v>
      </c>
      <c r="E4" s="9" t="str">
        <f aca="false">IF(TRIM(Raw_Data!E4)="","Unknown",PROPER(TRIM(Raw_Data!E4)))</f>
        <v>Karachi</v>
      </c>
      <c r="F4" s="9" t="str">
        <f aca="false">IFERROR(INDEX({"Electronics","Home &amp; Kitchen","Clothing","Groceries","Beauty"},MATCH(UPPER(LEFT(TRIM(Raw_Data!F4),3)),{"ELE","HOM","CLO","GRO","BEA"},0)),"Uncategorised")</f>
        <v>Home &amp; Kitchen</v>
      </c>
      <c r="G4" s="9" t="str">
        <f aca="false">IF(TRIM(Raw_Data!G4)="","Unknown",PROPER(TRIM(Raw_Data!G4)))</f>
        <v>Hand Blender</v>
      </c>
      <c r="H4" s="11" t="n">
        <f aca="false">IFERROR(ABS(VALUE(TRIM(Raw_Data!H4))),"")</f>
        <v>1</v>
      </c>
      <c r="I4" s="12" t="n">
        <f aca="false">IFERROR(VALUE(TRIM(SUBSTITUTE(SUBSTITUTE(SUBSTITUTE(SUBSTITUTE(TRIM(Raw_Data!I4),"PKR",""),"Rs.",""),"Rs",""),",",""))),"")</f>
        <v>3700</v>
      </c>
      <c r="J4" s="13" t="n">
        <f aca="false">IFERROR(IF(TRIM(Raw_Data!J4)="",0,IF(VALUE(TRIM(Raw_Data!J4))&gt;1,VALUE(TRIM(Raw_Data!J4))/100,VALUE(TRIM(Raw_Data!J4)))),0)</f>
        <v>0</v>
      </c>
      <c r="K4" s="9" t="str">
        <f aca="false">IF(TRIM(Raw_Data!K4)="","Unassigned",PROPER(TRIM(Raw_Data!K4)))</f>
        <v>Zoya Tariq</v>
      </c>
      <c r="L4" s="9" t="str">
        <f aca="false">IFERROR(INDEX({"Credit Card","Credit Card","Debit Card","Debit Card","Cash","PayPal"},MATCH(UPPER(LEFT(TRIM(Raw_Data!L4),2)),{"CR","CC","DE","DC","CA","PA"},0)),"Other")</f>
        <v>Debit Card</v>
      </c>
      <c r="M4" s="9" t="str">
        <f aca="false">IFERROR(INDEX({"Completed","Returned","Cancelled","Pending"},MATCH(UPPER(LEFT(TRIM(Raw_Data!M4),3)),{"COM","RET","CAN","PEN"},0)),"Unknown")</f>
        <v>Completed</v>
      </c>
      <c r="N4" s="14" t="n">
        <f aca="false">IF(OR(H4="",I4=""),"",H4*I4)</f>
        <v>3700</v>
      </c>
      <c r="O4" s="14" t="n">
        <f aca="false">IF(N4="","",N4*J4)</f>
        <v>0</v>
      </c>
      <c r="P4" s="14" t="n">
        <f aca="false">IF(N4="","",N4-O4)</f>
        <v>3700</v>
      </c>
      <c r="Q4" s="15" t="n">
        <f aca="false">IF(B4="","",DATE(YEAR(B4),MONTH(B4),1))</f>
        <v>45778</v>
      </c>
      <c r="R4" s="16" t="str">
        <f aca="false">IF(A4="","Invalid - Exclude",IF(COUNTIF($A$2:A4,A4)&gt;1,"Duplicate - Exclude",IF(OR(B4="",H4="",I4=""),"Invalid - Exclude","Valid")))</f>
        <v>Valid</v>
      </c>
      <c r="S4" s="16" t="str">
        <f aca="false">IF(R4="Valid","",IF(R4="Duplicate - Exclude","Repeat of an earlier Order ID",IF(B4="","Date missing or unreadable",IF(H4="","Quantity missing or unreadable",IF(I4="","Unit price missing or unreadable","Order ID missing")))))</f>
        <v/>
      </c>
    </row>
    <row r="5" customFormat="false" ht="15" hidden="false" customHeight="true" outlineLevel="0" collapsed="false">
      <c r="A5" s="17" t="str">
        <f aca="false">UPPER(TRIM(Raw_Data!A5))</f>
        <v>ORD-1004</v>
      </c>
      <c r="B5" s="18" t="n">
        <f aca="false">IFERROR(IF(ISNUMBER(Raw_Data!B5),Raw_Data!B5,IF(ISNUMBER(FIND("/",Raw_Data!B5)),DATE(VALUE(RIGHT(TRIM(Raw_Data!B5),4)),VALUE(MID(TRIM(Raw_Data!B5),4,2)),VALUE(LEFT(TRIM(Raw_Data!B5),2))),IF(MID(TRIM(Raw_Data!B5),5,1)="-",DATE(VALUE(LEFT(TRIM(Raw_Data!B5),4)),VALUE(MID(TRIM(Raw_Data!B5),6,2)),VALUE(RIGHT(TRIM(Raw_Data!B5),2))),DATE(VALUE(RIGHT(TRIM(Raw_Data!B5),4)),MATCH(MID(TRIM(Raw_Data!B5),4,3),{"Jan","Feb","Mar","Apr","May","Jun","Jul","Aug","Sep","Oct","Nov","Dec"},0),VALUE(LEFT(TRIM(Raw_Data!B5),2)))))),"")</f>
        <v>45759</v>
      </c>
      <c r="C5" s="17" t="str">
        <f aca="false">IF(TRIM(Raw_Data!C5)="","Unknown",PROPER(TRIM(Raw_Data!C5)))</f>
        <v>Hassan Siddiqui</v>
      </c>
      <c r="D5" s="17" t="str">
        <f aca="false">IFERROR(INDEX({"Punjab","Sindh","KPK","Balochistan"},MATCH(UPPER(LEFT(TRIM(Raw_Data!D5),1)),{"P","S","K","B"},0)),IFERROR(INDEX(Data_Dictionary!$G$4:$G$16,MATCH(E5,Data_Dictionary!$F$4:$F$16,0)),"Unassigned"))</f>
        <v>Sindh</v>
      </c>
      <c r="E5" s="17" t="str">
        <f aca="false">IF(TRIM(Raw_Data!E5)="","Unknown",PROPER(TRIM(Raw_Data!E5)))</f>
        <v>Hyderabad</v>
      </c>
      <c r="F5" s="17" t="str">
        <f aca="false">IFERROR(INDEX({"Electronics","Home &amp; Kitchen","Clothing","Groceries","Beauty"},MATCH(UPPER(LEFT(TRIM(Raw_Data!F5),3)),{"ELE","HOM","CLO","GRO","BEA"},0)),"Uncategorised")</f>
        <v>Home &amp; Kitchen</v>
      </c>
      <c r="G5" s="17" t="str">
        <f aca="false">IF(TRIM(Raw_Data!G5)="","Unknown",PROPER(TRIM(Raw_Data!G5)))</f>
        <v>Hand Blender</v>
      </c>
      <c r="H5" s="19" t="n">
        <f aca="false">IFERROR(ABS(VALUE(TRIM(Raw_Data!H5))),"")</f>
        <v>3</v>
      </c>
      <c r="I5" s="20" t="n">
        <f aca="false">IFERROR(VALUE(TRIM(SUBSTITUTE(SUBSTITUTE(SUBSTITUTE(SUBSTITUTE(TRIM(Raw_Data!I5),"PKR",""),"Rs.",""),"Rs",""),",",""))),"")</f>
        <v>3850</v>
      </c>
      <c r="J5" s="21" t="n">
        <f aca="false">IFERROR(IF(TRIM(Raw_Data!J5)="",0,IF(VALUE(TRIM(Raw_Data!J5))&gt;1,VALUE(TRIM(Raw_Data!J5))/100,VALUE(TRIM(Raw_Data!J5)))),0)</f>
        <v>0</v>
      </c>
      <c r="K5" s="17" t="str">
        <f aca="false">IF(TRIM(Raw_Data!K5)="","Unassigned",PROPER(TRIM(Raw_Data!K5)))</f>
        <v>Faisal Mehmood</v>
      </c>
      <c r="L5" s="17" t="str">
        <f aca="false">IFERROR(INDEX({"Credit Card","Credit Card","Debit Card","Debit Card","Cash","PayPal"},MATCH(UPPER(LEFT(TRIM(Raw_Data!L5),2)),{"CR","CC","DE","DC","CA","PA"},0)),"Other")</f>
        <v>Credit Card</v>
      </c>
      <c r="M5" s="17" t="str">
        <f aca="false">IFERROR(INDEX({"Completed","Returned","Cancelled","Pending"},MATCH(UPPER(LEFT(TRIM(Raw_Data!M5),3)),{"COM","RET","CAN","PEN"},0)),"Unknown")</f>
        <v>Completed</v>
      </c>
      <c r="N5" s="20" t="n">
        <f aca="false">IF(OR(H5="",I5=""),"",H5*I5)</f>
        <v>11550</v>
      </c>
      <c r="O5" s="20" t="n">
        <f aca="false">IF(N5="","",N5*J5)</f>
        <v>0</v>
      </c>
      <c r="P5" s="20" t="n">
        <f aca="false">IF(N5="","",N5-O5)</f>
        <v>11550</v>
      </c>
      <c r="Q5" s="22" t="n">
        <f aca="false">IF(B5="","",DATE(YEAR(B5),MONTH(B5),1))</f>
        <v>45748</v>
      </c>
      <c r="R5" s="17" t="str">
        <f aca="false">IF(A5="","Invalid - Exclude",IF(COUNTIF($A$2:A5,A5)&gt;1,"Duplicate - Exclude",IF(OR(B5="",H5="",I5=""),"Invalid - Exclude","Valid")))</f>
        <v>Valid</v>
      </c>
      <c r="S5" s="17" t="str">
        <f aca="false">IF(R5="Valid","",IF(R5="Duplicate - Exclude","Repeat of an earlier Order ID",IF(B5="","Date missing or unreadable",IF(H5="","Quantity missing or unreadable",IF(I5="","Unit price missing or unreadable","Order ID missing")))))</f>
        <v/>
      </c>
    </row>
    <row r="6" customFormat="false" ht="15" hidden="false" customHeight="true" outlineLevel="0" collapsed="false">
      <c r="A6" s="9" t="str">
        <f aca="false">UPPER(TRIM(Raw_Data!A6))</f>
        <v>ORD-1005</v>
      </c>
      <c r="B6" s="10" t="n">
        <f aca="false">IFERROR(IF(ISNUMBER(Raw_Data!B6),Raw_Data!B6,IF(ISNUMBER(FIND("/",Raw_Data!B6)),DATE(VALUE(RIGHT(TRIM(Raw_Data!B6),4)),VALUE(MID(TRIM(Raw_Data!B6),4,2)),VALUE(LEFT(TRIM(Raw_Data!B6),2))),IF(MID(TRIM(Raw_Data!B6),5,1)="-",DATE(VALUE(LEFT(TRIM(Raw_Data!B6),4)),VALUE(MID(TRIM(Raw_Data!B6),6,2)),VALUE(RIGHT(TRIM(Raw_Data!B6),2))),DATE(VALUE(RIGHT(TRIM(Raw_Data!B6),4)),MATCH(MID(TRIM(Raw_Data!B6),4,3),{"Jan","Feb","Mar","Apr","May","Jun","Jul","Aug","Sep","Oct","Nov","Dec"},0),VALUE(LEFT(TRIM(Raw_Data!B6),2)))))),"")</f>
        <v>46014</v>
      </c>
      <c r="C6" s="9" t="str">
        <f aca="false">IF(TRIM(Raw_Data!C6)="","Unknown",PROPER(TRIM(Raw_Data!C6)))</f>
        <v>Maryam Qureshi</v>
      </c>
      <c r="D6" s="9" t="str">
        <f aca="false">IFERROR(INDEX({"Punjab","Sindh","KPK","Balochistan"},MATCH(UPPER(LEFT(TRIM(Raw_Data!D6),1)),{"P","S","K","B"},0)),IFERROR(INDEX(Data_Dictionary!$G$4:$G$16,MATCH(E6,Data_Dictionary!$F$4:$F$16,0)),"Unassigned"))</f>
        <v>KPK</v>
      </c>
      <c r="E6" s="9" t="str">
        <f aca="false">IF(TRIM(Raw_Data!E6)="","Unknown",PROPER(TRIM(Raw_Data!E6)))</f>
        <v>Peshawar</v>
      </c>
      <c r="F6" s="9" t="str">
        <f aca="false">IFERROR(INDEX({"Electronics","Home &amp; Kitchen","Clothing","Groceries","Beauty"},MATCH(UPPER(LEFT(TRIM(Raw_Data!F6),3)),{"ELE","HOM","CLO","GRO","BEA"},0)),"Uncategorised")</f>
        <v>Groceries</v>
      </c>
      <c r="G6" s="9" t="str">
        <f aca="false">IF(TRIM(Raw_Data!G6)="","Unknown",PROPER(TRIM(Raw_Data!G6)))</f>
        <v>Refined Sugar 10 Kg</v>
      </c>
      <c r="H6" s="11" t="n">
        <f aca="false">IFERROR(ABS(VALUE(TRIM(Raw_Data!H6))),"")</f>
        <v>6</v>
      </c>
      <c r="I6" s="12" t="n">
        <f aca="false">IFERROR(VALUE(TRIM(SUBSTITUTE(SUBSTITUTE(SUBSTITUTE(SUBSTITUTE(TRIM(Raw_Data!I6),"PKR",""),"Rs.",""),"Rs",""),",",""))),"")</f>
        <v>1650</v>
      </c>
      <c r="J6" s="13" t="n">
        <f aca="false">IFERROR(IF(TRIM(Raw_Data!J6)="",0,IF(VALUE(TRIM(Raw_Data!J6))&gt;1,VALUE(TRIM(Raw_Data!J6))/100,VALUE(TRIM(Raw_Data!J6)))),0)</f>
        <v>0.1</v>
      </c>
      <c r="K6" s="9" t="str">
        <f aca="false">IF(TRIM(Raw_Data!K6)="","Unassigned",PROPER(TRIM(Raw_Data!K6)))</f>
        <v>Nimra Aslam</v>
      </c>
      <c r="L6" s="9" t="str">
        <f aca="false">IFERROR(INDEX({"Credit Card","Credit Card","Debit Card","Debit Card","Cash","PayPal"},MATCH(UPPER(LEFT(TRIM(Raw_Data!L6),2)),{"CR","CC","DE","DC","CA","PA"},0)),"Other")</f>
        <v>PayPal</v>
      </c>
      <c r="M6" s="9" t="str">
        <f aca="false">IFERROR(INDEX({"Completed","Returned","Cancelled","Pending"},MATCH(UPPER(LEFT(TRIM(Raw_Data!M6),3)),{"COM","RET","CAN","PEN"},0)),"Unknown")</f>
        <v>Completed</v>
      </c>
      <c r="N6" s="14" t="n">
        <f aca="false">IF(OR(H6="",I6=""),"",H6*I6)</f>
        <v>9900</v>
      </c>
      <c r="O6" s="14" t="n">
        <f aca="false">IF(N6="","",N6*J6)</f>
        <v>990</v>
      </c>
      <c r="P6" s="14" t="n">
        <f aca="false">IF(N6="","",N6-O6)</f>
        <v>8910</v>
      </c>
      <c r="Q6" s="15" t="n">
        <f aca="false">IF(B6="","",DATE(YEAR(B6),MONTH(B6),1))</f>
        <v>45992</v>
      </c>
      <c r="R6" s="16" t="str">
        <f aca="false">IF(A6="","Invalid - Exclude",IF(COUNTIF($A$2:A6,A6)&gt;1,"Duplicate - Exclude",IF(OR(B6="",H6="",I6=""),"Invalid - Exclude","Valid")))</f>
        <v>Valid</v>
      </c>
      <c r="S6" s="16" t="str">
        <f aca="false">IF(R6="Valid","",IF(R6="Duplicate - Exclude","Repeat of an earlier Order ID",IF(B6="","Date missing or unreadable",IF(H6="","Quantity missing or unreadable",IF(I6="","Unit price missing or unreadable","Order ID missing")))))</f>
        <v/>
      </c>
    </row>
    <row r="7" customFormat="false" ht="15" hidden="false" customHeight="true" outlineLevel="0" collapsed="false">
      <c r="A7" s="17" t="str">
        <f aca="false">UPPER(TRIM(Raw_Data!A7))</f>
        <v>ORD-1006</v>
      </c>
      <c r="B7" s="18" t="n">
        <f aca="false">IFERROR(IF(ISNUMBER(Raw_Data!B7),Raw_Data!B7,IF(ISNUMBER(FIND("/",Raw_Data!B7)),DATE(VALUE(RIGHT(TRIM(Raw_Data!B7),4)),VALUE(MID(TRIM(Raw_Data!B7),4,2)),VALUE(LEFT(TRIM(Raw_Data!B7),2))),IF(MID(TRIM(Raw_Data!B7),5,1)="-",DATE(VALUE(LEFT(TRIM(Raw_Data!B7),4)),VALUE(MID(TRIM(Raw_Data!B7),6,2)),VALUE(RIGHT(TRIM(Raw_Data!B7),2))),DATE(VALUE(RIGHT(TRIM(Raw_Data!B7),4)),MATCH(MID(TRIM(Raw_Data!B7),4,3),{"Jan","Feb","Mar","Apr","May","Jun","Jul","Aug","Sep","Oct","Nov","Dec"},0),VALUE(LEFT(TRIM(Raw_Data!B7),2)))))),"")</f>
        <v>45709</v>
      </c>
      <c r="C7" s="17" t="str">
        <f aca="false">IF(TRIM(Raw_Data!C7)="","Unknown",PROPER(TRIM(Raw_Data!C7)))</f>
        <v>Hassan Raza</v>
      </c>
      <c r="D7" s="17" t="str">
        <f aca="false">IFERROR(INDEX({"Punjab","Sindh","KPK","Balochistan"},MATCH(UPPER(LEFT(TRIM(Raw_Data!D7),1)),{"P","S","K","B"},0)),IFERROR(INDEX(Data_Dictionary!$G$4:$G$16,MATCH(E7,Data_Dictionary!$F$4:$F$16,0)),"Unassigned"))</f>
        <v>Balochistan</v>
      </c>
      <c r="E7" s="17" t="str">
        <f aca="false">IF(TRIM(Raw_Data!E7)="","Unknown",PROPER(TRIM(Raw_Data!E7)))</f>
        <v>Quetta</v>
      </c>
      <c r="F7" s="17" t="str">
        <f aca="false">IFERROR(INDEX({"Electronics","Home &amp; Kitchen","Clothing","Groceries","Beauty"},MATCH(UPPER(LEFT(TRIM(Raw_Data!F7),3)),{"ELE","HOM","CLO","GRO","BEA"},0)),"Uncategorised")</f>
        <v>Beauty</v>
      </c>
      <c r="G7" s="17" t="str">
        <f aca="false">IF(TRIM(Raw_Data!G7)="","Unknown",PROPER(TRIM(Raw_Data!G7)))</f>
        <v>Perfume Spray</v>
      </c>
      <c r="H7" s="19" t="n">
        <f aca="false">IFERROR(ABS(VALUE(TRIM(Raw_Data!H7))),"")</f>
        <v>3</v>
      </c>
      <c r="I7" s="20" t="n">
        <f aca="false">IFERROR(VALUE(TRIM(SUBSTITUTE(SUBSTITUTE(SUBSTITUTE(SUBSTITUTE(TRIM(Raw_Data!I7),"PKR",""),"Rs.",""),"Rs",""),",",""))),"")</f>
        <v>3750</v>
      </c>
      <c r="J7" s="21" t="n">
        <f aca="false">IFERROR(IF(TRIM(Raw_Data!J7)="",0,IF(VALUE(TRIM(Raw_Data!J7))&gt;1,VALUE(TRIM(Raw_Data!J7))/100,VALUE(TRIM(Raw_Data!J7)))),0)</f>
        <v>0.2</v>
      </c>
      <c r="K7" s="17" t="str">
        <f aca="false">IF(TRIM(Raw_Data!K7)="","Unassigned",PROPER(TRIM(Raw_Data!K7)))</f>
        <v>Faisal Mehmood</v>
      </c>
      <c r="L7" s="17" t="str">
        <f aca="false">IFERROR(INDEX({"Credit Card","Credit Card","Debit Card","Debit Card","Cash","PayPal"},MATCH(UPPER(LEFT(TRIM(Raw_Data!L7),2)),{"CR","CC","DE","DC","CA","PA"},0)),"Other")</f>
        <v>PayPal</v>
      </c>
      <c r="M7" s="17" t="str">
        <f aca="false">IFERROR(INDEX({"Completed","Returned","Cancelled","Pending"},MATCH(UPPER(LEFT(TRIM(Raw_Data!M7),3)),{"COM","RET","CAN","PEN"},0)),"Unknown")</f>
        <v>Completed</v>
      </c>
      <c r="N7" s="20" t="n">
        <f aca="false">IF(OR(H7="",I7=""),"",H7*I7)</f>
        <v>11250</v>
      </c>
      <c r="O7" s="20" t="n">
        <f aca="false">IF(N7="","",N7*J7)</f>
        <v>2250</v>
      </c>
      <c r="P7" s="20" t="n">
        <f aca="false">IF(N7="","",N7-O7)</f>
        <v>9000</v>
      </c>
      <c r="Q7" s="22" t="n">
        <f aca="false">IF(B7="","",DATE(YEAR(B7),MONTH(B7),1))</f>
        <v>45689</v>
      </c>
      <c r="R7" s="17" t="str">
        <f aca="false">IF(A7="","Invalid - Exclude",IF(COUNTIF($A$2:A7,A7)&gt;1,"Duplicate - Exclude",IF(OR(B7="",H7="",I7=""),"Invalid - Exclude","Valid")))</f>
        <v>Valid</v>
      </c>
      <c r="S7" s="17" t="str">
        <f aca="false">IF(R7="Valid","",IF(R7="Duplicate - Exclude","Repeat of an earlier Order ID",IF(B7="","Date missing or unreadable",IF(H7="","Quantity missing or unreadable",IF(I7="","Unit price missing or unreadable","Order ID missing")))))</f>
        <v/>
      </c>
    </row>
    <row r="8" customFormat="false" ht="15" hidden="false" customHeight="true" outlineLevel="0" collapsed="false">
      <c r="A8" s="9" t="str">
        <f aca="false">UPPER(TRIM(Raw_Data!A8))</f>
        <v>ORD-1007</v>
      </c>
      <c r="B8" s="10" t="n">
        <f aca="false">IFERROR(IF(ISNUMBER(Raw_Data!B8),Raw_Data!B8,IF(ISNUMBER(FIND("/",Raw_Data!B8)),DATE(VALUE(RIGHT(TRIM(Raw_Data!B8),4)),VALUE(MID(TRIM(Raw_Data!B8),4,2)),VALUE(LEFT(TRIM(Raw_Data!B8),2))),IF(MID(TRIM(Raw_Data!B8),5,1)="-",DATE(VALUE(LEFT(TRIM(Raw_Data!B8),4)),VALUE(MID(TRIM(Raw_Data!B8),6,2)),VALUE(RIGHT(TRIM(Raw_Data!B8),2))),DATE(VALUE(RIGHT(TRIM(Raw_Data!B8),4)),MATCH(MID(TRIM(Raw_Data!B8),4,3),{"Jan","Feb","Mar","Apr","May","Jun","Jul","Aug","Sep","Oct","Nov","Dec"},0),VALUE(LEFT(TRIM(Raw_Data!B8),2)))))),"")</f>
        <v>45724</v>
      </c>
      <c r="C8" s="9" t="str">
        <f aca="false">IF(TRIM(Raw_Data!C8)="","Unknown",PROPER(TRIM(Raw_Data!C8)))</f>
        <v>Tariq Siddiqui</v>
      </c>
      <c r="D8" s="9" t="str">
        <f aca="false">IFERROR(INDEX({"Punjab","Sindh","KPK","Balochistan"},MATCH(UPPER(LEFT(TRIM(Raw_Data!D8),1)),{"P","S","K","B"},0)),IFERROR(INDEX(Data_Dictionary!$G$4:$G$16,MATCH(E8,Data_Dictionary!$F$4:$F$16,0)),"Unassigned"))</f>
        <v>Punjab</v>
      </c>
      <c r="E8" s="9" t="str">
        <f aca="false">IF(TRIM(Raw_Data!E8)="","Unknown",PROPER(TRIM(Raw_Data!E8)))</f>
        <v>Gujranwala</v>
      </c>
      <c r="F8" s="9" t="str">
        <f aca="false">IFERROR(INDEX({"Electronics","Home &amp; Kitchen","Clothing","Groceries","Beauty"},MATCH(UPPER(LEFT(TRIM(Raw_Data!F8),3)),{"ELE","HOM","CLO","GRO","BEA"},0)),"Uncategorised")</f>
        <v>Home &amp; Kitchen</v>
      </c>
      <c r="G8" s="9" t="str">
        <f aca="false">IF(TRIM(Raw_Data!G8)="","Unknown",PROPER(TRIM(Raw_Data!G8)))</f>
        <v>Rice Cooker</v>
      </c>
      <c r="H8" s="11" t="n">
        <f aca="false">IFERROR(ABS(VALUE(TRIM(Raw_Data!H8))),"")</f>
        <v>4</v>
      </c>
      <c r="I8" s="12" t="n">
        <f aca="false">IFERROR(VALUE(TRIM(SUBSTITUTE(SUBSTITUTE(SUBSTITUTE(SUBSTITUTE(TRIM(Raw_Data!I8),"PKR",""),"Rs.",""),"Rs",""),",",""))),"")</f>
        <v>7750</v>
      </c>
      <c r="J8" s="13" t="n">
        <f aca="false">IFERROR(IF(TRIM(Raw_Data!J8)="",0,IF(VALUE(TRIM(Raw_Data!J8))&gt;1,VALUE(TRIM(Raw_Data!J8))/100,VALUE(TRIM(Raw_Data!J8)))),0)</f>
        <v>0.05</v>
      </c>
      <c r="K8" s="9" t="str">
        <f aca="false">IF(TRIM(Raw_Data!K8)="","Unassigned",PROPER(TRIM(Raw_Data!K8)))</f>
        <v>Imran Shah</v>
      </c>
      <c r="L8" s="9" t="str">
        <f aca="false">IFERROR(INDEX({"Credit Card","Credit Card","Debit Card","Debit Card","Cash","PayPal"},MATCH(UPPER(LEFT(TRIM(Raw_Data!L8),2)),{"CR","CC","DE","DC","CA","PA"},0)),"Other")</f>
        <v>Debit Card</v>
      </c>
      <c r="M8" s="9" t="str">
        <f aca="false">IFERROR(INDEX({"Completed","Returned","Cancelled","Pending"},MATCH(UPPER(LEFT(TRIM(Raw_Data!M8),3)),{"COM","RET","CAN","PEN"},0)),"Unknown")</f>
        <v>Completed</v>
      </c>
      <c r="N8" s="14" t="n">
        <f aca="false">IF(OR(H8="",I8=""),"",H8*I8)</f>
        <v>31000</v>
      </c>
      <c r="O8" s="14" t="n">
        <f aca="false">IF(N8="","",N8*J8)</f>
        <v>1550</v>
      </c>
      <c r="P8" s="14" t="n">
        <f aca="false">IF(N8="","",N8-O8)</f>
        <v>29450</v>
      </c>
      <c r="Q8" s="15" t="n">
        <f aca="false">IF(B8="","",DATE(YEAR(B8),MONTH(B8),1))</f>
        <v>45717</v>
      </c>
      <c r="R8" s="16" t="str">
        <f aca="false">IF(A8="","Invalid - Exclude",IF(COUNTIF($A$2:A8,A8)&gt;1,"Duplicate - Exclude",IF(OR(B8="",H8="",I8=""),"Invalid - Exclude","Valid")))</f>
        <v>Valid</v>
      </c>
      <c r="S8" s="16" t="str">
        <f aca="false">IF(R8="Valid","",IF(R8="Duplicate - Exclude","Repeat of an earlier Order ID",IF(B8="","Date missing or unreadable",IF(H8="","Quantity missing or unreadable",IF(I8="","Unit price missing or unreadable","Order ID missing")))))</f>
        <v/>
      </c>
    </row>
    <row r="9" customFormat="false" ht="15" hidden="false" customHeight="true" outlineLevel="0" collapsed="false">
      <c r="A9" s="17" t="str">
        <f aca="false">UPPER(TRIM(Raw_Data!A9))</f>
        <v>ORD-1008</v>
      </c>
      <c r="B9" s="18" t="n">
        <f aca="false">IFERROR(IF(ISNUMBER(Raw_Data!B9),Raw_Data!B9,IF(ISNUMBER(FIND("/",Raw_Data!B9)),DATE(VALUE(RIGHT(TRIM(Raw_Data!B9),4)),VALUE(MID(TRIM(Raw_Data!B9),4,2)),VALUE(LEFT(TRIM(Raw_Data!B9),2))),IF(MID(TRIM(Raw_Data!B9),5,1)="-",DATE(VALUE(LEFT(TRIM(Raw_Data!B9),4)),VALUE(MID(TRIM(Raw_Data!B9),6,2)),VALUE(RIGHT(TRIM(Raw_Data!B9),2))),DATE(VALUE(RIGHT(TRIM(Raw_Data!B9),4)),MATCH(MID(TRIM(Raw_Data!B9),4,3),{"Jan","Feb","Mar","Apr","May","Jun","Jul","Aug","Sep","Oct","Nov","Dec"},0),VALUE(LEFT(TRIM(Raw_Data!B9),2)))))),"")</f>
        <v>45810</v>
      </c>
      <c r="C9" s="17" t="str">
        <f aca="false">IF(TRIM(Raw_Data!C9)="","Unknown",PROPER(TRIM(Raw_Data!C9)))</f>
        <v>Zain Raza</v>
      </c>
      <c r="D9" s="17" t="str">
        <f aca="false">IFERROR(INDEX({"Punjab","Sindh","KPK","Balochistan"},MATCH(UPPER(LEFT(TRIM(Raw_Data!D9),1)),{"P","S","K","B"},0)),IFERROR(INDEX(Data_Dictionary!$G$4:$G$16,MATCH(E9,Data_Dictionary!$F$4:$F$16,0)),"Unassigned"))</f>
        <v>Sindh</v>
      </c>
      <c r="E9" s="17" t="str">
        <f aca="false">IF(TRIM(Raw_Data!E9)="","Unknown",PROPER(TRIM(Raw_Data!E9)))</f>
        <v>Karachi</v>
      </c>
      <c r="F9" s="17" t="str">
        <f aca="false">IFERROR(INDEX({"Electronics","Home &amp; Kitchen","Clothing","Groceries","Beauty"},MATCH(UPPER(LEFT(TRIM(Raw_Data!F9),3)),{"ELE","HOM","CLO","GRO","BEA"},0)),"Uncategorised")</f>
        <v>Electronics</v>
      </c>
      <c r="G9" s="17" t="str">
        <f aca="false">IF(TRIM(Raw_Data!G9)="","Unknown",PROPER(TRIM(Raw_Data!G9)))</f>
        <v>Wireless Earbuds</v>
      </c>
      <c r="H9" s="19" t="n">
        <f aca="false">IFERROR(ABS(VALUE(TRIM(Raw_Data!H9))),"")</f>
        <v>1</v>
      </c>
      <c r="I9" s="20" t="n">
        <f aca="false">IFERROR(VALUE(TRIM(SUBSTITUTE(SUBSTITUTE(SUBSTITUTE(SUBSTITUTE(TRIM(Raw_Data!I9),"PKR",""),"Rs.",""),"Rs",""),",",""))),"")</f>
        <v>6650</v>
      </c>
      <c r="J9" s="21" t="n">
        <f aca="false">IFERROR(IF(TRIM(Raw_Data!J9)="",0,IF(VALUE(TRIM(Raw_Data!J9))&gt;1,VALUE(TRIM(Raw_Data!J9))/100,VALUE(TRIM(Raw_Data!J9)))),0)</f>
        <v>0</v>
      </c>
      <c r="K9" s="17" t="str">
        <f aca="false">IF(TRIM(Raw_Data!K9)="","Unassigned",PROPER(TRIM(Raw_Data!K9)))</f>
        <v>Zoya Tariq</v>
      </c>
      <c r="L9" s="17" t="str">
        <f aca="false">IFERROR(INDEX({"Credit Card","Credit Card","Debit Card","Debit Card","Cash","PayPal"},MATCH(UPPER(LEFT(TRIM(Raw_Data!L9),2)),{"CR","CC","DE","DC","CA","PA"},0)),"Other")</f>
        <v>Debit Card</v>
      </c>
      <c r="M9" s="17" t="str">
        <f aca="false">IFERROR(INDEX({"Completed","Returned","Cancelled","Pending"},MATCH(UPPER(LEFT(TRIM(Raw_Data!M9),3)),{"COM","RET","CAN","PEN"},0)),"Unknown")</f>
        <v>Completed</v>
      </c>
      <c r="N9" s="20" t="n">
        <f aca="false">IF(OR(H9="",I9=""),"",H9*I9)</f>
        <v>6650</v>
      </c>
      <c r="O9" s="20" t="n">
        <f aca="false">IF(N9="","",N9*J9)</f>
        <v>0</v>
      </c>
      <c r="P9" s="20" t="n">
        <f aca="false">IF(N9="","",N9-O9)</f>
        <v>6650</v>
      </c>
      <c r="Q9" s="22" t="n">
        <f aca="false">IF(B9="","",DATE(YEAR(B9),MONTH(B9),1))</f>
        <v>45809</v>
      </c>
      <c r="R9" s="17" t="str">
        <f aca="false">IF(A9="","Invalid - Exclude",IF(COUNTIF($A$2:A9,A9)&gt;1,"Duplicate - Exclude",IF(OR(B9="",H9="",I9=""),"Invalid - Exclude","Valid")))</f>
        <v>Valid</v>
      </c>
      <c r="S9" s="17" t="str">
        <f aca="false">IF(R9="Valid","",IF(R9="Duplicate - Exclude","Repeat of an earlier Order ID",IF(B9="","Date missing or unreadable",IF(H9="","Quantity missing or unreadable",IF(I9="","Unit price missing or unreadable","Order ID missing")))))</f>
        <v/>
      </c>
    </row>
    <row r="10" customFormat="false" ht="15" hidden="false" customHeight="true" outlineLevel="0" collapsed="false">
      <c r="A10" s="9" t="str">
        <f aca="false">UPPER(TRIM(Raw_Data!A10))</f>
        <v>ORD-1009</v>
      </c>
      <c r="B10" s="10" t="n">
        <f aca="false">IFERROR(IF(ISNUMBER(Raw_Data!B10),Raw_Data!B10,IF(ISNUMBER(FIND("/",Raw_Data!B10)),DATE(VALUE(RIGHT(TRIM(Raw_Data!B10),4)),VALUE(MID(TRIM(Raw_Data!B10),4,2)),VALUE(LEFT(TRIM(Raw_Data!B10),2))),IF(MID(TRIM(Raw_Data!B10),5,1)="-",DATE(VALUE(LEFT(TRIM(Raw_Data!B10),4)),VALUE(MID(TRIM(Raw_Data!B10),6,2)),VALUE(RIGHT(TRIM(Raw_Data!B10),2))),DATE(VALUE(RIGHT(TRIM(Raw_Data!B10),4)),MATCH(MID(TRIM(Raw_Data!B10),4,3),{"Jan","Feb","Mar","Apr","May","Jun","Jul","Aug","Sep","Oct","Nov","Dec"},0),VALUE(LEFT(TRIM(Raw_Data!B10),2)))))),"")</f>
        <v>45937</v>
      </c>
      <c r="C10" s="9" t="str">
        <f aca="false">IF(TRIM(Raw_Data!C10)="","Unknown",PROPER(TRIM(Raw_Data!C10)))</f>
        <v>Fatima Mirza</v>
      </c>
      <c r="D10" s="9" t="str">
        <f aca="false">IFERROR(INDEX({"Punjab","Sindh","KPK","Balochistan"},MATCH(UPPER(LEFT(TRIM(Raw_Data!D10),1)),{"P","S","K","B"},0)),IFERROR(INDEX(Data_Dictionary!$G$4:$G$16,MATCH(E10,Data_Dictionary!$F$4:$F$16,0)),"Unassigned"))</f>
        <v>Punjab</v>
      </c>
      <c r="E10" s="9" t="str">
        <f aca="false">IF(TRIM(Raw_Data!E10)="","Unknown",PROPER(TRIM(Raw_Data!E10)))</f>
        <v>Lahore</v>
      </c>
      <c r="F10" s="9" t="str">
        <f aca="false">IFERROR(INDEX({"Electronics","Home &amp; Kitchen","Clothing","Groceries","Beauty"},MATCH(UPPER(LEFT(TRIM(Raw_Data!F10),3)),{"ELE","HOM","CLO","GRO","BEA"},0)),"Uncategorised")</f>
        <v>Groceries</v>
      </c>
      <c r="G10" s="9" t="str">
        <f aca="false">IF(TRIM(Raw_Data!G10)="","Unknown",PROPER(TRIM(Raw_Data!G10)))</f>
        <v>Black Tea Pack</v>
      </c>
      <c r="H10" s="11" t="n">
        <f aca="false">IFERROR(ABS(VALUE(TRIM(Raw_Data!H10))),"")</f>
        <v>4</v>
      </c>
      <c r="I10" s="12" t="n">
        <f aca="false">IFERROR(VALUE(TRIM(SUBSTITUTE(SUBSTITUTE(SUBSTITUTE(SUBSTITUTE(TRIM(Raw_Data!I10),"PKR",""),"Rs.",""),"Rs",""),",",""))),"")</f>
        <v>1550</v>
      </c>
      <c r="J10" s="13" t="n">
        <f aca="false">IFERROR(IF(TRIM(Raw_Data!J10)="",0,IF(VALUE(TRIM(Raw_Data!J10))&gt;1,VALUE(TRIM(Raw_Data!J10))/100,VALUE(TRIM(Raw_Data!J10)))),0)</f>
        <v>0</v>
      </c>
      <c r="K10" s="9" t="str">
        <f aca="false">IF(TRIM(Raw_Data!K10)="","Unassigned",PROPER(TRIM(Raw_Data!K10)))</f>
        <v>Sadia Noor</v>
      </c>
      <c r="L10" s="9" t="str">
        <f aca="false">IFERROR(INDEX({"Credit Card","Credit Card","Debit Card","Debit Card","Cash","PayPal"},MATCH(UPPER(LEFT(TRIM(Raw_Data!L10),2)),{"CR","CC","DE","DC","CA","PA"},0)),"Other")</f>
        <v>Credit Card</v>
      </c>
      <c r="M10" s="9" t="str">
        <f aca="false">IFERROR(INDEX({"Completed","Returned","Cancelled","Pending"},MATCH(UPPER(LEFT(TRIM(Raw_Data!M10),3)),{"COM","RET","CAN","PEN"},0)),"Unknown")</f>
        <v>Returned</v>
      </c>
      <c r="N10" s="14" t="n">
        <f aca="false">IF(OR(H10="",I10=""),"",H10*I10)</f>
        <v>6200</v>
      </c>
      <c r="O10" s="14" t="n">
        <f aca="false">IF(N10="","",N10*J10)</f>
        <v>0</v>
      </c>
      <c r="P10" s="14" t="n">
        <f aca="false">IF(N10="","",N10-O10)</f>
        <v>6200</v>
      </c>
      <c r="Q10" s="15" t="n">
        <f aca="false">IF(B10="","",DATE(YEAR(B10),MONTH(B10),1))</f>
        <v>45931</v>
      </c>
      <c r="R10" s="16" t="str">
        <f aca="false">IF(A10="","Invalid - Exclude",IF(COUNTIF($A$2:A10,A10)&gt;1,"Duplicate - Exclude",IF(OR(B10="",H10="",I10=""),"Invalid - Exclude","Valid")))</f>
        <v>Valid</v>
      </c>
      <c r="S10" s="16" t="str">
        <f aca="false">IF(R10="Valid","",IF(R10="Duplicate - Exclude","Repeat of an earlier Order ID",IF(B10="","Date missing or unreadable",IF(H10="","Quantity missing or unreadable",IF(I10="","Unit price missing or unreadable","Order ID missing")))))</f>
        <v/>
      </c>
    </row>
    <row r="11" customFormat="false" ht="15" hidden="false" customHeight="true" outlineLevel="0" collapsed="false">
      <c r="A11" s="17" t="str">
        <f aca="false">UPPER(TRIM(Raw_Data!A11))</f>
        <v>ORD-1010</v>
      </c>
      <c r="B11" s="18" t="n">
        <f aca="false">IFERROR(IF(ISNUMBER(Raw_Data!B11),Raw_Data!B11,IF(ISNUMBER(FIND("/",Raw_Data!B11)),DATE(VALUE(RIGHT(TRIM(Raw_Data!B11),4)),VALUE(MID(TRIM(Raw_Data!B11),4,2)),VALUE(LEFT(TRIM(Raw_Data!B11),2))),IF(MID(TRIM(Raw_Data!B11),5,1)="-",DATE(VALUE(LEFT(TRIM(Raw_Data!B11),4)),VALUE(MID(TRIM(Raw_Data!B11),6,2)),VALUE(RIGHT(TRIM(Raw_Data!B11),2))),DATE(VALUE(RIGHT(TRIM(Raw_Data!B11),4)),MATCH(MID(TRIM(Raw_Data!B11),4,3),{"Jan","Feb","Mar","Apr","May","Jun","Jul","Aug","Sep","Oct","Nov","Dec"},0),VALUE(LEFT(TRIM(Raw_Data!B11),2)))))),"")</f>
        <v>45752</v>
      </c>
      <c r="C11" s="17" t="str">
        <f aca="false">IF(TRIM(Raw_Data!C11)="","Unknown",PROPER(TRIM(Raw_Data!C11)))</f>
        <v>Sana Raza</v>
      </c>
      <c r="D11" s="17" t="str">
        <f aca="false">IFERROR(INDEX({"Punjab","Sindh","KPK","Balochistan"},MATCH(UPPER(LEFT(TRIM(Raw_Data!D11),1)),{"P","S","K","B"},0)),IFERROR(INDEX(Data_Dictionary!$G$4:$G$16,MATCH(E11,Data_Dictionary!$F$4:$F$16,0)),"Unassigned"))</f>
        <v>Punjab</v>
      </c>
      <c r="E11" s="17" t="str">
        <f aca="false">IF(TRIM(Raw_Data!E11)="","Unknown",PROPER(TRIM(Raw_Data!E11)))</f>
        <v>Faisalabad</v>
      </c>
      <c r="F11" s="17" t="str">
        <f aca="false">IFERROR(INDEX({"Electronics","Home &amp; Kitchen","Clothing","Groceries","Beauty"},MATCH(UPPER(LEFT(TRIM(Raw_Data!F11),3)),{"ELE","HOM","CLO","GRO","BEA"},0)),"Uncategorised")</f>
        <v>Groceries</v>
      </c>
      <c r="G11" s="17" t="str">
        <f aca="false">IF(TRIM(Raw_Data!G11)="","Unknown",PROPER(TRIM(Raw_Data!G11)))</f>
        <v>Refined Sugar 10 Kg</v>
      </c>
      <c r="H11" s="19" t="n">
        <f aca="false">IFERROR(ABS(VALUE(TRIM(Raw_Data!H11))),"")</f>
        <v>2</v>
      </c>
      <c r="I11" s="20" t="n">
        <f aca="false">IFERROR(VALUE(TRIM(SUBSTITUTE(SUBSTITUTE(SUBSTITUTE(SUBSTITUTE(TRIM(Raw_Data!I11),"PKR",""),"Rs.",""),"Rs",""),",",""))),"")</f>
        <v>1650</v>
      </c>
      <c r="J11" s="21" t="n">
        <f aca="false">IFERROR(IF(TRIM(Raw_Data!J11)="",0,IF(VALUE(TRIM(Raw_Data!J11))&gt;1,VALUE(TRIM(Raw_Data!J11))/100,VALUE(TRIM(Raw_Data!J11)))),0)</f>
        <v>0</v>
      </c>
      <c r="K11" s="17" t="str">
        <f aca="false">IF(TRIM(Raw_Data!K11)="","Unassigned",PROPER(TRIM(Raw_Data!K11)))</f>
        <v>Nimra Aslam</v>
      </c>
      <c r="L11" s="17" t="str">
        <f aca="false">IFERROR(INDEX({"Credit Card","Credit Card","Debit Card","Debit Card","Cash","PayPal"},MATCH(UPPER(LEFT(TRIM(Raw_Data!L11),2)),{"CR","CC","DE","DC","CA","PA"},0)),"Other")</f>
        <v>Cash</v>
      </c>
      <c r="M11" s="17" t="str">
        <f aca="false">IFERROR(INDEX({"Completed","Returned","Cancelled","Pending"},MATCH(UPPER(LEFT(TRIM(Raw_Data!M11),3)),{"COM","RET","CAN","PEN"},0)),"Unknown")</f>
        <v>Completed</v>
      </c>
      <c r="N11" s="20" t="n">
        <f aca="false">IF(OR(H11="",I11=""),"",H11*I11)</f>
        <v>3300</v>
      </c>
      <c r="O11" s="20" t="n">
        <f aca="false">IF(N11="","",N11*J11)</f>
        <v>0</v>
      </c>
      <c r="P11" s="20" t="n">
        <f aca="false">IF(N11="","",N11-O11)</f>
        <v>3300</v>
      </c>
      <c r="Q11" s="22" t="n">
        <f aca="false">IF(B11="","",DATE(YEAR(B11),MONTH(B11),1))</f>
        <v>45748</v>
      </c>
      <c r="R11" s="17" t="str">
        <f aca="false">IF(A11="","Invalid - Exclude",IF(COUNTIF($A$2:A11,A11)&gt;1,"Duplicate - Exclude",IF(OR(B11="",H11="",I11=""),"Invalid - Exclude","Valid")))</f>
        <v>Valid</v>
      </c>
      <c r="S11" s="17" t="str">
        <f aca="false">IF(R11="Valid","",IF(R11="Duplicate - Exclude","Repeat of an earlier Order ID",IF(B11="","Date missing or unreadable",IF(H11="","Quantity missing or unreadable",IF(I11="","Unit price missing or unreadable","Order ID missing")))))</f>
        <v/>
      </c>
    </row>
    <row r="12" customFormat="false" ht="15" hidden="false" customHeight="true" outlineLevel="0" collapsed="false">
      <c r="A12" s="9" t="str">
        <f aca="false">UPPER(TRIM(Raw_Data!A12))</f>
        <v>ORD-1011</v>
      </c>
      <c r="B12" s="10" t="n">
        <f aca="false">IFERROR(IF(ISNUMBER(Raw_Data!B12),Raw_Data!B12,IF(ISNUMBER(FIND("/",Raw_Data!B12)),DATE(VALUE(RIGHT(TRIM(Raw_Data!B12),4)),VALUE(MID(TRIM(Raw_Data!B12),4,2)),VALUE(LEFT(TRIM(Raw_Data!B12),2))),IF(MID(TRIM(Raw_Data!B12),5,1)="-",DATE(VALUE(LEFT(TRIM(Raw_Data!B12),4)),VALUE(MID(TRIM(Raw_Data!B12),6,2)),VALUE(RIGHT(TRIM(Raw_Data!B12),2))),DATE(VALUE(RIGHT(TRIM(Raw_Data!B12),4)),MATCH(MID(TRIM(Raw_Data!B12),4,3),{"Jan","Feb","Mar","Apr","May","Jun","Jul","Aug","Sep","Oct","Nov","Dec"},0),VALUE(LEFT(TRIM(Raw_Data!B12),2)))))),"")</f>
        <v>45872</v>
      </c>
      <c r="C12" s="9" t="str">
        <f aca="false">IF(TRIM(Raw_Data!C12)="","Unknown",PROPER(TRIM(Raw_Data!C12)))</f>
        <v>Hassan Raza</v>
      </c>
      <c r="D12" s="9" t="str">
        <f aca="false">IFERROR(INDEX({"Punjab","Sindh","KPK","Balochistan"},MATCH(UPPER(LEFT(TRIM(Raw_Data!D12),1)),{"P","S","K","B"},0)),IFERROR(INDEX(Data_Dictionary!$G$4:$G$16,MATCH(E12,Data_Dictionary!$F$4:$F$16,0)),"Unassigned"))</f>
        <v>Punjab</v>
      </c>
      <c r="E12" s="9" t="str">
        <f aca="false">IF(TRIM(Raw_Data!E12)="","Unknown",PROPER(TRIM(Raw_Data!E12)))</f>
        <v>Lahore</v>
      </c>
      <c r="F12" s="9" t="str">
        <f aca="false">IFERROR(INDEX({"Electronics","Home &amp; Kitchen","Clothing","Groceries","Beauty"},MATCH(UPPER(LEFT(TRIM(Raw_Data!F12),3)),{"ELE","HOM","CLO","GRO","BEA"},0)),"Uncategorised")</f>
        <v>Home &amp; Kitchen</v>
      </c>
      <c r="G12" s="9" t="str">
        <f aca="false">IF(TRIM(Raw_Data!G12)="","Unknown",PROPER(TRIM(Raw_Data!G12)))</f>
        <v>Hand Blender</v>
      </c>
      <c r="H12" s="11" t="n">
        <f aca="false">IFERROR(ABS(VALUE(TRIM(Raw_Data!H12))),"")</f>
        <v>3</v>
      </c>
      <c r="I12" s="12" t="n">
        <f aca="false">IFERROR(VALUE(TRIM(SUBSTITUTE(SUBSTITUTE(SUBSTITUTE(SUBSTITUTE(TRIM(Raw_Data!I12),"PKR",""),"Rs.",""),"Rs",""),",",""))),"")</f>
        <v>3700</v>
      </c>
      <c r="J12" s="13" t="n">
        <f aca="false">IFERROR(IF(TRIM(Raw_Data!J12)="",0,IF(VALUE(TRIM(Raw_Data!J12))&gt;1,VALUE(TRIM(Raw_Data!J12))/100,VALUE(TRIM(Raw_Data!J12)))),0)</f>
        <v>0.1</v>
      </c>
      <c r="K12" s="9" t="str">
        <f aca="false">IF(TRIM(Raw_Data!K12)="","Unassigned",PROPER(TRIM(Raw_Data!K12)))</f>
        <v>Zoya Tariq</v>
      </c>
      <c r="L12" s="9" t="str">
        <f aca="false">IFERROR(INDEX({"Credit Card","Credit Card","Debit Card","Debit Card","Cash","PayPal"},MATCH(UPPER(LEFT(TRIM(Raw_Data!L12),2)),{"CR","CC","DE","DC","CA","PA"},0)),"Other")</f>
        <v>Cash</v>
      </c>
      <c r="M12" s="9" t="str">
        <f aca="false">IFERROR(INDEX({"Completed","Returned","Cancelled","Pending"},MATCH(UPPER(LEFT(TRIM(Raw_Data!M12),3)),{"COM","RET","CAN","PEN"},0)),"Unknown")</f>
        <v>Completed</v>
      </c>
      <c r="N12" s="14" t="n">
        <f aca="false">IF(OR(H12="",I12=""),"",H12*I12)</f>
        <v>11100</v>
      </c>
      <c r="O12" s="14" t="n">
        <f aca="false">IF(N12="","",N12*J12)</f>
        <v>1110</v>
      </c>
      <c r="P12" s="14" t="n">
        <f aca="false">IF(N12="","",N12-O12)</f>
        <v>9990</v>
      </c>
      <c r="Q12" s="15" t="n">
        <f aca="false">IF(B12="","",DATE(YEAR(B12),MONTH(B12),1))</f>
        <v>45870</v>
      </c>
      <c r="R12" s="16" t="str">
        <f aca="false">IF(A12="","Invalid - Exclude",IF(COUNTIF($A$2:A12,A12)&gt;1,"Duplicate - Exclude",IF(OR(B12="",H12="",I12=""),"Invalid - Exclude","Valid")))</f>
        <v>Valid</v>
      </c>
      <c r="S12" s="16" t="str">
        <f aca="false">IF(R12="Valid","",IF(R12="Duplicate - Exclude","Repeat of an earlier Order ID",IF(B12="","Date missing or unreadable",IF(H12="","Quantity missing or unreadable",IF(I12="","Unit price missing or unreadable","Order ID missing")))))</f>
        <v/>
      </c>
    </row>
    <row r="13" customFormat="false" ht="15" hidden="false" customHeight="true" outlineLevel="0" collapsed="false">
      <c r="A13" s="17" t="str">
        <f aca="false">UPPER(TRIM(Raw_Data!A13))</f>
        <v>ORD-1012</v>
      </c>
      <c r="B13" s="18" t="n">
        <f aca="false">IFERROR(IF(ISNUMBER(Raw_Data!B13),Raw_Data!B13,IF(ISNUMBER(FIND("/",Raw_Data!B13)),DATE(VALUE(RIGHT(TRIM(Raw_Data!B13),4)),VALUE(MID(TRIM(Raw_Data!B13),4,2)),VALUE(LEFT(TRIM(Raw_Data!B13),2))),IF(MID(TRIM(Raw_Data!B13),5,1)="-",DATE(VALUE(LEFT(TRIM(Raw_Data!B13),4)),VALUE(MID(TRIM(Raw_Data!B13),6,2)),VALUE(RIGHT(TRIM(Raw_Data!B13),2))),DATE(VALUE(RIGHT(TRIM(Raw_Data!B13),4)),MATCH(MID(TRIM(Raw_Data!B13),4,3),{"Jan","Feb","Mar","Apr","May","Jun","Jul","Aug","Sep","Oct","Nov","Dec"},0),VALUE(LEFT(TRIM(Raw_Data!B13),2)))))),"")</f>
        <v>45908</v>
      </c>
      <c r="C13" s="17" t="str">
        <f aca="false">IF(TRIM(Raw_Data!C13)="","Unknown",PROPER(TRIM(Raw_Data!C13)))</f>
        <v>Ahmed Hussain</v>
      </c>
      <c r="D13" s="17" t="str">
        <f aca="false">IFERROR(INDEX({"Punjab","Sindh","KPK","Balochistan"},MATCH(UPPER(LEFT(TRIM(Raw_Data!D13),1)),{"P","S","K","B"},0)),IFERROR(INDEX(Data_Dictionary!$G$4:$G$16,MATCH(E13,Data_Dictionary!$F$4:$F$16,0)),"Unassigned"))</f>
        <v>Punjab</v>
      </c>
      <c r="E13" s="17" t="str">
        <f aca="false">IF(TRIM(Raw_Data!E13)="","Unknown",PROPER(TRIM(Raw_Data!E13)))</f>
        <v>Lahore</v>
      </c>
      <c r="F13" s="17" t="str">
        <f aca="false">IFERROR(INDEX({"Electronics","Home &amp; Kitchen","Clothing","Groceries","Beauty"},MATCH(UPPER(LEFT(TRIM(Raw_Data!F13),3)),{"ELE","HOM","CLO","GRO","BEA"},0)),"Uncategorised")</f>
        <v>Beauty</v>
      </c>
      <c r="G13" s="17" t="str">
        <f aca="false">IF(TRIM(Raw_Data!G13)="","Unknown",PROPER(TRIM(Raw_Data!G13)))</f>
        <v>Face Wash</v>
      </c>
      <c r="H13" s="19" t="n">
        <f aca="false">IFERROR(ABS(VALUE(TRIM(Raw_Data!H13))),"")</f>
        <v>2</v>
      </c>
      <c r="I13" s="20" t="n">
        <f aca="false">IFERROR(VALUE(TRIM(SUBSTITUTE(SUBSTITUTE(SUBSTITUTE(SUBSTITUTE(TRIM(Raw_Data!I13),"PKR",""),"Rs.",""),"Rs",""),",",""))),"")</f>
        <v>850</v>
      </c>
      <c r="J13" s="21" t="n">
        <f aca="false">IFERROR(IF(TRIM(Raw_Data!J13)="",0,IF(VALUE(TRIM(Raw_Data!J13))&gt;1,VALUE(TRIM(Raw_Data!J13))/100,VALUE(TRIM(Raw_Data!J13)))),0)</f>
        <v>0</v>
      </c>
      <c r="K13" s="17" t="str">
        <f aca="false">IF(TRIM(Raw_Data!K13)="","Unassigned",PROPER(TRIM(Raw_Data!K13)))</f>
        <v>Faisal Mehmood</v>
      </c>
      <c r="L13" s="17" t="str">
        <f aca="false">IFERROR(INDEX({"Credit Card","Credit Card","Debit Card","Debit Card","Cash","PayPal"},MATCH(UPPER(LEFT(TRIM(Raw_Data!L13),2)),{"CR","CC","DE","DC","CA","PA"},0)),"Other")</f>
        <v>Credit Card</v>
      </c>
      <c r="M13" s="17" t="str">
        <f aca="false">IFERROR(INDEX({"Completed","Returned","Cancelled","Pending"},MATCH(UPPER(LEFT(TRIM(Raw_Data!M13),3)),{"COM","RET","CAN","PEN"},0)),"Unknown")</f>
        <v>Completed</v>
      </c>
      <c r="N13" s="20" t="n">
        <f aca="false">IF(OR(H13="",I13=""),"",H13*I13)</f>
        <v>1700</v>
      </c>
      <c r="O13" s="20" t="n">
        <f aca="false">IF(N13="","",N13*J13)</f>
        <v>0</v>
      </c>
      <c r="P13" s="20" t="n">
        <f aca="false">IF(N13="","",N13-O13)</f>
        <v>1700</v>
      </c>
      <c r="Q13" s="22" t="n">
        <f aca="false">IF(B13="","",DATE(YEAR(B13),MONTH(B13),1))</f>
        <v>45901</v>
      </c>
      <c r="R13" s="17" t="str">
        <f aca="false">IF(A13="","Invalid - Exclude",IF(COUNTIF($A$2:A13,A13)&gt;1,"Duplicate - Exclude",IF(OR(B13="",H13="",I13=""),"Invalid - Exclude","Valid")))</f>
        <v>Valid</v>
      </c>
      <c r="S13" s="17" t="str">
        <f aca="false">IF(R13="Valid","",IF(R13="Duplicate - Exclude","Repeat of an earlier Order ID",IF(B13="","Date missing or unreadable",IF(H13="","Quantity missing or unreadable",IF(I13="","Unit price missing or unreadable","Order ID missing")))))</f>
        <v/>
      </c>
    </row>
    <row r="14" customFormat="false" ht="15" hidden="false" customHeight="true" outlineLevel="0" collapsed="false">
      <c r="A14" s="9" t="str">
        <f aca="false">UPPER(TRIM(Raw_Data!A14))</f>
        <v>ORD-1013</v>
      </c>
      <c r="B14" s="10" t="n">
        <f aca="false">IFERROR(IF(ISNUMBER(Raw_Data!B14),Raw_Data!B14,IF(ISNUMBER(FIND("/",Raw_Data!B14)),DATE(VALUE(RIGHT(TRIM(Raw_Data!B14),4)),VALUE(MID(TRIM(Raw_Data!B14),4,2)),VALUE(LEFT(TRIM(Raw_Data!B14),2))),IF(MID(TRIM(Raw_Data!B14),5,1)="-",DATE(VALUE(LEFT(TRIM(Raw_Data!B14),4)),VALUE(MID(TRIM(Raw_Data!B14),6,2)),VALUE(RIGHT(TRIM(Raw_Data!B14),2))),DATE(VALUE(RIGHT(TRIM(Raw_Data!B14),4)),MATCH(MID(TRIM(Raw_Data!B14),4,3),{"Jan","Feb","Mar","Apr","May","Jun","Jul","Aug","Sep","Oct","Nov","Dec"},0),VALUE(LEFT(TRIM(Raw_Data!B14),2)))))),"")</f>
        <v>45695</v>
      </c>
      <c r="C14" s="9" t="str">
        <f aca="false">IF(TRIM(Raw_Data!C14)="","Unknown",PROPER(TRIM(Raw_Data!C14)))</f>
        <v>Hina Chaudhry</v>
      </c>
      <c r="D14" s="9" t="str">
        <f aca="false">IFERROR(INDEX({"Punjab","Sindh","KPK","Balochistan"},MATCH(UPPER(LEFT(TRIM(Raw_Data!D14),1)),{"P","S","K","B"},0)),IFERROR(INDEX(Data_Dictionary!$G$4:$G$16,MATCH(E14,Data_Dictionary!$F$4:$F$16,0)),"Unassigned"))</f>
        <v>KPK</v>
      </c>
      <c r="E14" s="9" t="str">
        <f aca="false">IF(TRIM(Raw_Data!E14)="","Unknown",PROPER(TRIM(Raw_Data!E14)))</f>
        <v>Mardan</v>
      </c>
      <c r="F14" s="9" t="str">
        <f aca="false">IFERROR(INDEX({"Electronics","Home &amp; Kitchen","Clothing","Groceries","Beauty"},MATCH(UPPER(LEFT(TRIM(Raw_Data!F14),3)),{"ELE","HOM","CLO","GRO","BEA"},0)),"Uncategorised")</f>
        <v>Home &amp; Kitchen</v>
      </c>
      <c r="G14" s="9" t="str">
        <f aca="false">IF(TRIM(Raw_Data!G14)="","Unknown",PROPER(TRIM(Raw_Data!G14)))</f>
        <v>Rice Cooker</v>
      </c>
      <c r="H14" s="11" t="n">
        <f aca="false">IFERROR(ABS(VALUE(TRIM(Raw_Data!H14))),"")</f>
        <v>4</v>
      </c>
      <c r="I14" s="12" t="n">
        <f aca="false">IFERROR(VALUE(TRIM(SUBSTITUTE(SUBSTITUTE(SUBSTITUTE(SUBSTITUTE(TRIM(Raw_Data!I14),"PKR",""),"Rs.",""),"Rs",""),",",""))),"")</f>
        <v>7200</v>
      </c>
      <c r="J14" s="13" t="n">
        <f aca="false">IFERROR(IF(TRIM(Raw_Data!J14)="",0,IF(VALUE(TRIM(Raw_Data!J14))&gt;1,VALUE(TRIM(Raw_Data!J14))/100,VALUE(TRIM(Raw_Data!J14)))),0)</f>
        <v>0</v>
      </c>
      <c r="K14" s="9" t="str">
        <f aca="false">IF(TRIM(Raw_Data!K14)="","Unassigned",PROPER(TRIM(Raw_Data!K14)))</f>
        <v>Sadia Noor</v>
      </c>
      <c r="L14" s="9" t="str">
        <f aca="false">IFERROR(INDEX({"Credit Card","Credit Card","Debit Card","Debit Card","Cash","PayPal"},MATCH(UPPER(LEFT(TRIM(Raw_Data!L14),2)),{"CR","CC","DE","DC","CA","PA"},0)),"Other")</f>
        <v>Credit Card</v>
      </c>
      <c r="M14" s="9" t="str">
        <f aca="false">IFERROR(INDEX({"Completed","Returned","Cancelled","Pending"},MATCH(UPPER(LEFT(TRIM(Raw_Data!M14),3)),{"COM","RET","CAN","PEN"},0)),"Unknown")</f>
        <v>Completed</v>
      </c>
      <c r="N14" s="14" t="n">
        <f aca="false">IF(OR(H14="",I14=""),"",H14*I14)</f>
        <v>28800</v>
      </c>
      <c r="O14" s="14" t="n">
        <f aca="false">IF(N14="","",N14*J14)</f>
        <v>0</v>
      </c>
      <c r="P14" s="14" t="n">
        <f aca="false">IF(N14="","",N14-O14)</f>
        <v>28800</v>
      </c>
      <c r="Q14" s="15" t="n">
        <f aca="false">IF(B14="","",DATE(YEAR(B14),MONTH(B14),1))</f>
        <v>45689</v>
      </c>
      <c r="R14" s="16" t="str">
        <f aca="false">IF(A14="","Invalid - Exclude",IF(COUNTIF($A$2:A14,A14)&gt;1,"Duplicate - Exclude",IF(OR(B14="",H14="",I14=""),"Invalid - Exclude","Valid")))</f>
        <v>Valid</v>
      </c>
      <c r="S14" s="16" t="str">
        <f aca="false">IF(R14="Valid","",IF(R14="Duplicate - Exclude","Repeat of an earlier Order ID",IF(B14="","Date missing or unreadable",IF(H14="","Quantity missing or unreadable",IF(I14="","Unit price missing or unreadable","Order ID missing")))))</f>
        <v/>
      </c>
    </row>
    <row r="15" customFormat="false" ht="15" hidden="false" customHeight="true" outlineLevel="0" collapsed="false">
      <c r="A15" s="17" t="str">
        <f aca="false">UPPER(TRIM(Raw_Data!A15))</f>
        <v>ORD-1014</v>
      </c>
      <c r="B15" s="18" t="n">
        <f aca="false">IFERROR(IF(ISNUMBER(Raw_Data!B15),Raw_Data!B15,IF(ISNUMBER(FIND("/",Raw_Data!B15)),DATE(VALUE(RIGHT(TRIM(Raw_Data!B15),4)),VALUE(MID(TRIM(Raw_Data!B15),4,2)),VALUE(LEFT(TRIM(Raw_Data!B15),2))),IF(MID(TRIM(Raw_Data!B15),5,1)="-",DATE(VALUE(LEFT(TRIM(Raw_Data!B15),4)),VALUE(MID(TRIM(Raw_Data!B15),6,2)),VALUE(RIGHT(TRIM(Raw_Data!B15),2))),DATE(VALUE(RIGHT(TRIM(Raw_Data!B15),4)),MATCH(MID(TRIM(Raw_Data!B15),4,3),{"Jan","Feb","Mar","Apr","May","Jun","Jul","Aug","Sep","Oct","Nov","Dec"},0),VALUE(LEFT(TRIM(Raw_Data!B15),2)))))),"")</f>
        <v>45762</v>
      </c>
      <c r="C15" s="17" t="str">
        <f aca="false">IF(TRIM(Raw_Data!C15)="","Unknown",PROPER(TRIM(Raw_Data!C15)))</f>
        <v>Ahmed Qureshi</v>
      </c>
      <c r="D15" s="17" t="str">
        <f aca="false">IFERROR(INDEX({"Punjab","Sindh","KPK","Balochistan"},MATCH(UPPER(LEFT(TRIM(Raw_Data!D15),1)),{"P","S","K","B"},0)),IFERROR(INDEX(Data_Dictionary!$G$4:$G$16,MATCH(E15,Data_Dictionary!$F$4:$F$16,0)),"Unassigned"))</f>
        <v>Sindh</v>
      </c>
      <c r="E15" s="17" t="str">
        <f aca="false">IF(TRIM(Raw_Data!E15)="","Unknown",PROPER(TRIM(Raw_Data!E15)))</f>
        <v>Karachi</v>
      </c>
      <c r="F15" s="17" t="str">
        <f aca="false">IFERROR(INDEX({"Electronics","Home &amp; Kitchen","Clothing","Groceries","Beauty"},MATCH(UPPER(LEFT(TRIM(Raw_Data!F15),3)),{"ELE","HOM","CLO","GRO","BEA"},0)),"Uncategorised")</f>
        <v>Uncategorised</v>
      </c>
      <c r="G15" s="17" t="str">
        <f aca="false">IF(TRIM(Raw_Data!G15)="","Unknown",PROPER(TRIM(Raw_Data!G15)))</f>
        <v>Face Wash</v>
      </c>
      <c r="H15" s="19" t="n">
        <f aca="false">IFERROR(ABS(VALUE(TRIM(Raw_Data!H15))),"")</f>
        <v>4</v>
      </c>
      <c r="I15" s="20" t="str">
        <f aca="false">IFERROR(VALUE(TRIM(SUBSTITUTE(SUBSTITUTE(SUBSTITUTE(SUBSTITUTE(TRIM(Raw_Data!I15),"PKR",""),"Rs.",""),"Rs",""),",",""))),"")</f>
        <v/>
      </c>
      <c r="J15" s="21" t="n">
        <f aca="false">IFERROR(IF(TRIM(Raw_Data!J15)="",0,IF(VALUE(TRIM(Raw_Data!J15))&gt;1,VALUE(TRIM(Raw_Data!J15))/100,VALUE(TRIM(Raw_Data!J15)))),0)</f>
        <v>0</v>
      </c>
      <c r="K15" s="17" t="str">
        <f aca="false">IF(TRIM(Raw_Data!K15)="","Unassigned",PROPER(TRIM(Raw_Data!K15)))</f>
        <v>Faisal Mehmood</v>
      </c>
      <c r="L15" s="17" t="str">
        <f aca="false">IFERROR(INDEX({"Credit Card","Credit Card","Debit Card","Debit Card","Cash","PayPal"},MATCH(UPPER(LEFT(TRIM(Raw_Data!L15),2)),{"CR","CC","DE","DC","CA","PA"},0)),"Other")</f>
        <v>Credit Card</v>
      </c>
      <c r="M15" s="17" t="str">
        <f aca="false">IFERROR(INDEX({"Completed","Returned","Cancelled","Pending"},MATCH(UPPER(LEFT(TRIM(Raw_Data!M15),3)),{"COM","RET","CAN","PEN"},0)),"Unknown")</f>
        <v>Completed</v>
      </c>
      <c r="N15" s="20" t="str">
        <f aca="false">IF(OR(H15="",I15=""),"",H15*I15)</f>
        <v/>
      </c>
      <c r="O15" s="20" t="str">
        <f aca="false">IF(N15="","",N15*J15)</f>
        <v/>
      </c>
      <c r="P15" s="20" t="str">
        <f aca="false">IF(N15="","",N15-O15)</f>
        <v/>
      </c>
      <c r="Q15" s="22" t="n">
        <f aca="false">IF(B15="","",DATE(YEAR(B15),MONTH(B15),1))</f>
        <v>45748</v>
      </c>
      <c r="R15" s="17" t="str">
        <f aca="false">IF(A15="","Invalid - Exclude",IF(COUNTIF($A$2:A15,A15)&gt;1,"Duplicate - Exclude",IF(OR(B15="",H15="",I15=""),"Invalid - Exclude","Valid")))</f>
        <v>Invalid - Exclude</v>
      </c>
      <c r="S15" s="17" t="str">
        <f aca="false">IF(R15="Valid","",IF(R15="Duplicate - Exclude","Repeat of an earlier Order ID",IF(B15="","Date missing or unreadable",IF(H15="","Quantity missing or unreadable",IF(I15="","Unit price missing or unreadable","Order ID missing")))))</f>
        <v>Unit price missing or unreadable</v>
      </c>
    </row>
    <row r="16" customFormat="false" ht="15" hidden="false" customHeight="true" outlineLevel="0" collapsed="false">
      <c r="A16" s="9" t="str">
        <f aca="false">UPPER(TRIM(Raw_Data!A16))</f>
        <v>ORD-1015</v>
      </c>
      <c r="B16" s="10" t="n">
        <f aca="false">IFERROR(IF(ISNUMBER(Raw_Data!B16),Raw_Data!B16,IF(ISNUMBER(FIND("/",Raw_Data!B16)),DATE(VALUE(RIGHT(TRIM(Raw_Data!B16),4)),VALUE(MID(TRIM(Raw_Data!B16),4,2)),VALUE(LEFT(TRIM(Raw_Data!B16),2))),IF(MID(TRIM(Raw_Data!B16),5,1)="-",DATE(VALUE(LEFT(TRIM(Raw_Data!B16),4)),VALUE(MID(TRIM(Raw_Data!B16),6,2)),VALUE(RIGHT(TRIM(Raw_Data!B16),2))),DATE(VALUE(RIGHT(TRIM(Raw_Data!B16),4)),MATCH(MID(TRIM(Raw_Data!B16),4,3),{"Jan","Feb","Mar","Apr","May","Jun","Jul","Aug","Sep","Oct","Nov","Dec"},0),VALUE(LEFT(TRIM(Raw_Data!B16),2)))))),"")</f>
        <v>45825</v>
      </c>
      <c r="C16" s="9" t="str">
        <f aca="false">IF(TRIM(Raw_Data!C16)="","Unknown",PROPER(TRIM(Raw_Data!C16)))</f>
        <v>Saad Iqbal</v>
      </c>
      <c r="D16" s="9" t="str">
        <f aca="false">IFERROR(INDEX({"Punjab","Sindh","KPK","Balochistan"},MATCH(UPPER(LEFT(TRIM(Raw_Data!D16),1)),{"P","S","K","B"},0)),IFERROR(INDEX(Data_Dictionary!$G$4:$G$16,MATCH(E16,Data_Dictionary!$F$4:$F$16,0)),"Unassigned"))</f>
        <v>Punjab</v>
      </c>
      <c r="E16" s="9" t="str">
        <f aca="false">IF(TRIM(Raw_Data!E16)="","Unknown",PROPER(TRIM(Raw_Data!E16)))</f>
        <v>Gujranwala</v>
      </c>
      <c r="F16" s="9" t="str">
        <f aca="false">IFERROR(INDEX({"Electronics","Home &amp; Kitchen","Clothing","Groceries","Beauty"},MATCH(UPPER(LEFT(TRIM(Raw_Data!F16),3)),{"ELE","HOM","CLO","GRO","BEA"},0)),"Uncategorised")</f>
        <v>Groceries</v>
      </c>
      <c r="G16" s="9" t="str">
        <f aca="false">IF(TRIM(Raw_Data!G16)="","Unknown",PROPER(TRIM(Raw_Data!G16)))</f>
        <v>Refined Sugar 10 Kg</v>
      </c>
      <c r="H16" s="11" t="n">
        <f aca="false">IFERROR(ABS(VALUE(TRIM(Raw_Data!H16))),"")</f>
        <v>4</v>
      </c>
      <c r="I16" s="12" t="n">
        <f aca="false">IFERROR(VALUE(TRIM(SUBSTITUTE(SUBSTITUTE(SUBSTITUTE(SUBSTITUTE(TRIM(Raw_Data!I16),"PKR",""),"Rs.",""),"Rs",""),",",""))),"")</f>
        <v>1600</v>
      </c>
      <c r="J16" s="13" t="n">
        <f aca="false">IFERROR(IF(TRIM(Raw_Data!J16)="",0,IF(VALUE(TRIM(Raw_Data!J16))&gt;1,VALUE(TRIM(Raw_Data!J16))/100,VALUE(TRIM(Raw_Data!J16)))),0)</f>
        <v>0.05</v>
      </c>
      <c r="K16" s="9" t="str">
        <f aca="false">IF(TRIM(Raw_Data!K16)="","Unassigned",PROPER(TRIM(Raw_Data!K16)))</f>
        <v>Waqar Ahmed</v>
      </c>
      <c r="L16" s="9" t="str">
        <f aca="false">IFERROR(INDEX({"Credit Card","Credit Card","Debit Card","Debit Card","Cash","PayPal"},MATCH(UPPER(LEFT(TRIM(Raw_Data!L16),2)),{"CR","CC","DE","DC","CA","PA"},0)),"Other")</f>
        <v>Credit Card</v>
      </c>
      <c r="M16" s="9" t="str">
        <f aca="false">IFERROR(INDEX({"Completed","Returned","Cancelled","Pending"},MATCH(UPPER(LEFT(TRIM(Raw_Data!M16),3)),{"COM","RET","CAN","PEN"},0)),"Unknown")</f>
        <v>Completed</v>
      </c>
      <c r="N16" s="14" t="n">
        <f aca="false">IF(OR(H16="",I16=""),"",H16*I16)</f>
        <v>6400</v>
      </c>
      <c r="O16" s="14" t="n">
        <f aca="false">IF(N16="","",N16*J16)</f>
        <v>320</v>
      </c>
      <c r="P16" s="14" t="n">
        <f aca="false">IF(N16="","",N16-O16)</f>
        <v>6080</v>
      </c>
      <c r="Q16" s="15" t="n">
        <f aca="false">IF(B16="","",DATE(YEAR(B16),MONTH(B16),1))</f>
        <v>45809</v>
      </c>
      <c r="R16" s="16" t="str">
        <f aca="false">IF(A16="","Invalid - Exclude",IF(COUNTIF($A$2:A16,A16)&gt;1,"Duplicate - Exclude",IF(OR(B16="",H16="",I16=""),"Invalid - Exclude","Valid")))</f>
        <v>Valid</v>
      </c>
      <c r="S16" s="16" t="str">
        <f aca="false">IF(R16="Valid","",IF(R16="Duplicate - Exclude","Repeat of an earlier Order ID",IF(B16="","Date missing or unreadable",IF(H16="","Quantity missing or unreadable",IF(I16="","Unit price missing or unreadable","Order ID missing")))))</f>
        <v/>
      </c>
    </row>
    <row r="17" customFormat="false" ht="15" hidden="false" customHeight="true" outlineLevel="0" collapsed="false">
      <c r="A17" s="17" t="str">
        <f aca="false">UPPER(TRIM(Raw_Data!A17))</f>
        <v>ORD-1016</v>
      </c>
      <c r="B17" s="18" t="n">
        <f aca="false">IFERROR(IF(ISNUMBER(Raw_Data!B17),Raw_Data!B17,IF(ISNUMBER(FIND("/",Raw_Data!B17)),DATE(VALUE(RIGHT(TRIM(Raw_Data!B17),4)),VALUE(MID(TRIM(Raw_Data!B17),4,2)),VALUE(LEFT(TRIM(Raw_Data!B17),2))),IF(MID(TRIM(Raw_Data!B17),5,1)="-",DATE(VALUE(LEFT(TRIM(Raw_Data!B17),4)),VALUE(MID(TRIM(Raw_Data!B17),6,2)),VALUE(RIGHT(TRIM(Raw_Data!B17),2))),DATE(VALUE(RIGHT(TRIM(Raw_Data!B17),4)),MATCH(MID(TRIM(Raw_Data!B17),4,3),{"Jan","Feb","Mar","Apr","May","Jun","Jul","Aug","Sep","Oct","Nov","Dec"},0),VALUE(LEFT(TRIM(Raw_Data!B17),2)))))),"")</f>
        <v>45880</v>
      </c>
      <c r="C17" s="17" t="str">
        <f aca="false">IF(TRIM(Raw_Data!C17)="","Unknown",PROPER(TRIM(Raw_Data!C17)))</f>
        <v>Iqra Butt</v>
      </c>
      <c r="D17" s="17" t="str">
        <f aca="false">IFERROR(INDEX({"Punjab","Sindh","KPK","Balochistan"},MATCH(UPPER(LEFT(TRIM(Raw_Data!D17),1)),{"P","S","K","B"},0)),IFERROR(INDEX(Data_Dictionary!$G$4:$G$16,MATCH(E17,Data_Dictionary!$F$4:$F$16,0)),"Unassigned"))</f>
        <v>KPK</v>
      </c>
      <c r="E17" s="17" t="str">
        <f aca="false">IF(TRIM(Raw_Data!E17)="","Unknown",PROPER(TRIM(Raw_Data!E17)))</f>
        <v>Peshawar</v>
      </c>
      <c r="F17" s="17" t="str">
        <f aca="false">IFERROR(INDEX({"Electronics","Home &amp; Kitchen","Clothing","Groceries","Beauty"},MATCH(UPPER(LEFT(TRIM(Raw_Data!F17),3)),{"ELE","HOM","CLO","GRO","BEA"},0)),"Uncategorised")</f>
        <v>Electronics</v>
      </c>
      <c r="G17" s="17" t="str">
        <f aca="false">IF(TRIM(Raw_Data!G17)="","Unknown",PROPER(TRIM(Raw_Data!G17)))</f>
        <v>Smart Watch</v>
      </c>
      <c r="H17" s="19" t="n">
        <f aca="false">IFERROR(ABS(VALUE(TRIM(Raw_Data!H17))),"")</f>
        <v>4</v>
      </c>
      <c r="I17" s="20" t="n">
        <f aca="false">IFERROR(VALUE(TRIM(SUBSTITUTE(SUBSTITUTE(SUBSTITUTE(SUBSTITUTE(TRIM(Raw_Data!I17),"PKR",""),"Rs.",""),"Rs",""),",",""))),"")</f>
        <v>9950</v>
      </c>
      <c r="J17" s="21" t="n">
        <f aca="false">IFERROR(IF(TRIM(Raw_Data!J17)="",0,IF(VALUE(TRIM(Raw_Data!J17))&gt;1,VALUE(TRIM(Raw_Data!J17))/100,VALUE(TRIM(Raw_Data!J17)))),0)</f>
        <v>0</v>
      </c>
      <c r="K17" s="17" t="str">
        <f aca="false">IF(TRIM(Raw_Data!K17)="","Unassigned",PROPER(TRIM(Raw_Data!K17)))</f>
        <v>Imran Shah</v>
      </c>
      <c r="L17" s="17" t="str">
        <f aca="false">IFERROR(INDEX({"Credit Card","Credit Card","Debit Card","Debit Card","Cash","PayPal"},MATCH(UPPER(LEFT(TRIM(Raw_Data!L17),2)),{"CR","CC","DE","DC","CA","PA"},0)),"Other")</f>
        <v>Cash</v>
      </c>
      <c r="M17" s="17" t="str">
        <f aca="false">IFERROR(INDEX({"Completed","Returned","Cancelled","Pending"},MATCH(UPPER(LEFT(TRIM(Raw_Data!M17),3)),{"COM","RET","CAN","PEN"},0)),"Unknown")</f>
        <v>Pending</v>
      </c>
      <c r="N17" s="20" t="n">
        <f aca="false">IF(OR(H17="",I17=""),"",H17*I17)</f>
        <v>39800</v>
      </c>
      <c r="O17" s="20" t="n">
        <f aca="false">IF(N17="","",N17*J17)</f>
        <v>0</v>
      </c>
      <c r="P17" s="20" t="n">
        <f aca="false">IF(N17="","",N17-O17)</f>
        <v>39800</v>
      </c>
      <c r="Q17" s="22" t="n">
        <f aca="false">IF(B17="","",DATE(YEAR(B17),MONTH(B17),1))</f>
        <v>45870</v>
      </c>
      <c r="R17" s="17" t="str">
        <f aca="false">IF(A17="","Invalid - Exclude",IF(COUNTIF($A$2:A17,A17)&gt;1,"Duplicate - Exclude",IF(OR(B17="",H17="",I17=""),"Invalid - Exclude","Valid")))</f>
        <v>Valid</v>
      </c>
      <c r="S17" s="17" t="str">
        <f aca="false">IF(R17="Valid","",IF(R17="Duplicate - Exclude","Repeat of an earlier Order ID",IF(B17="","Date missing or unreadable",IF(H17="","Quantity missing or unreadable",IF(I17="","Unit price missing or unreadable","Order ID missing")))))</f>
        <v/>
      </c>
    </row>
    <row r="18" customFormat="false" ht="15" hidden="false" customHeight="true" outlineLevel="0" collapsed="false">
      <c r="A18" s="9" t="str">
        <f aca="false">UPPER(TRIM(Raw_Data!A18))</f>
        <v>ORD-1017</v>
      </c>
      <c r="B18" s="10" t="n">
        <f aca="false">IFERROR(IF(ISNUMBER(Raw_Data!B18),Raw_Data!B18,IF(ISNUMBER(FIND("/",Raw_Data!B18)),DATE(VALUE(RIGHT(TRIM(Raw_Data!B18),4)),VALUE(MID(TRIM(Raw_Data!B18),4,2)),VALUE(LEFT(TRIM(Raw_Data!B18),2))),IF(MID(TRIM(Raw_Data!B18),5,1)="-",DATE(VALUE(LEFT(TRIM(Raw_Data!B18),4)),VALUE(MID(TRIM(Raw_Data!B18),6,2)),VALUE(RIGHT(TRIM(Raw_Data!B18),2))),DATE(VALUE(RIGHT(TRIM(Raw_Data!B18),4)),MATCH(MID(TRIM(Raw_Data!B18),4,3),{"Jan","Feb","Mar","Apr","May","Jun","Jul","Aug","Sep","Oct","Nov","Dec"},0),VALUE(LEFT(TRIM(Raw_Data!B18),2)))))),"")</f>
        <v>45933</v>
      </c>
      <c r="C18" s="9" t="str">
        <f aca="false">IF(TRIM(Raw_Data!C18)="","Unknown",PROPER(TRIM(Raw_Data!C18)))</f>
        <v>Hina Qureshi</v>
      </c>
      <c r="D18" s="9" t="str">
        <f aca="false">IFERROR(INDEX({"Punjab","Sindh","KPK","Balochistan"},MATCH(UPPER(LEFT(TRIM(Raw_Data!D18),1)),{"P","S","K","B"},0)),IFERROR(INDEX(Data_Dictionary!$G$4:$G$16,MATCH(E18,Data_Dictionary!$F$4:$F$16,0)),"Unassigned"))</f>
        <v>Punjab</v>
      </c>
      <c r="E18" s="9" t="str">
        <f aca="false">IF(TRIM(Raw_Data!E18)="","Unknown",PROPER(TRIM(Raw_Data!E18)))</f>
        <v>Lahore</v>
      </c>
      <c r="F18" s="9" t="str">
        <f aca="false">IFERROR(INDEX({"Electronics","Home &amp; Kitchen","Clothing","Groceries","Beauty"},MATCH(UPPER(LEFT(TRIM(Raw_Data!F18),3)),{"ELE","HOM","CLO","GRO","BEA"},0)),"Uncategorised")</f>
        <v>Home &amp; Kitchen</v>
      </c>
      <c r="G18" s="9" t="str">
        <f aca="false">IF(TRIM(Raw_Data!G18)="","Unknown",PROPER(TRIM(Raw_Data!G18)))</f>
        <v>Air Fryer</v>
      </c>
      <c r="H18" s="11" t="n">
        <f aca="false">IFERROR(ABS(VALUE(TRIM(Raw_Data!H18))),"")</f>
        <v>3</v>
      </c>
      <c r="I18" s="12" t="n">
        <f aca="false">IFERROR(VALUE(TRIM(SUBSTITUTE(SUBSTITUTE(SUBSTITUTE(SUBSTITUTE(TRIM(Raw_Data!I18),"PKR",""),"Rs.",""),"Rs",""),",",""))),"")</f>
        <v>18600</v>
      </c>
      <c r="J18" s="13" t="n">
        <f aca="false">IFERROR(IF(TRIM(Raw_Data!J18)="",0,IF(VALUE(TRIM(Raw_Data!J18))&gt;1,VALUE(TRIM(Raw_Data!J18))/100,VALUE(TRIM(Raw_Data!J18)))),0)</f>
        <v>0.1</v>
      </c>
      <c r="K18" s="9" t="str">
        <f aca="false">IF(TRIM(Raw_Data!K18)="","Unassigned",PROPER(TRIM(Raw_Data!K18)))</f>
        <v>Nimra Aslam</v>
      </c>
      <c r="L18" s="9" t="str">
        <f aca="false">IFERROR(INDEX({"Credit Card","Credit Card","Debit Card","Debit Card","Cash","PayPal"},MATCH(UPPER(LEFT(TRIM(Raw_Data!L18),2)),{"CR","CC","DE","DC","CA","PA"},0)),"Other")</f>
        <v>PayPal</v>
      </c>
      <c r="M18" s="9" t="str">
        <f aca="false">IFERROR(INDEX({"Completed","Returned","Cancelled","Pending"},MATCH(UPPER(LEFT(TRIM(Raw_Data!M18),3)),{"COM","RET","CAN","PEN"},0)),"Unknown")</f>
        <v>Completed</v>
      </c>
      <c r="N18" s="14" t="n">
        <f aca="false">IF(OR(H18="",I18=""),"",H18*I18)</f>
        <v>55800</v>
      </c>
      <c r="O18" s="14" t="n">
        <f aca="false">IF(N18="","",N18*J18)</f>
        <v>5580</v>
      </c>
      <c r="P18" s="14" t="n">
        <f aca="false">IF(N18="","",N18-O18)</f>
        <v>50220</v>
      </c>
      <c r="Q18" s="15" t="n">
        <f aca="false">IF(B18="","",DATE(YEAR(B18),MONTH(B18),1))</f>
        <v>45931</v>
      </c>
      <c r="R18" s="16" t="str">
        <f aca="false">IF(A18="","Invalid - Exclude",IF(COUNTIF($A$2:A18,A18)&gt;1,"Duplicate - Exclude",IF(OR(B18="",H18="",I18=""),"Invalid - Exclude","Valid")))</f>
        <v>Valid</v>
      </c>
      <c r="S18" s="16" t="str">
        <f aca="false">IF(R18="Valid","",IF(R18="Duplicate - Exclude","Repeat of an earlier Order ID",IF(B18="","Date missing or unreadable",IF(H18="","Quantity missing or unreadable",IF(I18="","Unit price missing or unreadable","Order ID missing")))))</f>
        <v/>
      </c>
    </row>
    <row r="19" customFormat="false" ht="15" hidden="false" customHeight="true" outlineLevel="0" collapsed="false">
      <c r="A19" s="17" t="str">
        <f aca="false">UPPER(TRIM(Raw_Data!A19))</f>
        <v>ORD-1018</v>
      </c>
      <c r="B19" s="18" t="n">
        <f aca="false">IFERROR(IF(ISNUMBER(Raw_Data!B19),Raw_Data!B19,IF(ISNUMBER(FIND("/",Raw_Data!B19)),DATE(VALUE(RIGHT(TRIM(Raw_Data!B19),4)),VALUE(MID(TRIM(Raw_Data!B19),4,2)),VALUE(LEFT(TRIM(Raw_Data!B19),2))),IF(MID(TRIM(Raw_Data!B19),5,1)="-",DATE(VALUE(LEFT(TRIM(Raw_Data!B19),4)),VALUE(MID(TRIM(Raw_Data!B19),6,2)),VALUE(RIGHT(TRIM(Raw_Data!B19),2))),DATE(VALUE(RIGHT(TRIM(Raw_Data!B19),4)),MATCH(MID(TRIM(Raw_Data!B19),4,3),{"Jan","Feb","Mar","Apr","May","Jun","Jul","Aug","Sep","Oct","Nov","Dec"},0),VALUE(LEFT(TRIM(Raw_Data!B19),2)))))),"")</f>
        <v>45719</v>
      </c>
      <c r="C19" s="17" t="str">
        <f aca="false">IF(TRIM(Raw_Data!C19)="","Unknown",PROPER(TRIM(Raw_Data!C19)))</f>
        <v>Hassan Iqbal</v>
      </c>
      <c r="D19" s="17" t="str">
        <f aca="false">IFERROR(INDEX({"Punjab","Sindh","KPK","Balochistan"},MATCH(UPPER(LEFT(TRIM(Raw_Data!D19),1)),{"P","S","K","B"},0)),IFERROR(INDEX(Data_Dictionary!$G$4:$G$16,MATCH(E19,Data_Dictionary!$F$4:$F$16,0)),"Unassigned"))</f>
        <v>Punjab</v>
      </c>
      <c r="E19" s="17" t="str">
        <f aca="false">IF(TRIM(Raw_Data!E19)="","Unknown",PROPER(TRIM(Raw_Data!E19)))</f>
        <v>Multan</v>
      </c>
      <c r="F19" s="17" t="str">
        <f aca="false">IFERROR(INDEX({"Electronics","Home &amp; Kitchen","Clothing","Groceries","Beauty"},MATCH(UPPER(LEFT(TRIM(Raw_Data!F19),3)),{"ELE","HOM","CLO","GRO","BEA"},0)),"Uncategorised")</f>
        <v>Groceries</v>
      </c>
      <c r="G19" s="17" t="str">
        <f aca="false">IF(TRIM(Raw_Data!G19)="","Unknown",PROPER(TRIM(Raw_Data!G19)))</f>
        <v>Refined Sugar 10 Kg</v>
      </c>
      <c r="H19" s="19" t="n">
        <f aca="false">IFERROR(ABS(VALUE(TRIM(Raw_Data!H19))),"")</f>
        <v>1</v>
      </c>
      <c r="I19" s="20" t="n">
        <f aca="false">IFERROR(VALUE(TRIM(SUBSTITUTE(SUBSTITUTE(SUBSTITUTE(SUBSTITUTE(TRIM(Raw_Data!I19),"PKR",""),"Rs.",""),"Rs",""),",",""))),"")</f>
        <v>1600</v>
      </c>
      <c r="J19" s="21" t="n">
        <f aca="false">IFERROR(IF(TRIM(Raw_Data!J19)="",0,IF(VALUE(TRIM(Raw_Data!J19))&gt;1,VALUE(TRIM(Raw_Data!J19))/100,VALUE(TRIM(Raw_Data!J19)))),0)</f>
        <v>0</v>
      </c>
      <c r="K19" s="17" t="str">
        <f aca="false">IF(TRIM(Raw_Data!K19)="","Unassigned",PROPER(TRIM(Raw_Data!K19)))</f>
        <v>Zoya Tariq</v>
      </c>
      <c r="L19" s="17" t="str">
        <f aca="false">IFERROR(INDEX({"Credit Card","Credit Card","Debit Card","Debit Card","Cash","PayPal"},MATCH(UPPER(LEFT(TRIM(Raw_Data!L19),2)),{"CR","CC","DE","DC","CA","PA"},0)),"Other")</f>
        <v>Cash</v>
      </c>
      <c r="M19" s="17" t="str">
        <f aca="false">IFERROR(INDEX({"Completed","Returned","Cancelled","Pending"},MATCH(UPPER(LEFT(TRIM(Raw_Data!M19),3)),{"COM","RET","CAN","PEN"},0)),"Unknown")</f>
        <v>Completed</v>
      </c>
      <c r="N19" s="20" t="n">
        <f aca="false">IF(OR(H19="",I19=""),"",H19*I19)</f>
        <v>1600</v>
      </c>
      <c r="O19" s="20" t="n">
        <f aca="false">IF(N19="","",N19*J19)</f>
        <v>0</v>
      </c>
      <c r="P19" s="20" t="n">
        <f aca="false">IF(N19="","",N19-O19)</f>
        <v>1600</v>
      </c>
      <c r="Q19" s="22" t="n">
        <f aca="false">IF(B19="","",DATE(YEAR(B19),MONTH(B19),1))</f>
        <v>45717</v>
      </c>
      <c r="R19" s="17" t="str">
        <f aca="false">IF(A19="","Invalid - Exclude",IF(COUNTIF($A$2:A19,A19)&gt;1,"Duplicate - Exclude",IF(OR(B19="",H19="",I19=""),"Invalid - Exclude","Valid")))</f>
        <v>Valid</v>
      </c>
      <c r="S19" s="17" t="str">
        <f aca="false">IF(R19="Valid","",IF(R19="Duplicate - Exclude","Repeat of an earlier Order ID",IF(B19="","Date missing or unreadable",IF(H19="","Quantity missing or unreadable",IF(I19="","Unit price missing or unreadable","Order ID missing")))))</f>
        <v/>
      </c>
    </row>
    <row r="20" customFormat="false" ht="15" hidden="false" customHeight="true" outlineLevel="0" collapsed="false">
      <c r="A20" s="9" t="str">
        <f aca="false">UPPER(TRIM(Raw_Data!A20))</f>
        <v>ORD-1019</v>
      </c>
      <c r="B20" s="10" t="n">
        <f aca="false">IFERROR(IF(ISNUMBER(Raw_Data!B20),Raw_Data!B20,IF(ISNUMBER(FIND("/",Raw_Data!B20)),DATE(VALUE(RIGHT(TRIM(Raw_Data!B20),4)),VALUE(MID(TRIM(Raw_Data!B20),4,2)),VALUE(LEFT(TRIM(Raw_Data!B20),2))),IF(MID(TRIM(Raw_Data!B20),5,1)="-",DATE(VALUE(LEFT(TRIM(Raw_Data!B20),4)),VALUE(MID(TRIM(Raw_Data!B20),6,2)),VALUE(RIGHT(TRIM(Raw_Data!B20),2))),DATE(VALUE(RIGHT(TRIM(Raw_Data!B20),4)),MATCH(MID(TRIM(Raw_Data!B20),4,3),{"Jan","Feb","Mar","Apr","May","Jun","Jul","Aug","Sep","Oct","Nov","Dec"},0),VALUE(LEFT(TRIM(Raw_Data!B20),2)))))),"")</f>
        <v>45817</v>
      </c>
      <c r="C20" s="9" t="str">
        <f aca="false">IF(TRIM(Raw_Data!C20)="","Unknown",PROPER(TRIM(Raw_Data!C20)))</f>
        <v>Ahmed Hussain</v>
      </c>
      <c r="D20" s="9" t="str">
        <f aca="false">IFERROR(INDEX({"Punjab","Sindh","KPK","Balochistan"},MATCH(UPPER(LEFT(TRIM(Raw_Data!D20),1)),{"P","S","K","B"},0)),IFERROR(INDEX(Data_Dictionary!$G$4:$G$16,MATCH(E20,Data_Dictionary!$F$4:$F$16,0)),"Unassigned"))</f>
        <v>Sindh</v>
      </c>
      <c r="E20" s="9" t="str">
        <f aca="false">IF(TRIM(Raw_Data!E20)="","Unknown",PROPER(TRIM(Raw_Data!E20)))</f>
        <v>Karachi</v>
      </c>
      <c r="F20" s="9" t="str">
        <f aca="false">IFERROR(INDEX({"Electronics","Home &amp; Kitchen","Clothing","Groceries","Beauty"},MATCH(UPPER(LEFT(TRIM(Raw_Data!F20),3)),{"ELE","HOM","CLO","GRO","BEA"},0)),"Uncategorised")</f>
        <v>Clothing</v>
      </c>
      <c r="G20" s="9" t="str">
        <f aca="false">IF(TRIM(Raw_Data!G20)="","Unknown",PROPER(TRIM(Raw_Data!G20)))</f>
        <v>Running Shoes</v>
      </c>
      <c r="H20" s="11" t="n">
        <f aca="false">IFERROR(ABS(VALUE(TRIM(Raw_Data!H20))),"")</f>
        <v>2</v>
      </c>
      <c r="I20" s="12" t="n">
        <f aca="false">IFERROR(VALUE(TRIM(SUBSTITUTE(SUBSTITUTE(SUBSTITUTE(SUBSTITUTE(TRIM(Raw_Data!I20),"PKR",""),"Rs.",""),"Rs",""),",",""))),"")</f>
        <v>7550</v>
      </c>
      <c r="J20" s="13" t="n">
        <f aca="false">IFERROR(IF(TRIM(Raw_Data!J20)="",0,IF(VALUE(TRIM(Raw_Data!J20))&gt;1,VALUE(TRIM(Raw_Data!J20))/100,VALUE(TRIM(Raw_Data!J20)))),0)</f>
        <v>0</v>
      </c>
      <c r="K20" s="9" t="str">
        <f aca="false">IF(TRIM(Raw_Data!K20)="","Unassigned",PROPER(TRIM(Raw_Data!K20)))</f>
        <v>Nimra Aslam</v>
      </c>
      <c r="L20" s="9" t="str">
        <f aca="false">IFERROR(INDEX({"Credit Card","Credit Card","Debit Card","Debit Card","Cash","PayPal"},MATCH(UPPER(LEFT(TRIM(Raw_Data!L20),2)),{"CR","CC","DE","DC","CA","PA"},0)),"Other")</f>
        <v>Debit Card</v>
      </c>
      <c r="M20" s="9" t="str">
        <f aca="false">IFERROR(INDEX({"Completed","Returned","Cancelled","Pending"},MATCH(UPPER(LEFT(TRIM(Raw_Data!M20),3)),{"COM","RET","CAN","PEN"},0)),"Unknown")</f>
        <v>Cancelled</v>
      </c>
      <c r="N20" s="14" t="n">
        <f aca="false">IF(OR(H20="",I20=""),"",H20*I20)</f>
        <v>15100</v>
      </c>
      <c r="O20" s="14" t="n">
        <f aca="false">IF(N20="","",N20*J20)</f>
        <v>0</v>
      </c>
      <c r="P20" s="14" t="n">
        <f aca="false">IF(N20="","",N20-O20)</f>
        <v>15100</v>
      </c>
      <c r="Q20" s="15" t="n">
        <f aca="false">IF(B20="","",DATE(YEAR(B20),MONTH(B20),1))</f>
        <v>45809</v>
      </c>
      <c r="R20" s="16" t="str">
        <f aca="false">IF(A20="","Invalid - Exclude",IF(COUNTIF($A$2:A20,A20)&gt;1,"Duplicate - Exclude",IF(OR(B20="",H20="",I20=""),"Invalid - Exclude","Valid")))</f>
        <v>Valid</v>
      </c>
      <c r="S20" s="16" t="str">
        <f aca="false">IF(R20="Valid","",IF(R20="Duplicate - Exclude","Repeat of an earlier Order ID",IF(B20="","Date missing or unreadable",IF(H20="","Quantity missing or unreadable",IF(I20="","Unit price missing or unreadable","Order ID missing")))))</f>
        <v/>
      </c>
    </row>
    <row r="21" customFormat="false" ht="15" hidden="false" customHeight="true" outlineLevel="0" collapsed="false">
      <c r="A21" s="17" t="str">
        <f aca="false">UPPER(TRIM(Raw_Data!A21))</f>
        <v>ORD-1020</v>
      </c>
      <c r="B21" s="18" t="n">
        <f aca="false">IFERROR(IF(ISNUMBER(Raw_Data!B21),Raw_Data!B21,IF(ISNUMBER(FIND("/",Raw_Data!B21)),DATE(VALUE(RIGHT(TRIM(Raw_Data!B21),4)),VALUE(MID(TRIM(Raw_Data!B21),4,2)),VALUE(LEFT(TRIM(Raw_Data!B21),2))),IF(MID(TRIM(Raw_Data!B21),5,1)="-",DATE(VALUE(LEFT(TRIM(Raw_Data!B21),4)),VALUE(MID(TRIM(Raw_Data!B21),6,2)),VALUE(RIGHT(TRIM(Raw_Data!B21),2))),DATE(VALUE(RIGHT(TRIM(Raw_Data!B21),4)),MATCH(MID(TRIM(Raw_Data!B21),4,3),{"Jan","Feb","Mar","Apr","May","Jun","Jul","Aug","Sep","Oct","Nov","Dec"},0),VALUE(LEFT(TRIM(Raw_Data!B21),2)))))),"")</f>
        <v>45726</v>
      </c>
      <c r="C21" s="17" t="str">
        <f aca="false">IF(TRIM(Raw_Data!C21)="","Unknown",PROPER(TRIM(Raw_Data!C21)))</f>
        <v>Fatima Qureshi</v>
      </c>
      <c r="D21" s="17" t="str">
        <f aca="false">IFERROR(INDEX({"Punjab","Sindh","KPK","Balochistan"},MATCH(UPPER(LEFT(TRIM(Raw_Data!D21),1)),{"P","S","K","B"},0)),IFERROR(INDEX(Data_Dictionary!$G$4:$G$16,MATCH(E21,Data_Dictionary!$F$4:$F$16,0)),"Unassigned"))</f>
        <v>Punjab</v>
      </c>
      <c r="E21" s="17" t="str">
        <f aca="false">IF(TRIM(Raw_Data!E21)="","Unknown",PROPER(TRIM(Raw_Data!E21)))</f>
        <v>Lahore</v>
      </c>
      <c r="F21" s="17" t="str">
        <f aca="false">IFERROR(INDEX({"Electronics","Home &amp; Kitchen","Clothing","Groceries","Beauty"},MATCH(UPPER(LEFT(TRIM(Raw_Data!F21),3)),{"ELE","HOM","CLO","GRO","BEA"},0)),"Uncategorised")</f>
        <v>Clothing</v>
      </c>
      <c r="G21" s="17" t="str">
        <f aca="false">IF(TRIM(Raw_Data!G21)="","Unknown",PROPER(TRIM(Raw_Data!G21)))</f>
        <v>Lawn Suit 3 Piece</v>
      </c>
      <c r="H21" s="19" t="n">
        <f aca="false">IFERROR(ABS(VALUE(TRIM(Raw_Data!H21))),"")</f>
        <v>5</v>
      </c>
      <c r="I21" s="20" t="n">
        <f aca="false">IFERROR(VALUE(TRIM(SUBSTITUTE(SUBSTITUTE(SUBSTITUTE(SUBSTITUTE(TRIM(Raw_Data!I21),"PKR",""),"Rs.",""),"Rs",""),",",""))),"")</f>
        <v>6700</v>
      </c>
      <c r="J21" s="21" t="n">
        <f aca="false">IFERROR(IF(TRIM(Raw_Data!J21)="",0,IF(VALUE(TRIM(Raw_Data!J21))&gt;1,VALUE(TRIM(Raw_Data!J21))/100,VALUE(TRIM(Raw_Data!J21)))),0)</f>
        <v>0.1</v>
      </c>
      <c r="K21" s="17" t="str">
        <f aca="false">IF(TRIM(Raw_Data!K21)="","Unassigned",PROPER(TRIM(Raw_Data!K21)))</f>
        <v>Zoya Tariq</v>
      </c>
      <c r="L21" s="17" t="str">
        <f aca="false">IFERROR(INDEX({"Credit Card","Credit Card","Debit Card","Debit Card","Cash","PayPal"},MATCH(UPPER(LEFT(TRIM(Raw_Data!L21),2)),{"CR","CC","DE","DC","CA","PA"},0)),"Other")</f>
        <v>Cash</v>
      </c>
      <c r="M21" s="17" t="str">
        <f aca="false">IFERROR(INDEX({"Completed","Returned","Cancelled","Pending"},MATCH(UPPER(LEFT(TRIM(Raw_Data!M21),3)),{"COM","RET","CAN","PEN"},0)),"Unknown")</f>
        <v>Cancelled</v>
      </c>
      <c r="N21" s="20" t="n">
        <f aca="false">IF(OR(H21="",I21=""),"",H21*I21)</f>
        <v>33500</v>
      </c>
      <c r="O21" s="20" t="n">
        <f aca="false">IF(N21="","",N21*J21)</f>
        <v>3350</v>
      </c>
      <c r="P21" s="20" t="n">
        <f aca="false">IF(N21="","",N21-O21)</f>
        <v>30150</v>
      </c>
      <c r="Q21" s="22" t="n">
        <f aca="false">IF(B21="","",DATE(YEAR(B21),MONTH(B21),1))</f>
        <v>45717</v>
      </c>
      <c r="R21" s="17" t="str">
        <f aca="false">IF(A21="","Invalid - Exclude",IF(COUNTIF($A$2:A21,A21)&gt;1,"Duplicate - Exclude",IF(OR(B21="",H21="",I21=""),"Invalid - Exclude","Valid")))</f>
        <v>Valid</v>
      </c>
      <c r="S21" s="17" t="str">
        <f aca="false">IF(R21="Valid","",IF(R21="Duplicate - Exclude","Repeat of an earlier Order ID",IF(B21="","Date missing or unreadable",IF(H21="","Quantity missing or unreadable",IF(I21="","Unit price missing or unreadable","Order ID missing")))))</f>
        <v/>
      </c>
    </row>
    <row r="22" customFormat="false" ht="15" hidden="false" customHeight="true" outlineLevel="0" collapsed="false">
      <c r="A22" s="9" t="str">
        <f aca="false">UPPER(TRIM(Raw_Data!A22))</f>
        <v>ORD-1021</v>
      </c>
      <c r="B22" s="10" t="n">
        <f aca="false">IFERROR(IF(ISNUMBER(Raw_Data!B22),Raw_Data!B22,IF(ISNUMBER(FIND("/",Raw_Data!B22)),DATE(VALUE(RIGHT(TRIM(Raw_Data!B22),4)),VALUE(MID(TRIM(Raw_Data!B22),4,2)),VALUE(LEFT(TRIM(Raw_Data!B22),2))),IF(MID(TRIM(Raw_Data!B22),5,1)="-",DATE(VALUE(LEFT(TRIM(Raw_Data!B22),4)),VALUE(MID(TRIM(Raw_Data!B22),6,2)),VALUE(RIGHT(TRIM(Raw_Data!B22),2))),DATE(VALUE(RIGHT(TRIM(Raw_Data!B22),4)),MATCH(MID(TRIM(Raw_Data!B22),4,3),{"Jan","Feb","Mar","Apr","May","Jun","Jul","Aug","Sep","Oct","Nov","Dec"},0),VALUE(LEFT(TRIM(Raw_Data!B22),2)))))),"")</f>
        <v>45894</v>
      </c>
      <c r="C22" s="9" t="str">
        <f aca="false">IF(TRIM(Raw_Data!C22)="","Unknown",PROPER(TRIM(Raw_Data!C22)))</f>
        <v>Sana Sheikh</v>
      </c>
      <c r="D22" s="9" t="str">
        <f aca="false">IFERROR(INDEX({"Punjab","Sindh","KPK","Balochistan"},MATCH(UPPER(LEFT(TRIM(Raw_Data!D22),1)),{"P","S","K","B"},0)),IFERROR(INDEX(Data_Dictionary!$G$4:$G$16,MATCH(E22,Data_Dictionary!$F$4:$F$16,0)),"Unassigned"))</f>
        <v>KPK</v>
      </c>
      <c r="E22" s="9" t="str">
        <f aca="false">IF(TRIM(Raw_Data!E22)="","Unknown",PROPER(TRIM(Raw_Data!E22)))</f>
        <v>Abbottabad</v>
      </c>
      <c r="F22" s="9" t="str">
        <f aca="false">IFERROR(INDEX({"Electronics","Home &amp; Kitchen","Clothing","Groceries","Beauty"},MATCH(UPPER(LEFT(TRIM(Raw_Data!F22),3)),{"ELE","HOM","CLO","GRO","BEA"},0)),"Uncategorised")</f>
        <v>Home &amp; Kitchen</v>
      </c>
      <c r="G22" s="9" t="str">
        <f aca="false">IF(TRIM(Raw_Data!G22)="","Unknown",PROPER(TRIM(Raw_Data!G22)))</f>
        <v>Rice Cooker</v>
      </c>
      <c r="H22" s="11" t="n">
        <f aca="false">IFERROR(ABS(VALUE(TRIM(Raw_Data!H22))),"")</f>
        <v>4</v>
      </c>
      <c r="I22" s="12" t="n">
        <f aca="false">IFERROR(VALUE(TRIM(SUBSTITUTE(SUBSTITUTE(SUBSTITUTE(SUBSTITUTE(TRIM(Raw_Data!I22),"PKR",""),"Rs.",""),"Rs",""),",",""))),"")</f>
        <v>7200</v>
      </c>
      <c r="J22" s="13" t="n">
        <f aca="false">IFERROR(IF(TRIM(Raw_Data!J22)="",0,IF(VALUE(TRIM(Raw_Data!J22))&gt;1,VALUE(TRIM(Raw_Data!J22))/100,VALUE(TRIM(Raw_Data!J22)))),0)</f>
        <v>0</v>
      </c>
      <c r="K22" s="9" t="str">
        <f aca="false">IF(TRIM(Raw_Data!K22)="","Unassigned",PROPER(TRIM(Raw_Data!K22)))</f>
        <v>Zoya Tariq</v>
      </c>
      <c r="L22" s="9" t="str">
        <f aca="false">IFERROR(INDEX({"Credit Card","Credit Card","Debit Card","Debit Card","Cash","PayPal"},MATCH(UPPER(LEFT(TRIM(Raw_Data!L22),2)),{"CR","CC","DE","DC","CA","PA"},0)),"Other")</f>
        <v>Debit Card</v>
      </c>
      <c r="M22" s="9" t="str">
        <f aca="false">IFERROR(INDEX({"Completed","Returned","Cancelled","Pending"},MATCH(UPPER(LEFT(TRIM(Raw_Data!M22),3)),{"COM","RET","CAN","PEN"},0)),"Unknown")</f>
        <v>Returned</v>
      </c>
      <c r="N22" s="14" t="n">
        <f aca="false">IF(OR(H22="",I22=""),"",H22*I22)</f>
        <v>28800</v>
      </c>
      <c r="O22" s="14" t="n">
        <f aca="false">IF(N22="","",N22*J22)</f>
        <v>0</v>
      </c>
      <c r="P22" s="14" t="n">
        <f aca="false">IF(N22="","",N22-O22)</f>
        <v>28800</v>
      </c>
      <c r="Q22" s="15" t="n">
        <f aca="false">IF(B22="","",DATE(YEAR(B22),MONTH(B22),1))</f>
        <v>45870</v>
      </c>
      <c r="R22" s="16" t="str">
        <f aca="false">IF(A22="","Invalid - Exclude",IF(COUNTIF($A$2:A22,A22)&gt;1,"Duplicate - Exclude",IF(OR(B22="",H22="",I22=""),"Invalid - Exclude","Valid")))</f>
        <v>Valid</v>
      </c>
      <c r="S22" s="16" t="str">
        <f aca="false">IF(R22="Valid","",IF(R22="Duplicate - Exclude","Repeat of an earlier Order ID",IF(B22="","Date missing or unreadable",IF(H22="","Quantity missing or unreadable",IF(I22="","Unit price missing or unreadable","Order ID missing")))))</f>
        <v/>
      </c>
    </row>
    <row r="23" customFormat="false" ht="15" hidden="false" customHeight="true" outlineLevel="0" collapsed="false">
      <c r="A23" s="17" t="str">
        <f aca="false">UPPER(TRIM(Raw_Data!A23))</f>
        <v>ORD-1022</v>
      </c>
      <c r="B23" s="18" t="n">
        <f aca="false">IFERROR(IF(ISNUMBER(Raw_Data!B23),Raw_Data!B23,IF(ISNUMBER(FIND("/",Raw_Data!B23)),DATE(VALUE(RIGHT(TRIM(Raw_Data!B23),4)),VALUE(MID(TRIM(Raw_Data!B23),4,2)),VALUE(LEFT(TRIM(Raw_Data!B23),2))),IF(MID(TRIM(Raw_Data!B23),5,1)="-",DATE(VALUE(LEFT(TRIM(Raw_Data!B23),4)),VALUE(MID(TRIM(Raw_Data!B23),6,2)),VALUE(RIGHT(TRIM(Raw_Data!B23),2))),DATE(VALUE(RIGHT(TRIM(Raw_Data!B23),4)),MATCH(MID(TRIM(Raw_Data!B23),4,3),{"Jan","Feb","Mar","Apr","May","Jun","Jul","Aug","Sep","Oct","Nov","Dec"},0),VALUE(LEFT(TRIM(Raw_Data!B23),2)))))),"")</f>
        <v>45920</v>
      </c>
      <c r="C23" s="17" t="str">
        <f aca="false">IF(TRIM(Raw_Data!C23)="","Unknown",PROPER(TRIM(Raw_Data!C23)))</f>
        <v>Ayesha Sheikh</v>
      </c>
      <c r="D23" s="17" t="str">
        <f aca="false">IFERROR(INDEX({"Punjab","Sindh","KPK","Balochistan"},MATCH(UPPER(LEFT(TRIM(Raw_Data!D23),1)),{"P","S","K","B"},0)),IFERROR(INDEX(Data_Dictionary!$G$4:$G$16,MATCH(E23,Data_Dictionary!$F$4:$F$16,0)),"Unassigned"))</f>
        <v>Sindh</v>
      </c>
      <c r="E23" s="17" t="str">
        <f aca="false">IF(TRIM(Raw_Data!E23)="","Unknown",PROPER(TRIM(Raw_Data!E23)))</f>
        <v>Karachi</v>
      </c>
      <c r="F23" s="17" t="str">
        <f aca="false">IFERROR(INDEX({"Electronics","Home &amp; Kitchen","Clothing","Groceries","Beauty"},MATCH(UPPER(LEFT(TRIM(Raw_Data!F23),3)),{"ELE","HOM","CLO","GRO","BEA"},0)),"Uncategorised")</f>
        <v>Electronics</v>
      </c>
      <c r="G23" s="17" t="str">
        <f aca="false">IF(TRIM(Raw_Data!G23)="","Unknown",PROPER(TRIM(Raw_Data!G23)))</f>
        <v>Phone Charger</v>
      </c>
      <c r="H23" s="19" t="str">
        <f aca="false">IFERROR(ABS(VALUE(TRIM(Raw_Data!H23))),"")</f>
        <v/>
      </c>
      <c r="I23" s="20" t="n">
        <f aca="false">IFERROR(VALUE(TRIM(SUBSTITUTE(SUBSTITUTE(SUBSTITUTE(SUBSTITUTE(TRIM(Raw_Data!I23),"PKR",""),"Rs.",""),"Rs",""),",",""))),"")</f>
        <v>1200</v>
      </c>
      <c r="J23" s="21" t="n">
        <f aca="false">IFERROR(IF(TRIM(Raw_Data!J23)="",0,IF(VALUE(TRIM(Raw_Data!J23))&gt;1,VALUE(TRIM(Raw_Data!J23))/100,VALUE(TRIM(Raw_Data!J23)))),0)</f>
        <v>0.1</v>
      </c>
      <c r="K23" s="17" t="str">
        <f aca="false">IF(TRIM(Raw_Data!K23)="","Unassigned",PROPER(TRIM(Raw_Data!K23)))</f>
        <v>Nimra Aslam</v>
      </c>
      <c r="L23" s="17" t="str">
        <f aca="false">IFERROR(INDEX({"Credit Card","Credit Card","Debit Card","Debit Card","Cash","PayPal"},MATCH(UPPER(LEFT(TRIM(Raw_Data!L23),2)),{"CR","CC","DE","DC","CA","PA"},0)),"Other")</f>
        <v>Credit Card</v>
      </c>
      <c r="M23" s="17" t="str">
        <f aca="false">IFERROR(INDEX({"Completed","Returned","Cancelled","Pending"},MATCH(UPPER(LEFT(TRIM(Raw_Data!M23),3)),{"COM","RET","CAN","PEN"},0)),"Unknown")</f>
        <v>Completed</v>
      </c>
      <c r="N23" s="20" t="str">
        <f aca="false">IF(OR(H23="",I23=""),"",H23*I23)</f>
        <v/>
      </c>
      <c r="O23" s="20" t="str">
        <f aca="false">IF(N23="","",N23*J23)</f>
        <v/>
      </c>
      <c r="P23" s="20" t="str">
        <f aca="false">IF(N23="","",N23-O23)</f>
        <v/>
      </c>
      <c r="Q23" s="22" t="n">
        <f aca="false">IF(B23="","",DATE(YEAR(B23),MONTH(B23),1))</f>
        <v>45901</v>
      </c>
      <c r="R23" s="17" t="str">
        <f aca="false">IF(A23="","Invalid - Exclude",IF(COUNTIF($A$2:A23,A23)&gt;1,"Duplicate - Exclude",IF(OR(B23="",H23="",I23=""),"Invalid - Exclude","Valid")))</f>
        <v>Invalid - Exclude</v>
      </c>
      <c r="S23" s="17" t="str">
        <f aca="false">IF(R23="Valid","",IF(R23="Duplicate - Exclude","Repeat of an earlier Order ID",IF(B23="","Date missing or unreadable",IF(H23="","Quantity missing or unreadable",IF(I23="","Unit price missing or unreadable","Order ID missing")))))</f>
        <v>Quantity missing or unreadable</v>
      </c>
    </row>
    <row r="24" customFormat="false" ht="15" hidden="false" customHeight="true" outlineLevel="0" collapsed="false">
      <c r="A24" s="9" t="str">
        <f aca="false">UPPER(TRIM(Raw_Data!A24))</f>
        <v>ORD-1023</v>
      </c>
      <c r="B24" s="10" t="n">
        <f aca="false">IFERROR(IF(ISNUMBER(Raw_Data!B24),Raw_Data!B24,IF(ISNUMBER(FIND("/",Raw_Data!B24)),DATE(VALUE(RIGHT(TRIM(Raw_Data!B24),4)),VALUE(MID(TRIM(Raw_Data!B24),4,2)),VALUE(LEFT(TRIM(Raw_Data!B24),2))),IF(MID(TRIM(Raw_Data!B24),5,1)="-",DATE(VALUE(LEFT(TRIM(Raw_Data!B24),4)),VALUE(MID(TRIM(Raw_Data!B24),6,2)),VALUE(RIGHT(TRIM(Raw_Data!B24),2))),DATE(VALUE(RIGHT(TRIM(Raw_Data!B24),4)),MATCH(MID(TRIM(Raw_Data!B24),4,3),{"Jan","Feb","Mar","Apr","May","Jun","Jul","Aug","Sep","Oct","Nov","Dec"},0),VALUE(LEFT(TRIM(Raw_Data!B24),2)))))),"")</f>
        <v>45984</v>
      </c>
      <c r="C24" s="9" t="str">
        <f aca="false">IF(TRIM(Raw_Data!C24)="","Unknown",PROPER(TRIM(Raw_Data!C24)))</f>
        <v>Bilal Qureshi</v>
      </c>
      <c r="D24" s="9" t="str">
        <f aca="false">IFERROR(INDEX({"Punjab","Sindh","KPK","Balochistan"},MATCH(UPPER(LEFT(TRIM(Raw_Data!D24),1)),{"P","S","K","B"},0)),IFERROR(INDEX(Data_Dictionary!$G$4:$G$16,MATCH(E24,Data_Dictionary!$F$4:$F$16,0)),"Unassigned"))</f>
        <v>KPK</v>
      </c>
      <c r="E24" s="9" t="str">
        <f aca="false">IF(TRIM(Raw_Data!E24)="","Unknown",PROPER(TRIM(Raw_Data!E24)))</f>
        <v>Peshawar</v>
      </c>
      <c r="F24" s="9" t="str">
        <f aca="false">IFERROR(INDEX({"Electronics","Home &amp; Kitchen","Clothing","Groceries","Beauty"},MATCH(UPPER(LEFT(TRIM(Raw_Data!F24),3)),{"ELE","HOM","CLO","GRO","BEA"},0)),"Uncategorised")</f>
        <v>Beauty</v>
      </c>
      <c r="G24" s="9" t="str">
        <f aca="false">IF(TRIM(Raw_Data!G24)="","Unknown",PROPER(TRIM(Raw_Data!G24)))</f>
        <v>Face Wash</v>
      </c>
      <c r="H24" s="11" t="n">
        <f aca="false">IFERROR(ABS(VALUE(TRIM(Raw_Data!H24))),"")</f>
        <v>3</v>
      </c>
      <c r="I24" s="12" t="n">
        <f aca="false">IFERROR(VALUE(TRIM(SUBSTITUTE(SUBSTITUTE(SUBSTITUTE(SUBSTITUTE(TRIM(Raw_Data!I24),"PKR",""),"Rs.",""),"Rs",""),",",""))),"")</f>
        <v>850</v>
      </c>
      <c r="J24" s="13" t="n">
        <f aca="false">IFERROR(IF(TRIM(Raw_Data!J24)="",0,IF(VALUE(TRIM(Raw_Data!J24))&gt;1,VALUE(TRIM(Raw_Data!J24))/100,VALUE(TRIM(Raw_Data!J24)))),0)</f>
        <v>0</v>
      </c>
      <c r="K24" s="9" t="str">
        <f aca="false">IF(TRIM(Raw_Data!K24)="","Unassigned",PROPER(TRIM(Raw_Data!K24)))</f>
        <v>Zoya Tariq</v>
      </c>
      <c r="L24" s="9" t="str">
        <f aca="false">IFERROR(INDEX({"Credit Card","Credit Card","Debit Card","Debit Card","Cash","PayPal"},MATCH(UPPER(LEFT(TRIM(Raw_Data!L24),2)),{"CR","CC","DE","DC","CA","PA"},0)),"Other")</f>
        <v>Debit Card</v>
      </c>
      <c r="M24" s="9" t="str">
        <f aca="false">IFERROR(INDEX({"Completed","Returned","Cancelled","Pending"},MATCH(UPPER(LEFT(TRIM(Raw_Data!M24),3)),{"COM","RET","CAN","PEN"},0)),"Unknown")</f>
        <v>Completed</v>
      </c>
      <c r="N24" s="14" t="n">
        <f aca="false">IF(OR(H24="",I24=""),"",H24*I24)</f>
        <v>2550</v>
      </c>
      <c r="O24" s="14" t="n">
        <f aca="false">IF(N24="","",N24*J24)</f>
        <v>0</v>
      </c>
      <c r="P24" s="14" t="n">
        <f aca="false">IF(N24="","",N24-O24)</f>
        <v>2550</v>
      </c>
      <c r="Q24" s="15" t="n">
        <f aca="false">IF(B24="","",DATE(YEAR(B24),MONTH(B24),1))</f>
        <v>45962</v>
      </c>
      <c r="R24" s="16" t="str">
        <f aca="false">IF(A24="","Invalid - Exclude",IF(COUNTIF($A$2:A24,A24)&gt;1,"Duplicate - Exclude",IF(OR(B24="",H24="",I24=""),"Invalid - Exclude","Valid")))</f>
        <v>Valid</v>
      </c>
      <c r="S24" s="16" t="str">
        <f aca="false">IF(R24="Valid","",IF(R24="Duplicate - Exclude","Repeat of an earlier Order ID",IF(B24="","Date missing or unreadable",IF(H24="","Quantity missing or unreadable",IF(I24="","Unit price missing or unreadable","Order ID missing")))))</f>
        <v/>
      </c>
    </row>
    <row r="25" customFormat="false" ht="15" hidden="false" customHeight="true" outlineLevel="0" collapsed="false">
      <c r="A25" s="17" t="str">
        <f aca="false">UPPER(TRIM(Raw_Data!A25))</f>
        <v>ORD-1024</v>
      </c>
      <c r="B25" s="18" t="n">
        <f aca="false">IFERROR(IF(ISNUMBER(Raw_Data!B25),Raw_Data!B25,IF(ISNUMBER(FIND("/",Raw_Data!B25)),DATE(VALUE(RIGHT(TRIM(Raw_Data!B25),4)),VALUE(MID(TRIM(Raw_Data!B25),4,2)),VALUE(LEFT(TRIM(Raw_Data!B25),2))),IF(MID(TRIM(Raw_Data!B25),5,1)="-",DATE(VALUE(LEFT(TRIM(Raw_Data!B25),4)),VALUE(MID(TRIM(Raw_Data!B25),6,2)),VALUE(RIGHT(TRIM(Raw_Data!B25),2))),DATE(VALUE(RIGHT(TRIM(Raw_Data!B25),4)),MATCH(MID(TRIM(Raw_Data!B25),4,3),{"Jan","Feb","Mar","Apr","May","Jun","Jul","Aug","Sep","Oct","Nov","Dec"},0),VALUE(LEFT(TRIM(Raw_Data!B25),2)))))),"")</f>
        <v>45722</v>
      </c>
      <c r="C25" s="17" t="str">
        <f aca="false">IF(TRIM(Raw_Data!C25)="","Unknown",PROPER(TRIM(Raw_Data!C25)))</f>
        <v>Tariq Qureshi</v>
      </c>
      <c r="D25" s="17" t="str">
        <f aca="false">IFERROR(INDEX({"Punjab","Sindh","KPK","Balochistan"},MATCH(UPPER(LEFT(TRIM(Raw_Data!D25),1)),{"P","S","K","B"},0)),IFERROR(INDEX(Data_Dictionary!$G$4:$G$16,MATCH(E25,Data_Dictionary!$F$4:$F$16,0)),"Unassigned"))</f>
        <v>Punjab</v>
      </c>
      <c r="E25" s="17" t="str">
        <f aca="false">IF(TRIM(Raw_Data!E25)="","Unknown",PROPER(TRIM(Raw_Data!E25)))</f>
        <v>Rawalpindi</v>
      </c>
      <c r="F25" s="17" t="str">
        <f aca="false">IFERROR(INDEX({"Electronics","Home &amp; Kitchen","Clothing","Groceries","Beauty"},MATCH(UPPER(LEFT(TRIM(Raw_Data!F25),3)),{"ELE","HOM","CLO","GRO","BEA"},0)),"Uncategorised")</f>
        <v>Clothing</v>
      </c>
      <c r="G25" s="17" t="str">
        <f aca="false">IF(TRIM(Raw_Data!G25)="","Unknown",PROPER(TRIM(Raw_Data!G25)))</f>
        <v>Winter Jacket</v>
      </c>
      <c r="H25" s="19" t="n">
        <f aca="false">IFERROR(ABS(VALUE(TRIM(Raw_Data!H25))),"")</f>
        <v>2</v>
      </c>
      <c r="I25" s="20" t="n">
        <f aca="false">IFERROR(VALUE(TRIM(SUBSTITUTE(SUBSTITUTE(SUBSTITUTE(SUBSTITUTE(TRIM(Raw_Data!I25),"PKR",""),"Rs.",""),"Rs",""),",",""))),"")</f>
        <v>9800</v>
      </c>
      <c r="J25" s="21" t="n">
        <f aca="false">IFERROR(IF(TRIM(Raw_Data!J25)="",0,IF(VALUE(TRIM(Raw_Data!J25))&gt;1,VALUE(TRIM(Raw_Data!J25))/100,VALUE(TRIM(Raw_Data!J25)))),0)</f>
        <v>0.1</v>
      </c>
      <c r="K25" s="17" t="str">
        <f aca="false">IF(TRIM(Raw_Data!K25)="","Unassigned",PROPER(TRIM(Raw_Data!K25)))</f>
        <v>Faisal Mehmood</v>
      </c>
      <c r="L25" s="17" t="str">
        <f aca="false">IFERROR(INDEX({"Credit Card","Credit Card","Debit Card","Debit Card","Cash","PayPal"},MATCH(UPPER(LEFT(TRIM(Raw_Data!L25),2)),{"CR","CC","DE","DC","CA","PA"},0)),"Other")</f>
        <v>Credit Card</v>
      </c>
      <c r="M25" s="17" t="str">
        <f aca="false">IFERROR(INDEX({"Completed","Returned","Cancelled","Pending"},MATCH(UPPER(LEFT(TRIM(Raw_Data!M25),3)),{"COM","RET","CAN","PEN"},0)),"Unknown")</f>
        <v>Completed</v>
      </c>
      <c r="N25" s="20" t="n">
        <f aca="false">IF(OR(H25="",I25=""),"",H25*I25)</f>
        <v>19600</v>
      </c>
      <c r="O25" s="20" t="n">
        <f aca="false">IF(N25="","",N25*J25)</f>
        <v>1960</v>
      </c>
      <c r="P25" s="20" t="n">
        <f aca="false">IF(N25="","",N25-O25)</f>
        <v>17640</v>
      </c>
      <c r="Q25" s="22" t="n">
        <f aca="false">IF(B25="","",DATE(YEAR(B25),MONTH(B25),1))</f>
        <v>45717</v>
      </c>
      <c r="R25" s="17" t="str">
        <f aca="false">IF(A25="","Invalid - Exclude",IF(COUNTIF($A$2:A25,A25)&gt;1,"Duplicate - Exclude",IF(OR(B25="",H25="",I25=""),"Invalid - Exclude","Valid")))</f>
        <v>Valid</v>
      </c>
      <c r="S25" s="17" t="str">
        <f aca="false">IF(R25="Valid","",IF(R25="Duplicate - Exclude","Repeat of an earlier Order ID",IF(B25="","Date missing or unreadable",IF(H25="","Quantity missing or unreadable",IF(I25="","Unit price missing or unreadable","Order ID missing")))))</f>
        <v/>
      </c>
    </row>
    <row r="26" customFormat="false" ht="15" hidden="false" customHeight="true" outlineLevel="0" collapsed="false">
      <c r="A26" s="9" t="str">
        <f aca="false">UPPER(TRIM(Raw_Data!A26))</f>
        <v>ORD-1025</v>
      </c>
      <c r="B26" s="10" t="n">
        <f aca="false">IFERROR(IF(ISNUMBER(Raw_Data!B26),Raw_Data!B26,IF(ISNUMBER(FIND("/",Raw_Data!B26)),DATE(VALUE(RIGHT(TRIM(Raw_Data!B26),4)),VALUE(MID(TRIM(Raw_Data!B26),4,2)),VALUE(LEFT(TRIM(Raw_Data!B26),2))),IF(MID(TRIM(Raw_Data!B26),5,1)="-",DATE(VALUE(LEFT(TRIM(Raw_Data!B26),4)),VALUE(MID(TRIM(Raw_Data!B26),6,2)),VALUE(RIGHT(TRIM(Raw_Data!B26),2))),DATE(VALUE(RIGHT(TRIM(Raw_Data!B26),4)),MATCH(MID(TRIM(Raw_Data!B26),4,3),{"Jan","Feb","Mar","Apr","May","Jun","Jul","Aug","Sep","Oct","Nov","Dec"},0),VALUE(LEFT(TRIM(Raw_Data!B26),2)))))),"")</f>
        <v>45883</v>
      </c>
      <c r="C26" s="9" t="str">
        <f aca="false">IF(TRIM(Raw_Data!C26)="","Unknown",PROPER(TRIM(Raw_Data!C26)))</f>
        <v>Maryam Raza</v>
      </c>
      <c r="D26" s="9" t="str">
        <f aca="false">IFERROR(INDEX({"Punjab","Sindh","KPK","Balochistan"},MATCH(UPPER(LEFT(TRIM(Raw_Data!D26),1)),{"P","S","K","B"},0)),IFERROR(INDEX(Data_Dictionary!$G$4:$G$16,MATCH(E26,Data_Dictionary!$F$4:$F$16,0)),"Unassigned"))</f>
        <v>Sindh</v>
      </c>
      <c r="E26" s="9" t="str">
        <f aca="false">IF(TRIM(Raw_Data!E26)="","Unknown",PROPER(TRIM(Raw_Data!E26)))</f>
        <v>Karachi</v>
      </c>
      <c r="F26" s="9" t="str">
        <f aca="false">IFERROR(INDEX({"Electronics","Home &amp; Kitchen","Clothing","Groceries","Beauty"},MATCH(UPPER(LEFT(TRIM(Raw_Data!F26),3)),{"ELE","HOM","CLO","GRO","BEA"},0)),"Uncategorised")</f>
        <v>Home &amp; Kitchen</v>
      </c>
      <c r="G26" s="9" t="str">
        <f aca="false">IF(TRIM(Raw_Data!G26)="","Unknown",PROPER(TRIM(Raw_Data!G26)))</f>
        <v>Hand Blender</v>
      </c>
      <c r="H26" s="11" t="n">
        <f aca="false">IFERROR(ABS(VALUE(TRIM(Raw_Data!H26))),"")</f>
        <v>3</v>
      </c>
      <c r="I26" s="12" t="n">
        <f aca="false">IFERROR(VALUE(TRIM(SUBSTITUTE(SUBSTITUTE(SUBSTITUTE(SUBSTITUTE(TRIM(Raw_Data!I26),"PKR",""),"Rs.",""),"Rs",""),",",""))),"")</f>
        <v>3700</v>
      </c>
      <c r="J26" s="13" t="n">
        <f aca="false">IFERROR(IF(TRIM(Raw_Data!J26)="",0,IF(VALUE(TRIM(Raw_Data!J26))&gt;1,VALUE(TRIM(Raw_Data!J26))/100,VALUE(TRIM(Raw_Data!J26)))),0)</f>
        <v>0</v>
      </c>
      <c r="K26" s="9" t="str">
        <f aca="false">IF(TRIM(Raw_Data!K26)="","Unassigned",PROPER(TRIM(Raw_Data!K26)))</f>
        <v>Sadia Noor</v>
      </c>
      <c r="L26" s="9" t="str">
        <f aca="false">IFERROR(INDEX({"Credit Card","Credit Card","Debit Card","Debit Card","Cash","PayPal"},MATCH(UPPER(LEFT(TRIM(Raw_Data!L26),2)),{"CR","CC","DE","DC","CA","PA"},0)),"Other")</f>
        <v>Cash</v>
      </c>
      <c r="M26" s="9" t="str">
        <f aca="false">IFERROR(INDEX({"Completed","Returned","Cancelled","Pending"},MATCH(UPPER(LEFT(TRIM(Raw_Data!M26),3)),{"COM","RET","CAN","PEN"},0)),"Unknown")</f>
        <v>Completed</v>
      </c>
      <c r="N26" s="14" t="n">
        <f aca="false">IF(OR(H26="",I26=""),"",H26*I26)</f>
        <v>11100</v>
      </c>
      <c r="O26" s="14" t="n">
        <f aca="false">IF(N26="","",N26*J26)</f>
        <v>0</v>
      </c>
      <c r="P26" s="14" t="n">
        <f aca="false">IF(N26="","",N26-O26)</f>
        <v>11100</v>
      </c>
      <c r="Q26" s="15" t="n">
        <f aca="false">IF(B26="","",DATE(YEAR(B26),MONTH(B26),1))</f>
        <v>45870</v>
      </c>
      <c r="R26" s="16" t="str">
        <f aca="false">IF(A26="","Invalid - Exclude",IF(COUNTIF($A$2:A26,A26)&gt;1,"Duplicate - Exclude",IF(OR(B26="",H26="",I26=""),"Invalid - Exclude","Valid")))</f>
        <v>Valid</v>
      </c>
      <c r="S26" s="16" t="str">
        <f aca="false">IF(R26="Valid","",IF(R26="Duplicate - Exclude","Repeat of an earlier Order ID",IF(B26="","Date missing or unreadable",IF(H26="","Quantity missing or unreadable",IF(I26="","Unit price missing or unreadable","Order ID missing")))))</f>
        <v/>
      </c>
    </row>
    <row r="27" customFormat="false" ht="15" hidden="false" customHeight="true" outlineLevel="0" collapsed="false">
      <c r="A27" s="17" t="str">
        <f aca="false">UPPER(TRIM(Raw_Data!A27))</f>
        <v>ORD-1026</v>
      </c>
      <c r="B27" s="18" t="n">
        <f aca="false">IFERROR(IF(ISNUMBER(Raw_Data!B27),Raw_Data!B27,IF(ISNUMBER(FIND("/",Raw_Data!B27)),DATE(VALUE(RIGHT(TRIM(Raw_Data!B27),4)),VALUE(MID(TRIM(Raw_Data!B27),4,2)),VALUE(LEFT(TRIM(Raw_Data!B27),2))),IF(MID(TRIM(Raw_Data!B27),5,1)="-",DATE(VALUE(LEFT(TRIM(Raw_Data!B27),4)),VALUE(MID(TRIM(Raw_Data!B27),6,2)),VALUE(RIGHT(TRIM(Raw_Data!B27),2))),DATE(VALUE(RIGHT(TRIM(Raw_Data!B27),4)),MATCH(MID(TRIM(Raw_Data!B27),4,3),{"Jan","Feb","Mar","Apr","May","Jun","Jul","Aug","Sep","Oct","Nov","Dec"},0),VALUE(LEFT(TRIM(Raw_Data!B27),2)))))),"")</f>
        <v>45678</v>
      </c>
      <c r="C27" s="17" t="str">
        <f aca="false">IF(TRIM(Raw_Data!C27)="","Unknown",PROPER(TRIM(Raw_Data!C27)))</f>
        <v>Nida Siddiqui</v>
      </c>
      <c r="D27" s="17" t="str">
        <f aca="false">IFERROR(INDEX({"Punjab","Sindh","KPK","Balochistan"},MATCH(UPPER(LEFT(TRIM(Raw_Data!D27),1)),{"P","S","K","B"},0)),IFERROR(INDEX(Data_Dictionary!$G$4:$G$16,MATCH(E27,Data_Dictionary!$F$4:$F$16,0)),"Unassigned"))</f>
        <v>Punjab</v>
      </c>
      <c r="E27" s="17" t="str">
        <f aca="false">IF(TRIM(Raw_Data!E27)="","Unknown",PROPER(TRIM(Raw_Data!E27)))</f>
        <v>Faisalabad</v>
      </c>
      <c r="F27" s="17" t="str">
        <f aca="false">IFERROR(INDEX({"Electronics","Home &amp; Kitchen","Clothing","Groceries","Beauty"},MATCH(UPPER(LEFT(TRIM(Raw_Data!F27),3)),{"ELE","HOM","CLO","GRO","BEA"},0)),"Uncategorised")</f>
        <v>Electronics</v>
      </c>
      <c r="G27" s="17" t="str">
        <f aca="false">IF(TRIM(Raw_Data!G27)="","Unknown",PROPER(TRIM(Raw_Data!G27)))</f>
        <v>Phone Charger</v>
      </c>
      <c r="H27" s="19" t="n">
        <f aca="false">IFERROR(ABS(VALUE(TRIM(Raw_Data!H27))),"")</f>
        <v>7</v>
      </c>
      <c r="I27" s="20" t="n">
        <f aca="false">IFERROR(VALUE(TRIM(SUBSTITUTE(SUBSTITUTE(SUBSTITUTE(SUBSTITUTE(TRIM(Raw_Data!I27),"PKR",""),"Rs.",""),"Rs",""),",",""))),"")</f>
        <v>1250</v>
      </c>
      <c r="J27" s="21" t="n">
        <f aca="false">IFERROR(IF(TRIM(Raw_Data!J27)="",0,IF(VALUE(TRIM(Raw_Data!J27))&gt;1,VALUE(TRIM(Raw_Data!J27))/100,VALUE(TRIM(Raw_Data!J27)))),0)</f>
        <v>0</v>
      </c>
      <c r="K27" s="17" t="str">
        <f aca="false">IF(TRIM(Raw_Data!K27)="","Unassigned",PROPER(TRIM(Raw_Data!K27)))</f>
        <v>Zoya Tariq</v>
      </c>
      <c r="L27" s="17" t="str">
        <f aca="false">IFERROR(INDEX({"Credit Card","Credit Card","Debit Card","Debit Card","Cash","PayPal"},MATCH(UPPER(LEFT(TRIM(Raw_Data!L27),2)),{"CR","CC","DE","DC","CA","PA"},0)),"Other")</f>
        <v>Credit Card</v>
      </c>
      <c r="M27" s="17" t="str">
        <f aca="false">IFERROR(INDEX({"Completed","Returned","Cancelled","Pending"},MATCH(UPPER(LEFT(TRIM(Raw_Data!M27),3)),{"COM","RET","CAN","PEN"},0)),"Unknown")</f>
        <v>Completed</v>
      </c>
      <c r="N27" s="20" t="n">
        <f aca="false">IF(OR(H27="",I27=""),"",H27*I27)</f>
        <v>8750</v>
      </c>
      <c r="O27" s="20" t="n">
        <f aca="false">IF(N27="","",N27*J27)</f>
        <v>0</v>
      </c>
      <c r="P27" s="20" t="n">
        <f aca="false">IF(N27="","",N27-O27)</f>
        <v>8750</v>
      </c>
      <c r="Q27" s="22" t="n">
        <f aca="false">IF(B27="","",DATE(YEAR(B27),MONTH(B27),1))</f>
        <v>45658</v>
      </c>
      <c r="R27" s="17" t="str">
        <f aca="false">IF(A27="","Invalid - Exclude",IF(COUNTIF($A$2:A27,A27)&gt;1,"Duplicate - Exclude",IF(OR(B27="",H27="",I27=""),"Invalid - Exclude","Valid")))</f>
        <v>Valid</v>
      </c>
      <c r="S27" s="17" t="str">
        <f aca="false">IF(R27="Valid","",IF(R27="Duplicate - Exclude","Repeat of an earlier Order ID",IF(B27="","Date missing or unreadable",IF(H27="","Quantity missing or unreadable",IF(I27="","Unit price missing or unreadable","Order ID missing")))))</f>
        <v/>
      </c>
    </row>
    <row r="28" customFormat="false" ht="15" hidden="false" customHeight="true" outlineLevel="0" collapsed="false">
      <c r="A28" s="9" t="str">
        <f aca="false">UPPER(TRIM(Raw_Data!A28))</f>
        <v>ORD-1027</v>
      </c>
      <c r="B28" s="10" t="n">
        <f aca="false">IFERROR(IF(ISNUMBER(Raw_Data!B28),Raw_Data!B28,IF(ISNUMBER(FIND("/",Raw_Data!B28)),DATE(VALUE(RIGHT(TRIM(Raw_Data!B28),4)),VALUE(MID(TRIM(Raw_Data!B28),4,2)),VALUE(LEFT(TRIM(Raw_Data!B28),2))),IF(MID(TRIM(Raw_Data!B28),5,1)="-",DATE(VALUE(LEFT(TRIM(Raw_Data!B28),4)),VALUE(MID(TRIM(Raw_Data!B28),6,2)),VALUE(RIGHT(TRIM(Raw_Data!B28),2))),DATE(VALUE(RIGHT(TRIM(Raw_Data!B28),4)),MATCH(MID(TRIM(Raw_Data!B28),4,3),{"Jan","Feb","Mar","Apr","May","Jun","Jul","Aug","Sep","Oct","Nov","Dec"},0),VALUE(LEFT(TRIM(Raw_Data!B28),2)))))),"")</f>
        <v>45981</v>
      </c>
      <c r="C28" s="9" t="str">
        <f aca="false">IF(TRIM(Raw_Data!C28)="","Unknown",PROPER(TRIM(Raw_Data!C28)))</f>
        <v>Ahmed Siddiqui</v>
      </c>
      <c r="D28" s="9" t="str">
        <f aca="false">IFERROR(INDEX({"Punjab","Sindh","KPK","Balochistan"},MATCH(UPPER(LEFT(TRIM(Raw_Data!D28),1)),{"P","S","K","B"},0)),IFERROR(INDEX(Data_Dictionary!$G$4:$G$16,MATCH(E28,Data_Dictionary!$F$4:$F$16,0)),"Unassigned"))</f>
        <v>Punjab</v>
      </c>
      <c r="E28" s="9" t="str">
        <f aca="false">IF(TRIM(Raw_Data!E28)="","Unknown",PROPER(TRIM(Raw_Data!E28)))</f>
        <v>Lahore</v>
      </c>
      <c r="F28" s="9" t="str">
        <f aca="false">IFERROR(INDEX({"Electronics","Home &amp; Kitchen","Clothing","Groceries","Beauty"},MATCH(UPPER(LEFT(TRIM(Raw_Data!F28),3)),{"ELE","HOM","CLO","GRO","BEA"},0)),"Uncategorised")</f>
        <v>Home &amp; Kitchen</v>
      </c>
      <c r="G28" s="9" t="str">
        <f aca="false">IF(TRIM(Raw_Data!G28)="","Unknown",PROPER(TRIM(Raw_Data!G28)))</f>
        <v>Hand Blender</v>
      </c>
      <c r="H28" s="11" t="n">
        <f aca="false">IFERROR(ABS(VALUE(TRIM(Raw_Data!H28))),"")</f>
        <v>2</v>
      </c>
      <c r="I28" s="12" t="n">
        <f aca="false">IFERROR(VALUE(TRIM(SUBSTITUTE(SUBSTITUTE(SUBSTITUTE(SUBSTITUTE(TRIM(Raw_Data!I28),"PKR",""),"Rs.",""),"Rs",""),",",""))),"")</f>
        <v>3900</v>
      </c>
      <c r="J28" s="13" t="n">
        <f aca="false">IFERROR(IF(TRIM(Raw_Data!J28)="",0,IF(VALUE(TRIM(Raw_Data!J28))&gt;1,VALUE(TRIM(Raw_Data!J28))/100,VALUE(TRIM(Raw_Data!J28)))),0)</f>
        <v>0</v>
      </c>
      <c r="K28" s="9" t="str">
        <f aca="false">IF(TRIM(Raw_Data!K28)="","Unassigned",PROPER(TRIM(Raw_Data!K28)))</f>
        <v>Zoya Tariq</v>
      </c>
      <c r="L28" s="9" t="str">
        <f aca="false">IFERROR(INDEX({"Credit Card","Credit Card","Debit Card","Debit Card","Cash","PayPal"},MATCH(UPPER(LEFT(TRIM(Raw_Data!L28),2)),{"CR","CC","DE","DC","CA","PA"},0)),"Other")</f>
        <v>Cash</v>
      </c>
      <c r="M28" s="9" t="str">
        <f aca="false">IFERROR(INDEX({"Completed","Returned","Cancelled","Pending"},MATCH(UPPER(LEFT(TRIM(Raw_Data!M28),3)),{"COM","RET","CAN","PEN"},0)),"Unknown")</f>
        <v>Completed</v>
      </c>
      <c r="N28" s="14" t="n">
        <f aca="false">IF(OR(H28="",I28=""),"",H28*I28)</f>
        <v>7800</v>
      </c>
      <c r="O28" s="14" t="n">
        <f aca="false">IF(N28="","",N28*J28)</f>
        <v>0</v>
      </c>
      <c r="P28" s="14" t="n">
        <f aca="false">IF(N28="","",N28-O28)</f>
        <v>7800</v>
      </c>
      <c r="Q28" s="15" t="n">
        <f aca="false">IF(B28="","",DATE(YEAR(B28),MONTH(B28),1))</f>
        <v>45962</v>
      </c>
      <c r="R28" s="16" t="str">
        <f aca="false">IF(A28="","Invalid - Exclude",IF(COUNTIF($A$2:A28,A28)&gt;1,"Duplicate - Exclude",IF(OR(B28="",H28="",I28=""),"Invalid - Exclude","Valid")))</f>
        <v>Valid</v>
      </c>
      <c r="S28" s="16" t="str">
        <f aca="false">IF(R28="Valid","",IF(R28="Duplicate - Exclude","Repeat of an earlier Order ID",IF(B28="","Date missing or unreadable",IF(H28="","Quantity missing or unreadable",IF(I28="","Unit price missing or unreadable","Order ID missing")))))</f>
        <v/>
      </c>
    </row>
    <row r="29" customFormat="false" ht="15" hidden="false" customHeight="true" outlineLevel="0" collapsed="false">
      <c r="A29" s="17" t="str">
        <f aca="false">UPPER(TRIM(Raw_Data!A29))</f>
        <v>ORD-1028</v>
      </c>
      <c r="B29" s="18" t="n">
        <f aca="false">IFERROR(IF(ISNUMBER(Raw_Data!B29),Raw_Data!B29,IF(ISNUMBER(FIND("/",Raw_Data!B29)),DATE(VALUE(RIGHT(TRIM(Raw_Data!B29),4)),VALUE(MID(TRIM(Raw_Data!B29),4,2)),VALUE(LEFT(TRIM(Raw_Data!B29),2))),IF(MID(TRIM(Raw_Data!B29),5,1)="-",DATE(VALUE(LEFT(TRIM(Raw_Data!B29),4)),VALUE(MID(TRIM(Raw_Data!B29),6,2)),VALUE(RIGHT(TRIM(Raw_Data!B29),2))),DATE(VALUE(RIGHT(TRIM(Raw_Data!B29),4)),MATCH(MID(TRIM(Raw_Data!B29),4,3),{"Jan","Feb","Mar","Apr","May","Jun","Jul","Aug","Sep","Oct","Nov","Dec"},0),VALUE(LEFT(TRIM(Raw_Data!B29),2)))))),"")</f>
        <v>46004</v>
      </c>
      <c r="C29" s="17" t="str">
        <f aca="false">IF(TRIM(Raw_Data!C29)="","Unknown",PROPER(TRIM(Raw_Data!C29)))</f>
        <v>Fatima Mirza</v>
      </c>
      <c r="D29" s="17" t="str">
        <f aca="false">IFERROR(INDEX({"Punjab","Sindh","KPK","Balochistan"},MATCH(UPPER(LEFT(TRIM(Raw_Data!D29),1)),{"P","S","K","B"},0)),IFERROR(INDEX(Data_Dictionary!$G$4:$G$16,MATCH(E29,Data_Dictionary!$F$4:$F$16,0)),"Unassigned"))</f>
        <v>Punjab</v>
      </c>
      <c r="E29" s="17" t="str">
        <f aca="false">IF(TRIM(Raw_Data!E29)="","Unknown",PROPER(TRIM(Raw_Data!E29)))</f>
        <v>Lahore</v>
      </c>
      <c r="F29" s="17" t="str">
        <f aca="false">IFERROR(INDEX({"Electronics","Home &amp; Kitchen","Clothing","Groceries","Beauty"},MATCH(UPPER(LEFT(TRIM(Raw_Data!F29),3)),{"ELE","HOM","CLO","GRO","BEA"},0)),"Uncategorised")</f>
        <v>Home &amp; Kitchen</v>
      </c>
      <c r="G29" s="17" t="str">
        <f aca="false">IF(TRIM(Raw_Data!G29)="","Unknown",PROPER(TRIM(Raw_Data!G29)))</f>
        <v>Rice Cooker</v>
      </c>
      <c r="H29" s="19" t="n">
        <f aca="false">IFERROR(ABS(VALUE(TRIM(Raw_Data!H29))),"")</f>
        <v>3</v>
      </c>
      <c r="I29" s="20" t="n">
        <f aca="false">IFERROR(VALUE(TRIM(SUBSTITUTE(SUBSTITUTE(SUBSTITUTE(SUBSTITUTE(TRIM(Raw_Data!I29),"PKR",""),"Rs.",""),"Rs",""),",",""))),"")</f>
        <v>7200</v>
      </c>
      <c r="J29" s="21" t="n">
        <f aca="false">IFERROR(IF(TRIM(Raw_Data!J29)="",0,IF(VALUE(TRIM(Raw_Data!J29))&gt;1,VALUE(TRIM(Raw_Data!J29))/100,VALUE(TRIM(Raw_Data!J29)))),0)</f>
        <v>0</v>
      </c>
      <c r="K29" s="17" t="str">
        <f aca="false">IF(TRIM(Raw_Data!K29)="","Unassigned",PROPER(TRIM(Raw_Data!K29)))</f>
        <v>Zoya Tariq</v>
      </c>
      <c r="L29" s="17" t="str">
        <f aca="false">IFERROR(INDEX({"Credit Card","Credit Card","Debit Card","Debit Card","Cash","PayPal"},MATCH(UPPER(LEFT(TRIM(Raw_Data!L29),2)),{"CR","CC","DE","DC","CA","PA"},0)),"Other")</f>
        <v>Credit Card</v>
      </c>
      <c r="M29" s="17" t="str">
        <f aca="false">IFERROR(INDEX({"Completed","Returned","Cancelled","Pending"},MATCH(UPPER(LEFT(TRIM(Raw_Data!M29),3)),{"COM","RET","CAN","PEN"},0)),"Unknown")</f>
        <v>Completed</v>
      </c>
      <c r="N29" s="20" t="n">
        <f aca="false">IF(OR(H29="",I29=""),"",H29*I29)</f>
        <v>21600</v>
      </c>
      <c r="O29" s="20" t="n">
        <f aca="false">IF(N29="","",N29*J29)</f>
        <v>0</v>
      </c>
      <c r="P29" s="20" t="n">
        <f aca="false">IF(N29="","",N29-O29)</f>
        <v>21600</v>
      </c>
      <c r="Q29" s="22" t="n">
        <f aca="false">IF(B29="","",DATE(YEAR(B29),MONTH(B29),1))</f>
        <v>45992</v>
      </c>
      <c r="R29" s="17" t="str">
        <f aca="false">IF(A29="","Invalid - Exclude",IF(COUNTIF($A$2:A29,A29)&gt;1,"Duplicate - Exclude",IF(OR(B29="",H29="",I29=""),"Invalid - Exclude","Valid")))</f>
        <v>Valid</v>
      </c>
      <c r="S29" s="17" t="str">
        <f aca="false">IF(R29="Valid","",IF(R29="Duplicate - Exclude","Repeat of an earlier Order ID",IF(B29="","Date missing or unreadable",IF(H29="","Quantity missing or unreadable",IF(I29="","Unit price missing or unreadable","Order ID missing")))))</f>
        <v/>
      </c>
    </row>
    <row r="30" customFormat="false" ht="15" hidden="false" customHeight="true" outlineLevel="0" collapsed="false">
      <c r="A30" s="9" t="str">
        <f aca="false">UPPER(TRIM(Raw_Data!A30))</f>
        <v>ORD-1029</v>
      </c>
      <c r="B30" s="10" t="n">
        <f aca="false">IFERROR(IF(ISNUMBER(Raw_Data!B30),Raw_Data!B30,IF(ISNUMBER(FIND("/",Raw_Data!B30)),DATE(VALUE(RIGHT(TRIM(Raw_Data!B30),4)),VALUE(MID(TRIM(Raw_Data!B30),4,2)),VALUE(LEFT(TRIM(Raw_Data!B30),2))),IF(MID(TRIM(Raw_Data!B30),5,1)="-",DATE(VALUE(LEFT(TRIM(Raw_Data!B30),4)),VALUE(MID(TRIM(Raw_Data!B30),6,2)),VALUE(RIGHT(TRIM(Raw_Data!B30),2))),DATE(VALUE(RIGHT(TRIM(Raw_Data!B30),4)),MATCH(MID(TRIM(Raw_Data!B30),4,3),{"Jan","Feb","Mar","Apr","May","Jun","Jul","Aug","Sep","Oct","Nov","Dec"},0),VALUE(LEFT(TRIM(Raw_Data!B30),2)))))),"")</f>
        <v>45836</v>
      </c>
      <c r="C30" s="9" t="str">
        <f aca="false">IF(TRIM(Raw_Data!C30)="","Unknown",PROPER(TRIM(Raw_Data!C30)))</f>
        <v>Fatima Hussain</v>
      </c>
      <c r="D30" s="9" t="str">
        <f aca="false">IFERROR(INDEX({"Punjab","Sindh","KPK","Balochistan"},MATCH(UPPER(LEFT(TRIM(Raw_Data!D30),1)),{"P","S","K","B"},0)),IFERROR(INDEX(Data_Dictionary!$G$4:$G$16,MATCH(E30,Data_Dictionary!$F$4:$F$16,0)),"Unassigned"))</f>
        <v>Sindh</v>
      </c>
      <c r="E30" s="9" t="str">
        <f aca="false">IF(TRIM(Raw_Data!E30)="","Unknown",PROPER(TRIM(Raw_Data!E30)))</f>
        <v>Karachi</v>
      </c>
      <c r="F30" s="9" t="str">
        <f aca="false">IFERROR(INDEX({"Electronics","Home &amp; Kitchen","Clothing","Groceries","Beauty"},MATCH(UPPER(LEFT(TRIM(Raw_Data!F30),3)),{"ELE","HOM","CLO","GRO","BEA"},0)),"Uncategorised")</f>
        <v>Electronics</v>
      </c>
      <c r="G30" s="9" t="str">
        <f aca="false">IF(TRIM(Raw_Data!G30)="","Unknown",PROPER(TRIM(Raw_Data!G30)))</f>
        <v>Smart Watch</v>
      </c>
      <c r="H30" s="11" t="n">
        <f aca="false">IFERROR(ABS(VALUE(TRIM(Raw_Data!H30))),"")</f>
        <v>3</v>
      </c>
      <c r="I30" s="12" t="n">
        <f aca="false">IFERROR(VALUE(TRIM(SUBSTITUTE(SUBSTITUTE(SUBSTITUTE(SUBSTITUTE(TRIM(Raw_Data!I30),"PKR",""),"Rs.",""),"Rs",""),",",""))),"")</f>
        <v>9250</v>
      </c>
      <c r="J30" s="13" t="n">
        <f aca="false">IFERROR(IF(TRIM(Raw_Data!J30)="",0,IF(VALUE(TRIM(Raw_Data!J30))&gt;1,VALUE(TRIM(Raw_Data!J30))/100,VALUE(TRIM(Raw_Data!J30)))),0)</f>
        <v>0</v>
      </c>
      <c r="K30" s="9" t="str">
        <f aca="false">IF(TRIM(Raw_Data!K30)="","Unassigned",PROPER(TRIM(Raw_Data!K30)))</f>
        <v>Nimra Aslam</v>
      </c>
      <c r="L30" s="9" t="str">
        <f aca="false">IFERROR(INDEX({"Credit Card","Credit Card","Debit Card","Debit Card","Cash","PayPal"},MATCH(UPPER(LEFT(TRIM(Raw_Data!L30),2)),{"CR","CC","DE","DC","CA","PA"},0)),"Other")</f>
        <v>Cash</v>
      </c>
      <c r="M30" s="9" t="str">
        <f aca="false">IFERROR(INDEX({"Completed","Returned","Cancelled","Pending"},MATCH(UPPER(LEFT(TRIM(Raw_Data!M30),3)),{"COM","RET","CAN","PEN"},0)),"Unknown")</f>
        <v>Completed</v>
      </c>
      <c r="N30" s="14" t="n">
        <f aca="false">IF(OR(H30="",I30=""),"",H30*I30)</f>
        <v>27750</v>
      </c>
      <c r="O30" s="14" t="n">
        <f aca="false">IF(N30="","",N30*J30)</f>
        <v>0</v>
      </c>
      <c r="P30" s="14" t="n">
        <f aca="false">IF(N30="","",N30-O30)</f>
        <v>27750</v>
      </c>
      <c r="Q30" s="15" t="n">
        <f aca="false">IF(B30="","",DATE(YEAR(B30),MONTH(B30),1))</f>
        <v>45809</v>
      </c>
      <c r="R30" s="16" t="str">
        <f aca="false">IF(A30="","Invalid - Exclude",IF(COUNTIF($A$2:A30,A30)&gt;1,"Duplicate - Exclude",IF(OR(B30="",H30="",I30=""),"Invalid - Exclude","Valid")))</f>
        <v>Valid</v>
      </c>
      <c r="S30" s="16" t="str">
        <f aca="false">IF(R30="Valid","",IF(R30="Duplicate - Exclude","Repeat of an earlier Order ID",IF(B30="","Date missing or unreadable",IF(H30="","Quantity missing or unreadable",IF(I30="","Unit price missing or unreadable","Order ID missing")))))</f>
        <v/>
      </c>
    </row>
    <row r="31" customFormat="false" ht="15" hidden="false" customHeight="true" outlineLevel="0" collapsed="false">
      <c r="A31" s="17" t="str">
        <f aca="false">UPPER(TRIM(Raw_Data!A31))</f>
        <v>ORD-1030</v>
      </c>
      <c r="B31" s="18" t="n">
        <f aca="false">IFERROR(IF(ISNUMBER(Raw_Data!B31),Raw_Data!B31,IF(ISNUMBER(FIND("/",Raw_Data!B31)),DATE(VALUE(RIGHT(TRIM(Raw_Data!B31),4)),VALUE(MID(TRIM(Raw_Data!B31),4,2)),VALUE(LEFT(TRIM(Raw_Data!B31),2))),IF(MID(TRIM(Raw_Data!B31),5,1)="-",DATE(VALUE(LEFT(TRIM(Raw_Data!B31),4)),VALUE(MID(TRIM(Raw_Data!B31),6,2)),VALUE(RIGHT(TRIM(Raw_Data!B31),2))),DATE(VALUE(RIGHT(TRIM(Raw_Data!B31),4)),MATCH(MID(TRIM(Raw_Data!B31),4,3),{"Jan","Feb","Mar","Apr","May","Jun","Jul","Aug","Sep","Oct","Nov","Dec"},0),VALUE(LEFT(TRIM(Raw_Data!B31),2)))))),"")</f>
        <v>45881</v>
      </c>
      <c r="C31" s="17" t="str">
        <f aca="false">IF(TRIM(Raw_Data!C31)="","Unknown",PROPER(TRIM(Raw_Data!C31)))</f>
        <v>Iqra Ansari</v>
      </c>
      <c r="D31" s="17" t="str">
        <f aca="false">IFERROR(INDEX({"Punjab","Sindh","KPK","Balochistan"},MATCH(UPPER(LEFT(TRIM(Raw_Data!D31),1)),{"P","S","K","B"},0)),IFERROR(INDEX(Data_Dictionary!$G$4:$G$16,MATCH(E31,Data_Dictionary!$F$4:$F$16,0)),"Unassigned"))</f>
        <v>Punjab</v>
      </c>
      <c r="E31" s="17" t="str">
        <f aca="false">IF(TRIM(Raw_Data!E31)="","Unknown",PROPER(TRIM(Raw_Data!E31)))</f>
        <v>Multan</v>
      </c>
      <c r="F31" s="17" t="str">
        <f aca="false">IFERROR(INDEX({"Electronics","Home &amp; Kitchen","Clothing","Groceries","Beauty"},MATCH(UPPER(LEFT(TRIM(Raw_Data!F31),3)),{"ELE","HOM","CLO","GRO","BEA"},0)),"Uncategorised")</f>
        <v>Home &amp; Kitchen</v>
      </c>
      <c r="G31" s="17" t="str">
        <f aca="false">IF(TRIM(Raw_Data!G31)="","Unknown",PROPER(TRIM(Raw_Data!G31)))</f>
        <v>Bedsheet Set</v>
      </c>
      <c r="H31" s="19" t="str">
        <f aca="false">IFERROR(ABS(VALUE(TRIM(Raw_Data!H31))),"")</f>
        <v/>
      </c>
      <c r="I31" s="20" t="n">
        <f aca="false">IFERROR(VALUE(TRIM(SUBSTITUTE(SUBSTITUTE(SUBSTITUTE(SUBSTITUTE(TRIM(Raw_Data!I31),"PKR",""),"Rs.",""),"Rs",""),",",""))),"")</f>
        <v>5300</v>
      </c>
      <c r="J31" s="21" t="n">
        <f aca="false">IFERROR(IF(TRIM(Raw_Data!J31)="",0,IF(VALUE(TRIM(Raw_Data!J31))&gt;1,VALUE(TRIM(Raw_Data!J31))/100,VALUE(TRIM(Raw_Data!J31)))),0)</f>
        <v>0.2</v>
      </c>
      <c r="K31" s="17" t="str">
        <f aca="false">IF(TRIM(Raw_Data!K31)="","Unassigned",PROPER(TRIM(Raw_Data!K31)))</f>
        <v>Sadia Noor</v>
      </c>
      <c r="L31" s="17" t="str">
        <f aca="false">IFERROR(INDEX({"Credit Card","Credit Card","Debit Card","Debit Card","Cash","PayPal"},MATCH(UPPER(LEFT(TRIM(Raw_Data!L31),2)),{"CR","CC","DE","DC","CA","PA"},0)),"Other")</f>
        <v>PayPal</v>
      </c>
      <c r="M31" s="17" t="str">
        <f aca="false">IFERROR(INDEX({"Completed","Returned","Cancelled","Pending"},MATCH(UPPER(LEFT(TRIM(Raw_Data!M31),3)),{"COM","RET","CAN","PEN"},0)),"Unknown")</f>
        <v>Completed</v>
      </c>
      <c r="N31" s="20" t="str">
        <f aca="false">IF(OR(H31="",I31=""),"",H31*I31)</f>
        <v/>
      </c>
      <c r="O31" s="20" t="str">
        <f aca="false">IF(N31="","",N31*J31)</f>
        <v/>
      </c>
      <c r="P31" s="20" t="str">
        <f aca="false">IF(N31="","",N31-O31)</f>
        <v/>
      </c>
      <c r="Q31" s="22" t="n">
        <f aca="false">IF(B31="","",DATE(YEAR(B31),MONTH(B31),1))</f>
        <v>45870</v>
      </c>
      <c r="R31" s="17" t="str">
        <f aca="false">IF(A31="","Invalid - Exclude",IF(COUNTIF($A$2:A31,A31)&gt;1,"Duplicate - Exclude",IF(OR(B31="",H31="",I31=""),"Invalid - Exclude","Valid")))</f>
        <v>Invalid - Exclude</v>
      </c>
      <c r="S31" s="17" t="str">
        <f aca="false">IF(R31="Valid","",IF(R31="Duplicate - Exclude","Repeat of an earlier Order ID",IF(B31="","Date missing or unreadable",IF(H31="","Quantity missing or unreadable",IF(I31="","Unit price missing or unreadable","Order ID missing")))))</f>
        <v>Quantity missing or unreadable</v>
      </c>
    </row>
    <row r="32" customFormat="false" ht="15" hidden="false" customHeight="true" outlineLevel="0" collapsed="false">
      <c r="A32" s="9" t="str">
        <f aca="false">UPPER(TRIM(Raw_Data!A32))</f>
        <v>ORD-1031</v>
      </c>
      <c r="B32" s="10" t="n">
        <f aca="false">IFERROR(IF(ISNUMBER(Raw_Data!B32),Raw_Data!B32,IF(ISNUMBER(FIND("/",Raw_Data!B32)),DATE(VALUE(RIGHT(TRIM(Raw_Data!B32),4)),VALUE(MID(TRIM(Raw_Data!B32),4,2)),VALUE(LEFT(TRIM(Raw_Data!B32),2))),IF(MID(TRIM(Raw_Data!B32),5,1)="-",DATE(VALUE(LEFT(TRIM(Raw_Data!B32),4)),VALUE(MID(TRIM(Raw_Data!B32),6,2)),VALUE(RIGHT(TRIM(Raw_Data!B32),2))),DATE(VALUE(RIGHT(TRIM(Raw_Data!B32),4)),MATCH(MID(TRIM(Raw_Data!B32),4,3),{"Jan","Feb","Mar","Apr","May","Jun","Jul","Aug","Sep","Oct","Nov","Dec"},0),VALUE(LEFT(TRIM(Raw_Data!B32),2)))))),"")</f>
        <v>45994</v>
      </c>
      <c r="C32" s="9" t="str">
        <f aca="false">IF(TRIM(Raw_Data!C32)="","Unknown",PROPER(TRIM(Raw_Data!C32)))</f>
        <v>Zain Iqbal</v>
      </c>
      <c r="D32" s="9" t="str">
        <f aca="false">IFERROR(INDEX({"Punjab","Sindh","KPK","Balochistan"},MATCH(UPPER(LEFT(TRIM(Raw_Data!D32),1)),{"P","S","K","B"},0)),IFERROR(INDEX(Data_Dictionary!$G$4:$G$16,MATCH(E32,Data_Dictionary!$F$4:$F$16,0)),"Unassigned"))</f>
        <v>Punjab</v>
      </c>
      <c r="E32" s="9" t="str">
        <f aca="false">IF(TRIM(Raw_Data!E32)="","Unknown",PROPER(TRIM(Raw_Data!E32)))</f>
        <v>Faisalabad</v>
      </c>
      <c r="F32" s="9" t="str">
        <f aca="false">IFERROR(INDEX({"Electronics","Home &amp; Kitchen","Clothing","Groceries","Beauty"},MATCH(UPPER(LEFT(TRIM(Raw_Data!F32),3)),{"ELE","HOM","CLO","GRO","BEA"},0)),"Uncategorised")</f>
        <v>Electronics</v>
      </c>
      <c r="G32" s="9" t="str">
        <f aca="false">IF(TRIM(Raw_Data!G32)="","Unknown",PROPER(TRIM(Raw_Data!G32)))</f>
        <v>Smart Television 43 Inch</v>
      </c>
      <c r="H32" s="11" t="n">
        <f aca="false">IFERROR(ABS(VALUE(TRIM(Raw_Data!H32))),"")</f>
        <v>1</v>
      </c>
      <c r="I32" s="12" t="n">
        <f aca="false">IFERROR(VALUE(TRIM(SUBSTITUTE(SUBSTITUTE(SUBSTITUTE(SUBSTITUTE(TRIM(Raw_Data!I32),"PKR",""),"Rs.",""),"Rs",""),",",""))),"")</f>
        <v>51800</v>
      </c>
      <c r="J32" s="13" t="n">
        <f aca="false">IFERROR(IF(TRIM(Raw_Data!J32)="",0,IF(VALUE(TRIM(Raw_Data!J32))&gt;1,VALUE(TRIM(Raw_Data!J32))/100,VALUE(TRIM(Raw_Data!J32)))),0)</f>
        <v>0</v>
      </c>
      <c r="K32" s="9" t="str">
        <f aca="false">IF(TRIM(Raw_Data!K32)="","Unassigned",PROPER(TRIM(Raw_Data!K32)))</f>
        <v>Imran Shah</v>
      </c>
      <c r="L32" s="9" t="str">
        <f aca="false">IFERROR(INDEX({"Credit Card","Credit Card","Debit Card","Debit Card","Cash","PayPal"},MATCH(UPPER(LEFT(TRIM(Raw_Data!L32),2)),{"CR","CC","DE","DC","CA","PA"},0)),"Other")</f>
        <v>Debit Card</v>
      </c>
      <c r="M32" s="9" t="str">
        <f aca="false">IFERROR(INDEX({"Completed","Returned","Cancelled","Pending"},MATCH(UPPER(LEFT(TRIM(Raw_Data!M32),3)),{"COM","RET","CAN","PEN"},0)),"Unknown")</f>
        <v>Completed</v>
      </c>
      <c r="N32" s="14" t="n">
        <f aca="false">IF(OR(H32="",I32=""),"",H32*I32)</f>
        <v>51800</v>
      </c>
      <c r="O32" s="14" t="n">
        <f aca="false">IF(N32="","",N32*J32)</f>
        <v>0</v>
      </c>
      <c r="P32" s="14" t="n">
        <f aca="false">IF(N32="","",N32-O32)</f>
        <v>51800</v>
      </c>
      <c r="Q32" s="15" t="n">
        <f aca="false">IF(B32="","",DATE(YEAR(B32),MONTH(B32),1))</f>
        <v>45992</v>
      </c>
      <c r="R32" s="16" t="str">
        <f aca="false">IF(A32="","Invalid - Exclude",IF(COUNTIF($A$2:A32,A32)&gt;1,"Duplicate - Exclude",IF(OR(B32="",H32="",I32=""),"Invalid - Exclude","Valid")))</f>
        <v>Valid</v>
      </c>
      <c r="S32" s="16" t="str">
        <f aca="false">IF(R32="Valid","",IF(R32="Duplicate - Exclude","Repeat of an earlier Order ID",IF(B32="","Date missing or unreadable",IF(H32="","Quantity missing or unreadable",IF(I32="","Unit price missing or unreadable","Order ID missing")))))</f>
        <v/>
      </c>
    </row>
    <row r="33" customFormat="false" ht="15" hidden="false" customHeight="true" outlineLevel="0" collapsed="false">
      <c r="A33" s="17" t="str">
        <f aca="false">UPPER(TRIM(Raw_Data!A33))</f>
        <v>ORD-1032</v>
      </c>
      <c r="B33" s="18" t="n">
        <f aca="false">IFERROR(IF(ISNUMBER(Raw_Data!B33),Raw_Data!B33,IF(ISNUMBER(FIND("/",Raw_Data!B33)),DATE(VALUE(RIGHT(TRIM(Raw_Data!B33),4)),VALUE(MID(TRIM(Raw_Data!B33),4,2)),VALUE(LEFT(TRIM(Raw_Data!B33),2))),IF(MID(TRIM(Raw_Data!B33),5,1)="-",DATE(VALUE(LEFT(TRIM(Raw_Data!B33),4)),VALUE(MID(TRIM(Raw_Data!B33),6,2)),VALUE(RIGHT(TRIM(Raw_Data!B33),2))),DATE(VALUE(RIGHT(TRIM(Raw_Data!B33),4)),MATCH(MID(TRIM(Raw_Data!B33),4,3),{"Jan","Feb","Mar","Apr","May","Jun","Jul","Aug","Sep","Oct","Nov","Dec"},0),VALUE(LEFT(TRIM(Raw_Data!B33),2)))))),"")</f>
        <v>45897</v>
      </c>
      <c r="C33" s="17" t="str">
        <f aca="false">IF(TRIM(Raw_Data!C33)="","Unknown",PROPER(TRIM(Raw_Data!C33)))</f>
        <v>Hina Chaudhry</v>
      </c>
      <c r="D33" s="17" t="str">
        <f aca="false">IFERROR(INDEX({"Punjab","Sindh","KPK","Balochistan"},MATCH(UPPER(LEFT(TRIM(Raw_Data!D33),1)),{"P","S","K","B"},0)),IFERROR(INDEX(Data_Dictionary!$G$4:$G$16,MATCH(E33,Data_Dictionary!$F$4:$F$16,0)),"Unassigned"))</f>
        <v>KPK</v>
      </c>
      <c r="E33" s="17" t="str">
        <f aca="false">IF(TRIM(Raw_Data!E33)="","Unknown",PROPER(TRIM(Raw_Data!E33)))</f>
        <v>Abbottabad</v>
      </c>
      <c r="F33" s="17" t="str">
        <f aca="false">IFERROR(INDEX({"Electronics","Home &amp; Kitchen","Clothing","Groceries","Beauty"},MATCH(UPPER(LEFT(TRIM(Raw_Data!F33),3)),{"ELE","HOM","CLO","GRO","BEA"},0)),"Uncategorised")</f>
        <v>Clothing</v>
      </c>
      <c r="G33" s="17" t="str">
        <f aca="false">IF(TRIM(Raw_Data!G33)="","Unknown",PROPER(TRIM(Raw_Data!G33)))</f>
        <v>Running Shoes</v>
      </c>
      <c r="H33" s="19" t="n">
        <f aca="false">IFERROR(ABS(VALUE(TRIM(Raw_Data!H33))),"")</f>
        <v>2</v>
      </c>
      <c r="I33" s="20" t="n">
        <f aca="false">IFERROR(VALUE(TRIM(SUBSTITUTE(SUBSTITUTE(SUBSTITUTE(SUBSTITUTE(TRIM(Raw_Data!I33),"PKR",""),"Rs.",""),"Rs",""),",",""))),"")</f>
        <v>8250</v>
      </c>
      <c r="J33" s="21" t="n">
        <f aca="false">IFERROR(IF(TRIM(Raw_Data!J33)="",0,IF(VALUE(TRIM(Raw_Data!J33))&gt;1,VALUE(TRIM(Raw_Data!J33))/100,VALUE(TRIM(Raw_Data!J33)))),0)</f>
        <v>0</v>
      </c>
      <c r="K33" s="17" t="str">
        <f aca="false">IF(TRIM(Raw_Data!K33)="","Unassigned",PROPER(TRIM(Raw_Data!K33)))</f>
        <v>Nimra Aslam</v>
      </c>
      <c r="L33" s="17" t="str">
        <f aca="false">IFERROR(INDEX({"Credit Card","Credit Card","Debit Card","Debit Card","Cash","PayPal"},MATCH(UPPER(LEFT(TRIM(Raw_Data!L33),2)),{"CR","CC","DE","DC","CA","PA"},0)),"Other")</f>
        <v>Credit Card</v>
      </c>
      <c r="M33" s="17" t="str">
        <f aca="false">IFERROR(INDEX({"Completed","Returned","Cancelled","Pending"},MATCH(UPPER(LEFT(TRIM(Raw_Data!M33),3)),{"COM","RET","CAN","PEN"},0)),"Unknown")</f>
        <v>Completed</v>
      </c>
      <c r="N33" s="20" t="n">
        <f aca="false">IF(OR(H33="",I33=""),"",H33*I33)</f>
        <v>16500</v>
      </c>
      <c r="O33" s="20" t="n">
        <f aca="false">IF(N33="","",N33*J33)</f>
        <v>0</v>
      </c>
      <c r="P33" s="20" t="n">
        <f aca="false">IF(N33="","",N33-O33)</f>
        <v>16500</v>
      </c>
      <c r="Q33" s="22" t="n">
        <f aca="false">IF(B33="","",DATE(YEAR(B33),MONTH(B33),1))</f>
        <v>45870</v>
      </c>
      <c r="R33" s="17" t="str">
        <f aca="false">IF(A33="","Invalid - Exclude",IF(COUNTIF($A$2:A33,A33)&gt;1,"Duplicate - Exclude",IF(OR(B33="",H33="",I33=""),"Invalid - Exclude","Valid")))</f>
        <v>Valid</v>
      </c>
      <c r="S33" s="17" t="str">
        <f aca="false">IF(R33="Valid","",IF(R33="Duplicate - Exclude","Repeat of an earlier Order ID",IF(B33="","Date missing or unreadable",IF(H33="","Quantity missing or unreadable",IF(I33="","Unit price missing or unreadable","Order ID missing")))))</f>
        <v/>
      </c>
    </row>
    <row r="34" customFormat="false" ht="15" hidden="false" customHeight="true" outlineLevel="0" collapsed="false">
      <c r="A34" s="9" t="str">
        <f aca="false">UPPER(TRIM(Raw_Data!A34))</f>
        <v>ORD-1033</v>
      </c>
      <c r="B34" s="10" t="n">
        <f aca="false">IFERROR(IF(ISNUMBER(Raw_Data!B34),Raw_Data!B34,IF(ISNUMBER(FIND("/",Raw_Data!B34)),DATE(VALUE(RIGHT(TRIM(Raw_Data!B34),4)),VALUE(MID(TRIM(Raw_Data!B34),4,2)),VALUE(LEFT(TRIM(Raw_Data!B34),2))),IF(MID(TRIM(Raw_Data!B34),5,1)="-",DATE(VALUE(LEFT(TRIM(Raw_Data!B34),4)),VALUE(MID(TRIM(Raw_Data!B34),6,2)),VALUE(RIGHT(TRIM(Raw_Data!B34),2))),DATE(VALUE(RIGHT(TRIM(Raw_Data!B34),4)),MATCH(MID(TRIM(Raw_Data!B34),4,3),{"Jan","Feb","Mar","Apr","May","Jun","Jul","Aug","Sep","Oct","Nov","Dec"},0),VALUE(LEFT(TRIM(Raw_Data!B34),2)))))),"")</f>
        <v>45930</v>
      </c>
      <c r="C34" s="9" t="str">
        <f aca="false">IF(TRIM(Raw_Data!C34)="","Unknown",PROPER(TRIM(Raw_Data!C34)))</f>
        <v>Saad Iqbal</v>
      </c>
      <c r="D34" s="9" t="str">
        <f aca="false">IFERROR(INDEX({"Punjab","Sindh","KPK","Balochistan"},MATCH(UPPER(LEFT(TRIM(Raw_Data!D34),1)),{"P","S","K","B"},0)),IFERROR(INDEX(Data_Dictionary!$G$4:$G$16,MATCH(E34,Data_Dictionary!$F$4:$F$16,0)),"Unassigned"))</f>
        <v>Balochistan</v>
      </c>
      <c r="E34" s="9" t="str">
        <f aca="false">IF(TRIM(Raw_Data!E34)="","Unknown",PROPER(TRIM(Raw_Data!E34)))</f>
        <v>Quetta</v>
      </c>
      <c r="F34" s="9" t="str">
        <f aca="false">IFERROR(INDEX({"Electronics","Home &amp; Kitchen","Clothing","Groceries","Beauty"},MATCH(UPPER(LEFT(TRIM(Raw_Data!F34),3)),{"ELE","HOM","CLO","GRO","BEA"},0)),"Uncategorised")</f>
        <v>Clothing</v>
      </c>
      <c r="G34" s="9" t="str">
        <f aca="false">IF(TRIM(Raw_Data!G34)="","Unknown",PROPER(TRIM(Raw_Data!G34)))</f>
        <v>Lawn Suit 3 Piece</v>
      </c>
      <c r="H34" s="11" t="n">
        <f aca="false">IFERROR(ABS(VALUE(TRIM(Raw_Data!H34))),"")</f>
        <v>2</v>
      </c>
      <c r="I34" s="12" t="n">
        <f aca="false">IFERROR(VALUE(TRIM(SUBSTITUTE(SUBSTITUTE(SUBSTITUTE(SUBSTITUTE(TRIM(Raw_Data!I34),"PKR",""),"Rs.",""),"Rs",""),",",""))),"")</f>
        <v>6750</v>
      </c>
      <c r="J34" s="13" t="n">
        <f aca="false">IFERROR(IF(TRIM(Raw_Data!J34)="",0,IF(VALUE(TRIM(Raw_Data!J34))&gt;1,VALUE(TRIM(Raw_Data!J34))/100,VALUE(TRIM(Raw_Data!J34)))),0)</f>
        <v>0.15</v>
      </c>
      <c r="K34" s="9" t="str">
        <f aca="false">IF(TRIM(Raw_Data!K34)="","Unassigned",PROPER(TRIM(Raw_Data!K34)))</f>
        <v>Nimra Aslam</v>
      </c>
      <c r="L34" s="9" t="str">
        <f aca="false">IFERROR(INDEX({"Credit Card","Credit Card","Debit Card","Debit Card","Cash","PayPal"},MATCH(UPPER(LEFT(TRIM(Raw_Data!L34),2)),{"CR","CC","DE","DC","CA","PA"},0)),"Other")</f>
        <v>Credit Card</v>
      </c>
      <c r="M34" s="9" t="str">
        <f aca="false">IFERROR(INDEX({"Completed","Returned","Cancelled","Pending"},MATCH(UPPER(LEFT(TRIM(Raw_Data!M34),3)),{"COM","RET","CAN","PEN"},0)),"Unknown")</f>
        <v>Pending</v>
      </c>
      <c r="N34" s="14" t="n">
        <f aca="false">IF(OR(H34="",I34=""),"",H34*I34)</f>
        <v>13500</v>
      </c>
      <c r="O34" s="14" t="n">
        <f aca="false">IF(N34="","",N34*J34)</f>
        <v>2025</v>
      </c>
      <c r="P34" s="14" t="n">
        <f aca="false">IF(N34="","",N34-O34)</f>
        <v>11475</v>
      </c>
      <c r="Q34" s="15" t="n">
        <f aca="false">IF(B34="","",DATE(YEAR(B34),MONTH(B34),1))</f>
        <v>45901</v>
      </c>
      <c r="R34" s="16" t="str">
        <f aca="false">IF(A34="","Invalid - Exclude",IF(COUNTIF($A$2:A34,A34)&gt;1,"Duplicate - Exclude",IF(OR(B34="",H34="",I34=""),"Invalid - Exclude","Valid")))</f>
        <v>Valid</v>
      </c>
      <c r="S34" s="16" t="str">
        <f aca="false">IF(R34="Valid","",IF(R34="Duplicate - Exclude","Repeat of an earlier Order ID",IF(B34="","Date missing or unreadable",IF(H34="","Quantity missing or unreadable",IF(I34="","Unit price missing or unreadable","Order ID missing")))))</f>
        <v/>
      </c>
    </row>
    <row r="35" customFormat="false" ht="15" hidden="false" customHeight="true" outlineLevel="0" collapsed="false">
      <c r="A35" s="17" t="str">
        <f aca="false">UPPER(TRIM(Raw_Data!A35))</f>
        <v>ORD-1034</v>
      </c>
      <c r="B35" s="18" t="n">
        <f aca="false">IFERROR(IF(ISNUMBER(Raw_Data!B35),Raw_Data!B35,IF(ISNUMBER(FIND("/",Raw_Data!B35)),DATE(VALUE(RIGHT(TRIM(Raw_Data!B35),4)),VALUE(MID(TRIM(Raw_Data!B35),4,2)),VALUE(LEFT(TRIM(Raw_Data!B35),2))),IF(MID(TRIM(Raw_Data!B35),5,1)="-",DATE(VALUE(LEFT(TRIM(Raw_Data!B35),4)),VALUE(MID(TRIM(Raw_Data!B35),6,2)),VALUE(RIGHT(TRIM(Raw_Data!B35),2))),DATE(VALUE(RIGHT(TRIM(Raw_Data!B35),4)),MATCH(MID(TRIM(Raw_Data!B35),4,3),{"Jan","Feb","Mar","Apr","May","Jun","Jul","Aug","Sep","Oct","Nov","Dec"},0),VALUE(LEFT(TRIM(Raw_Data!B35),2)))))),"")</f>
        <v>45862</v>
      </c>
      <c r="C35" s="17" t="str">
        <f aca="false">IF(TRIM(Raw_Data!C35)="","Unknown",PROPER(TRIM(Raw_Data!C35)))</f>
        <v>Sana Raza</v>
      </c>
      <c r="D35" s="17" t="str">
        <f aca="false">IFERROR(INDEX({"Punjab","Sindh","KPK","Balochistan"},MATCH(UPPER(LEFT(TRIM(Raw_Data!D35),1)),{"P","S","K","B"},0)),IFERROR(INDEX(Data_Dictionary!$G$4:$G$16,MATCH(E35,Data_Dictionary!$F$4:$F$16,0)),"Unassigned"))</f>
        <v>KPK</v>
      </c>
      <c r="E35" s="17" t="str">
        <f aca="false">IF(TRIM(Raw_Data!E35)="","Unknown",PROPER(TRIM(Raw_Data!E35)))</f>
        <v>Abbottabad</v>
      </c>
      <c r="F35" s="17" t="str">
        <f aca="false">IFERROR(INDEX({"Electronics","Home &amp; Kitchen","Clothing","Groceries","Beauty"},MATCH(UPPER(LEFT(TRIM(Raw_Data!F35),3)),{"ELE","HOM","CLO","GRO","BEA"},0)),"Uncategorised")</f>
        <v>Groceries</v>
      </c>
      <c r="G35" s="17" t="str">
        <f aca="false">IF(TRIM(Raw_Data!G35)="","Unknown",PROPER(TRIM(Raw_Data!G35)))</f>
        <v>Cooking Oil 5 Litre</v>
      </c>
      <c r="H35" s="19" t="n">
        <f aca="false">IFERROR(ABS(VALUE(TRIM(Raw_Data!H35))),"")</f>
        <v>3</v>
      </c>
      <c r="I35" s="20" t="n">
        <f aca="false">IFERROR(VALUE(TRIM(SUBSTITUTE(SUBSTITUTE(SUBSTITUTE(SUBSTITUTE(TRIM(Raw_Data!I35),"PKR",""),"Rs.",""),"Rs",""),",",""))),"")</f>
        <v>2250</v>
      </c>
      <c r="J35" s="21" t="n">
        <f aca="false">IFERROR(IF(TRIM(Raw_Data!J35)="",0,IF(VALUE(TRIM(Raw_Data!J35))&gt;1,VALUE(TRIM(Raw_Data!J35))/100,VALUE(TRIM(Raw_Data!J35)))),0)</f>
        <v>0.2</v>
      </c>
      <c r="K35" s="17" t="str">
        <f aca="false">IF(TRIM(Raw_Data!K35)="","Unassigned",PROPER(TRIM(Raw_Data!K35)))</f>
        <v>Zoya Tariq</v>
      </c>
      <c r="L35" s="17" t="str">
        <f aca="false">IFERROR(INDEX({"Credit Card","Credit Card","Debit Card","Debit Card","Cash","PayPal"},MATCH(UPPER(LEFT(TRIM(Raw_Data!L35),2)),{"CR","CC","DE","DC","CA","PA"},0)),"Other")</f>
        <v>Credit Card</v>
      </c>
      <c r="M35" s="17" t="str">
        <f aca="false">IFERROR(INDEX({"Completed","Returned","Cancelled","Pending"},MATCH(UPPER(LEFT(TRIM(Raw_Data!M35),3)),{"COM","RET","CAN","PEN"},0)),"Unknown")</f>
        <v>Completed</v>
      </c>
      <c r="N35" s="20" t="n">
        <f aca="false">IF(OR(H35="",I35=""),"",H35*I35)</f>
        <v>6750</v>
      </c>
      <c r="O35" s="20" t="n">
        <f aca="false">IF(N35="","",N35*J35)</f>
        <v>1350</v>
      </c>
      <c r="P35" s="20" t="n">
        <f aca="false">IF(N35="","",N35-O35)</f>
        <v>5400</v>
      </c>
      <c r="Q35" s="22" t="n">
        <f aca="false">IF(B35="","",DATE(YEAR(B35),MONTH(B35),1))</f>
        <v>45839</v>
      </c>
      <c r="R35" s="17" t="str">
        <f aca="false">IF(A35="","Invalid - Exclude",IF(COUNTIF($A$2:A35,A35)&gt;1,"Duplicate - Exclude",IF(OR(B35="",H35="",I35=""),"Invalid - Exclude","Valid")))</f>
        <v>Valid</v>
      </c>
      <c r="S35" s="17" t="str">
        <f aca="false">IF(R35="Valid","",IF(R35="Duplicate - Exclude","Repeat of an earlier Order ID",IF(B35="","Date missing or unreadable",IF(H35="","Quantity missing or unreadable",IF(I35="","Unit price missing or unreadable","Order ID missing")))))</f>
        <v/>
      </c>
    </row>
    <row r="36" customFormat="false" ht="15" hidden="false" customHeight="true" outlineLevel="0" collapsed="false">
      <c r="A36" s="9" t="str">
        <f aca="false">UPPER(TRIM(Raw_Data!A36))</f>
        <v>ORD-1035</v>
      </c>
      <c r="B36" s="10" t="n">
        <f aca="false">IFERROR(IF(ISNUMBER(Raw_Data!B36),Raw_Data!B36,IF(ISNUMBER(FIND("/",Raw_Data!B36)),DATE(VALUE(RIGHT(TRIM(Raw_Data!B36),4)),VALUE(MID(TRIM(Raw_Data!B36),4,2)),VALUE(LEFT(TRIM(Raw_Data!B36),2))),IF(MID(TRIM(Raw_Data!B36),5,1)="-",DATE(VALUE(LEFT(TRIM(Raw_Data!B36),4)),VALUE(MID(TRIM(Raw_Data!B36),6,2)),VALUE(RIGHT(TRIM(Raw_Data!B36),2))),DATE(VALUE(RIGHT(TRIM(Raw_Data!B36),4)),MATCH(MID(TRIM(Raw_Data!B36),4,3),{"Jan","Feb","Mar","Apr","May","Jun","Jul","Aug","Sep","Oct","Nov","Dec"},0),VALUE(LEFT(TRIM(Raw_Data!B36),2)))))),"")</f>
        <v>45872</v>
      </c>
      <c r="C36" s="9" t="str">
        <f aca="false">IF(TRIM(Raw_Data!C36)="","Unknown",PROPER(TRIM(Raw_Data!C36)))</f>
        <v>Noor Sheikh</v>
      </c>
      <c r="D36" s="9" t="str">
        <f aca="false">IFERROR(INDEX({"Punjab","Sindh","KPK","Balochistan"},MATCH(UPPER(LEFT(TRIM(Raw_Data!D36),1)),{"P","S","K","B"},0)),IFERROR(INDEX(Data_Dictionary!$G$4:$G$16,MATCH(E36,Data_Dictionary!$F$4:$F$16,0)),"Unassigned"))</f>
        <v>Punjab</v>
      </c>
      <c r="E36" s="9" t="str">
        <f aca="false">IF(TRIM(Raw_Data!E36)="","Unknown",PROPER(TRIM(Raw_Data!E36)))</f>
        <v>Lahore</v>
      </c>
      <c r="F36" s="9" t="str">
        <f aca="false">IFERROR(INDEX({"Electronics","Home &amp; Kitchen","Clothing","Groceries","Beauty"},MATCH(UPPER(LEFT(TRIM(Raw_Data!F36),3)),{"ELE","HOM","CLO","GRO","BEA"},0)),"Uncategorised")</f>
        <v>Groceries</v>
      </c>
      <c r="G36" s="9" t="str">
        <f aca="false">IF(TRIM(Raw_Data!G36)="","Unknown",PROPER(TRIM(Raw_Data!G36)))</f>
        <v>Cooking Oil 5 Litre</v>
      </c>
      <c r="H36" s="11" t="n">
        <f aca="false">IFERROR(ABS(VALUE(TRIM(Raw_Data!H36))),"")</f>
        <v>1</v>
      </c>
      <c r="I36" s="12" t="n">
        <f aca="false">IFERROR(VALUE(TRIM(SUBSTITUTE(SUBSTITUTE(SUBSTITUTE(SUBSTITUTE(TRIM(Raw_Data!I36),"PKR",""),"Rs.",""),"Rs",""),",",""))),"")</f>
        <v>2350</v>
      </c>
      <c r="J36" s="13" t="n">
        <f aca="false">IFERROR(IF(TRIM(Raw_Data!J36)="",0,IF(VALUE(TRIM(Raw_Data!J36))&gt;1,VALUE(TRIM(Raw_Data!J36))/100,VALUE(TRIM(Raw_Data!J36)))),0)</f>
        <v>0</v>
      </c>
      <c r="K36" s="9" t="str">
        <f aca="false">IF(TRIM(Raw_Data!K36)="","Unassigned",PROPER(TRIM(Raw_Data!K36)))</f>
        <v>Waqar Ahmed</v>
      </c>
      <c r="L36" s="9" t="str">
        <f aca="false">IFERROR(INDEX({"Credit Card","Credit Card","Debit Card","Debit Card","Cash","PayPal"},MATCH(UPPER(LEFT(TRIM(Raw_Data!L36),2)),{"CR","CC","DE","DC","CA","PA"},0)),"Other")</f>
        <v>Debit Card</v>
      </c>
      <c r="M36" s="9" t="str">
        <f aca="false">IFERROR(INDEX({"Completed","Returned","Cancelled","Pending"},MATCH(UPPER(LEFT(TRIM(Raw_Data!M36),3)),{"COM","RET","CAN","PEN"},0)),"Unknown")</f>
        <v>Completed</v>
      </c>
      <c r="N36" s="14" t="n">
        <f aca="false">IF(OR(H36="",I36=""),"",H36*I36)</f>
        <v>2350</v>
      </c>
      <c r="O36" s="14" t="n">
        <f aca="false">IF(N36="","",N36*J36)</f>
        <v>0</v>
      </c>
      <c r="P36" s="14" t="n">
        <f aca="false">IF(N36="","",N36-O36)</f>
        <v>2350</v>
      </c>
      <c r="Q36" s="15" t="n">
        <f aca="false">IF(B36="","",DATE(YEAR(B36),MONTH(B36),1))</f>
        <v>45870</v>
      </c>
      <c r="R36" s="16" t="str">
        <f aca="false">IF(A36="","Invalid - Exclude",IF(COUNTIF($A$2:A36,A36)&gt;1,"Duplicate - Exclude",IF(OR(B36="",H36="",I36=""),"Invalid - Exclude","Valid")))</f>
        <v>Valid</v>
      </c>
      <c r="S36" s="16" t="str">
        <f aca="false">IF(R36="Valid","",IF(R36="Duplicate - Exclude","Repeat of an earlier Order ID",IF(B36="","Date missing or unreadable",IF(H36="","Quantity missing or unreadable",IF(I36="","Unit price missing or unreadable","Order ID missing")))))</f>
        <v/>
      </c>
    </row>
    <row r="37" customFormat="false" ht="15" hidden="false" customHeight="true" outlineLevel="0" collapsed="false">
      <c r="A37" s="17" t="str">
        <f aca="false">UPPER(TRIM(Raw_Data!A37))</f>
        <v>ORD-1036</v>
      </c>
      <c r="B37" s="18" t="n">
        <f aca="false">IFERROR(IF(ISNUMBER(Raw_Data!B37),Raw_Data!B37,IF(ISNUMBER(FIND("/",Raw_Data!B37)),DATE(VALUE(RIGHT(TRIM(Raw_Data!B37),4)),VALUE(MID(TRIM(Raw_Data!B37),4,2)),VALUE(LEFT(TRIM(Raw_Data!B37),2))),IF(MID(TRIM(Raw_Data!B37),5,1)="-",DATE(VALUE(LEFT(TRIM(Raw_Data!B37),4)),VALUE(MID(TRIM(Raw_Data!B37),6,2)),VALUE(RIGHT(TRIM(Raw_Data!B37),2))),DATE(VALUE(RIGHT(TRIM(Raw_Data!B37),4)),MATCH(MID(TRIM(Raw_Data!B37),4,3),{"Jan","Feb","Mar","Apr","May","Jun","Jul","Aug","Sep","Oct","Nov","Dec"},0),VALUE(LEFT(TRIM(Raw_Data!B37),2)))))),"")</f>
        <v>45919</v>
      </c>
      <c r="C37" s="17" t="str">
        <f aca="false">IF(TRIM(Raw_Data!C37)="","Unknown",PROPER(TRIM(Raw_Data!C37)))</f>
        <v>Sana Raza</v>
      </c>
      <c r="D37" s="17" t="str">
        <f aca="false">IFERROR(INDEX({"Punjab","Sindh","KPK","Balochistan"},MATCH(UPPER(LEFT(TRIM(Raw_Data!D37),1)),{"P","S","K","B"},0)),IFERROR(INDEX(Data_Dictionary!$G$4:$G$16,MATCH(E37,Data_Dictionary!$F$4:$F$16,0)),"Unassigned"))</f>
        <v>Punjab</v>
      </c>
      <c r="E37" s="17" t="str">
        <f aca="false">IF(TRIM(Raw_Data!E37)="","Unknown",PROPER(TRIM(Raw_Data!E37)))</f>
        <v>Gujranwala</v>
      </c>
      <c r="F37" s="17" t="str">
        <f aca="false">IFERROR(INDEX({"Electronics","Home &amp; Kitchen","Clothing","Groceries","Beauty"},MATCH(UPPER(LEFT(TRIM(Raw_Data!F37),3)),{"ELE","HOM","CLO","GRO","BEA"},0)),"Uncategorised")</f>
        <v>Electronics</v>
      </c>
      <c r="G37" s="17" t="str">
        <f aca="false">IF(TRIM(Raw_Data!G37)="","Unknown",PROPER(TRIM(Raw_Data!G37)))</f>
        <v>Wireless Earbuds</v>
      </c>
      <c r="H37" s="19" t="str">
        <f aca="false">IFERROR(ABS(VALUE(TRIM(Raw_Data!H37))),"")</f>
        <v/>
      </c>
      <c r="I37" s="20" t="n">
        <f aca="false">IFERROR(VALUE(TRIM(SUBSTITUTE(SUBSTITUTE(SUBSTITUTE(SUBSTITUTE(TRIM(Raw_Data!I37),"PKR",""),"Rs.",""),"Rs",""),",",""))),"")</f>
        <v>6350</v>
      </c>
      <c r="J37" s="21" t="n">
        <f aca="false">IFERROR(IF(TRIM(Raw_Data!J37)="",0,IF(VALUE(TRIM(Raw_Data!J37))&gt;1,VALUE(TRIM(Raw_Data!J37))/100,VALUE(TRIM(Raw_Data!J37)))),0)</f>
        <v>0.1</v>
      </c>
      <c r="K37" s="17" t="str">
        <f aca="false">IF(TRIM(Raw_Data!K37)="","Unassigned",PROPER(TRIM(Raw_Data!K37)))</f>
        <v>Nimra Aslam</v>
      </c>
      <c r="L37" s="17" t="str">
        <f aca="false">IFERROR(INDEX({"Credit Card","Credit Card","Debit Card","Debit Card","Cash","PayPal"},MATCH(UPPER(LEFT(TRIM(Raw_Data!L37),2)),{"CR","CC","DE","DC","CA","PA"},0)),"Other")</f>
        <v>Cash</v>
      </c>
      <c r="M37" s="17" t="str">
        <f aca="false">IFERROR(INDEX({"Completed","Returned","Cancelled","Pending"},MATCH(UPPER(LEFT(TRIM(Raw_Data!M37),3)),{"COM","RET","CAN","PEN"},0)),"Unknown")</f>
        <v>Completed</v>
      </c>
      <c r="N37" s="20" t="str">
        <f aca="false">IF(OR(H37="",I37=""),"",H37*I37)</f>
        <v/>
      </c>
      <c r="O37" s="20" t="str">
        <f aca="false">IF(N37="","",N37*J37)</f>
        <v/>
      </c>
      <c r="P37" s="20" t="str">
        <f aca="false">IF(N37="","",N37-O37)</f>
        <v/>
      </c>
      <c r="Q37" s="22" t="n">
        <f aca="false">IF(B37="","",DATE(YEAR(B37),MONTH(B37),1))</f>
        <v>45901</v>
      </c>
      <c r="R37" s="17" t="str">
        <f aca="false">IF(A37="","Invalid - Exclude",IF(COUNTIF($A$2:A37,A37)&gt;1,"Duplicate - Exclude",IF(OR(B37="",H37="",I37=""),"Invalid - Exclude","Valid")))</f>
        <v>Invalid - Exclude</v>
      </c>
      <c r="S37" s="17" t="str">
        <f aca="false">IF(R37="Valid","",IF(R37="Duplicate - Exclude","Repeat of an earlier Order ID",IF(B37="","Date missing or unreadable",IF(H37="","Quantity missing or unreadable",IF(I37="","Unit price missing or unreadable","Order ID missing")))))</f>
        <v>Quantity missing or unreadable</v>
      </c>
    </row>
    <row r="38" customFormat="false" ht="15" hidden="false" customHeight="true" outlineLevel="0" collapsed="false">
      <c r="A38" s="9" t="str">
        <f aca="false">UPPER(TRIM(Raw_Data!A38))</f>
        <v>ORD-1037</v>
      </c>
      <c r="B38" s="10" t="n">
        <f aca="false">IFERROR(IF(ISNUMBER(Raw_Data!B38),Raw_Data!B38,IF(ISNUMBER(FIND("/",Raw_Data!B38)),DATE(VALUE(RIGHT(TRIM(Raw_Data!B38),4)),VALUE(MID(TRIM(Raw_Data!B38),4,2)),VALUE(LEFT(TRIM(Raw_Data!B38),2))),IF(MID(TRIM(Raw_Data!B38),5,1)="-",DATE(VALUE(LEFT(TRIM(Raw_Data!B38),4)),VALUE(MID(TRIM(Raw_Data!B38),6,2)),VALUE(RIGHT(TRIM(Raw_Data!B38),2))),DATE(VALUE(RIGHT(TRIM(Raw_Data!B38),4)),MATCH(MID(TRIM(Raw_Data!B38),4,3),{"Jan","Feb","Mar","Apr","May","Jun","Jul","Aug","Sep","Oct","Nov","Dec"},0),VALUE(LEFT(TRIM(Raw_Data!B38),2)))))),"")</f>
        <v>45850</v>
      </c>
      <c r="C38" s="9" t="str">
        <f aca="false">IF(TRIM(Raw_Data!C38)="","Unknown",PROPER(TRIM(Raw_Data!C38)))</f>
        <v>Saad Siddiqui</v>
      </c>
      <c r="D38" s="9" t="str">
        <f aca="false">IFERROR(INDEX({"Punjab","Sindh","KPK","Balochistan"},MATCH(UPPER(LEFT(TRIM(Raw_Data!D38),1)),{"P","S","K","B"},0)),IFERROR(INDEX(Data_Dictionary!$G$4:$G$16,MATCH(E38,Data_Dictionary!$F$4:$F$16,0)),"Unassigned"))</f>
        <v>Punjab</v>
      </c>
      <c r="E38" s="9" t="str">
        <f aca="false">IF(TRIM(Raw_Data!E38)="","Unknown",PROPER(TRIM(Raw_Data!E38)))</f>
        <v>Gujranwala</v>
      </c>
      <c r="F38" s="9" t="str">
        <f aca="false">IFERROR(INDEX({"Electronics","Home &amp; Kitchen","Clothing","Groceries","Beauty"},MATCH(UPPER(LEFT(TRIM(Raw_Data!F38),3)),{"ELE","HOM","CLO","GRO","BEA"},0)),"Uncategorised")</f>
        <v>Beauty</v>
      </c>
      <c r="G38" s="9" t="str">
        <f aca="false">IF(TRIM(Raw_Data!G38)="","Unknown",PROPER(TRIM(Raw_Data!G38)))</f>
        <v>Face Wash</v>
      </c>
      <c r="H38" s="11" t="n">
        <f aca="false">IFERROR(ABS(VALUE(TRIM(Raw_Data!H38))),"")</f>
        <v>4</v>
      </c>
      <c r="I38" s="12" t="n">
        <f aca="false">IFERROR(VALUE(TRIM(SUBSTITUTE(SUBSTITUTE(SUBSTITUTE(SUBSTITUTE(TRIM(Raw_Data!I38),"PKR",""),"Rs.",""),"Rs",""),",",""))),"")</f>
        <v>850</v>
      </c>
      <c r="J38" s="13" t="n">
        <f aca="false">IFERROR(IF(TRIM(Raw_Data!J38)="",0,IF(VALUE(TRIM(Raw_Data!J38))&gt;1,VALUE(TRIM(Raw_Data!J38))/100,VALUE(TRIM(Raw_Data!J38)))),0)</f>
        <v>0</v>
      </c>
      <c r="K38" s="9" t="str">
        <f aca="false">IF(TRIM(Raw_Data!K38)="","Unassigned",PROPER(TRIM(Raw_Data!K38)))</f>
        <v>Nimra Aslam</v>
      </c>
      <c r="L38" s="9" t="str">
        <f aca="false">IFERROR(INDEX({"Credit Card","Credit Card","Debit Card","Debit Card","Cash","PayPal"},MATCH(UPPER(LEFT(TRIM(Raw_Data!L38),2)),{"CR","CC","DE","DC","CA","PA"},0)),"Other")</f>
        <v>Credit Card</v>
      </c>
      <c r="M38" s="9" t="str">
        <f aca="false">IFERROR(INDEX({"Completed","Returned","Cancelled","Pending"},MATCH(UPPER(LEFT(TRIM(Raw_Data!M38),3)),{"COM","RET","CAN","PEN"},0)),"Unknown")</f>
        <v>Completed</v>
      </c>
      <c r="N38" s="14" t="n">
        <f aca="false">IF(OR(H38="",I38=""),"",H38*I38)</f>
        <v>3400</v>
      </c>
      <c r="O38" s="14" t="n">
        <f aca="false">IF(N38="","",N38*J38)</f>
        <v>0</v>
      </c>
      <c r="P38" s="14" t="n">
        <f aca="false">IF(N38="","",N38-O38)</f>
        <v>3400</v>
      </c>
      <c r="Q38" s="15" t="n">
        <f aca="false">IF(B38="","",DATE(YEAR(B38),MONTH(B38),1))</f>
        <v>45839</v>
      </c>
      <c r="R38" s="16" t="str">
        <f aca="false">IF(A38="","Invalid - Exclude",IF(COUNTIF($A$2:A38,A38)&gt;1,"Duplicate - Exclude",IF(OR(B38="",H38="",I38=""),"Invalid - Exclude","Valid")))</f>
        <v>Valid</v>
      </c>
      <c r="S38" s="16" t="str">
        <f aca="false">IF(R38="Valid","",IF(R38="Duplicate - Exclude","Repeat of an earlier Order ID",IF(B38="","Date missing or unreadable",IF(H38="","Quantity missing or unreadable",IF(I38="","Unit price missing or unreadable","Order ID missing")))))</f>
        <v/>
      </c>
    </row>
    <row r="39" customFormat="false" ht="15" hidden="false" customHeight="true" outlineLevel="0" collapsed="false">
      <c r="A39" s="17" t="str">
        <f aca="false">UPPER(TRIM(Raw_Data!A39))</f>
        <v>ORD-1038</v>
      </c>
      <c r="B39" s="18" t="n">
        <f aca="false">IFERROR(IF(ISNUMBER(Raw_Data!B39),Raw_Data!B39,IF(ISNUMBER(FIND("/",Raw_Data!B39)),DATE(VALUE(RIGHT(TRIM(Raw_Data!B39),4)),VALUE(MID(TRIM(Raw_Data!B39),4,2)),VALUE(LEFT(TRIM(Raw_Data!B39),2))),IF(MID(TRIM(Raw_Data!B39),5,1)="-",DATE(VALUE(LEFT(TRIM(Raw_Data!B39),4)),VALUE(MID(TRIM(Raw_Data!B39),6,2)),VALUE(RIGHT(TRIM(Raw_Data!B39),2))),DATE(VALUE(RIGHT(TRIM(Raw_Data!B39),4)),MATCH(MID(TRIM(Raw_Data!B39),4,3),{"Jan","Feb","Mar","Apr","May","Jun","Jul","Aug","Sep","Oct","Nov","Dec"},0),VALUE(LEFT(TRIM(Raw_Data!B39),2)))))),"")</f>
        <v>45696</v>
      </c>
      <c r="C39" s="17" t="str">
        <f aca="false">IF(TRIM(Raw_Data!C39)="","Unknown",PROPER(TRIM(Raw_Data!C39)))</f>
        <v>Usman Raza</v>
      </c>
      <c r="D39" s="17" t="str">
        <f aca="false">IFERROR(INDEX({"Punjab","Sindh","KPK","Balochistan"},MATCH(UPPER(LEFT(TRIM(Raw_Data!D39),1)),{"P","S","K","B"},0)),IFERROR(INDEX(Data_Dictionary!$G$4:$G$16,MATCH(E39,Data_Dictionary!$F$4:$F$16,0)),"Unassigned"))</f>
        <v>Punjab</v>
      </c>
      <c r="E39" s="17" t="str">
        <f aca="false">IF(TRIM(Raw_Data!E39)="","Unknown",PROPER(TRIM(Raw_Data!E39)))</f>
        <v>Rawalpindi</v>
      </c>
      <c r="F39" s="17" t="str">
        <f aca="false">IFERROR(INDEX({"Electronics","Home &amp; Kitchen","Clothing","Groceries","Beauty"},MATCH(UPPER(LEFT(TRIM(Raw_Data!F39),3)),{"ELE","HOM","CLO","GRO","BEA"},0)),"Uncategorised")</f>
        <v>Groceries</v>
      </c>
      <c r="G39" s="17" t="str">
        <f aca="false">IF(TRIM(Raw_Data!G39)="","Unknown",PROPER(TRIM(Raw_Data!G39)))</f>
        <v>Black Tea Pack</v>
      </c>
      <c r="H39" s="19" t="n">
        <f aca="false">IFERROR(ABS(VALUE(TRIM(Raw_Data!H39))),"")</f>
        <v>1</v>
      </c>
      <c r="I39" s="20" t="n">
        <f aca="false">IFERROR(VALUE(TRIM(SUBSTITUTE(SUBSTITUTE(SUBSTITUTE(SUBSTITUTE(TRIM(Raw_Data!I39),"PKR",""),"Rs.",""),"Rs",""),",",""))),"")</f>
        <v>1500</v>
      </c>
      <c r="J39" s="21" t="n">
        <f aca="false">IFERROR(IF(TRIM(Raw_Data!J39)="",0,IF(VALUE(TRIM(Raw_Data!J39))&gt;1,VALUE(TRIM(Raw_Data!J39))/100,VALUE(TRIM(Raw_Data!J39)))),0)</f>
        <v>0.1</v>
      </c>
      <c r="K39" s="17" t="str">
        <f aca="false">IF(TRIM(Raw_Data!K39)="","Unassigned",PROPER(TRIM(Raw_Data!K39)))</f>
        <v>Sadia Noor</v>
      </c>
      <c r="L39" s="17" t="str">
        <f aca="false">IFERROR(INDEX({"Credit Card","Credit Card","Debit Card","Debit Card","Cash","PayPal"},MATCH(UPPER(LEFT(TRIM(Raw_Data!L39),2)),{"CR","CC","DE","DC","CA","PA"},0)),"Other")</f>
        <v>Cash</v>
      </c>
      <c r="M39" s="17" t="str">
        <f aca="false">IFERROR(INDEX({"Completed","Returned","Cancelled","Pending"},MATCH(UPPER(LEFT(TRIM(Raw_Data!M39),3)),{"COM","RET","CAN","PEN"},0)),"Unknown")</f>
        <v>Pending</v>
      </c>
      <c r="N39" s="20" t="n">
        <f aca="false">IF(OR(H39="",I39=""),"",H39*I39)</f>
        <v>1500</v>
      </c>
      <c r="O39" s="20" t="n">
        <f aca="false">IF(N39="","",N39*J39)</f>
        <v>150</v>
      </c>
      <c r="P39" s="20" t="n">
        <f aca="false">IF(N39="","",N39-O39)</f>
        <v>1350</v>
      </c>
      <c r="Q39" s="22" t="n">
        <f aca="false">IF(B39="","",DATE(YEAR(B39),MONTH(B39),1))</f>
        <v>45689</v>
      </c>
      <c r="R39" s="17" t="str">
        <f aca="false">IF(A39="","Invalid - Exclude",IF(COUNTIF($A$2:A39,A39)&gt;1,"Duplicate - Exclude",IF(OR(B39="",H39="",I39=""),"Invalid - Exclude","Valid")))</f>
        <v>Valid</v>
      </c>
      <c r="S39" s="17" t="str">
        <f aca="false">IF(R39="Valid","",IF(R39="Duplicate - Exclude","Repeat of an earlier Order ID",IF(B39="","Date missing or unreadable",IF(H39="","Quantity missing or unreadable",IF(I39="","Unit price missing or unreadable","Order ID missing")))))</f>
        <v/>
      </c>
    </row>
    <row r="40" customFormat="false" ht="15" hidden="false" customHeight="true" outlineLevel="0" collapsed="false">
      <c r="A40" s="9" t="str">
        <f aca="false">UPPER(TRIM(Raw_Data!A40))</f>
        <v>ORD-1039</v>
      </c>
      <c r="B40" s="10" t="n">
        <f aca="false">IFERROR(IF(ISNUMBER(Raw_Data!B40),Raw_Data!B40,IF(ISNUMBER(FIND("/",Raw_Data!B40)),DATE(VALUE(RIGHT(TRIM(Raw_Data!B40),4)),VALUE(MID(TRIM(Raw_Data!B40),4,2)),VALUE(LEFT(TRIM(Raw_Data!B40),2))),IF(MID(TRIM(Raw_Data!B40),5,1)="-",DATE(VALUE(LEFT(TRIM(Raw_Data!B40),4)),VALUE(MID(TRIM(Raw_Data!B40),6,2)),VALUE(RIGHT(TRIM(Raw_Data!B40),2))),DATE(VALUE(RIGHT(TRIM(Raw_Data!B40),4)),MATCH(MID(TRIM(Raw_Data!B40),4,3),{"Jan","Feb","Mar","Apr","May","Jun","Jul","Aug","Sep","Oct","Nov","Dec"},0),VALUE(LEFT(TRIM(Raw_Data!B40),2)))))),"")</f>
        <v>45989</v>
      </c>
      <c r="C40" s="9" t="str">
        <f aca="false">IF(TRIM(Raw_Data!C40)="","Unknown",PROPER(TRIM(Raw_Data!C40)))</f>
        <v>Hamza Hussain</v>
      </c>
      <c r="D40" s="9" t="str">
        <f aca="false">IFERROR(INDEX({"Punjab","Sindh","KPK","Balochistan"},MATCH(UPPER(LEFT(TRIM(Raw_Data!D40),1)),{"P","S","K","B"},0)),IFERROR(INDEX(Data_Dictionary!$G$4:$G$16,MATCH(E40,Data_Dictionary!$F$4:$F$16,0)),"Unassigned"))</f>
        <v>Punjab</v>
      </c>
      <c r="E40" s="9" t="str">
        <f aca="false">IF(TRIM(Raw_Data!E40)="","Unknown",PROPER(TRIM(Raw_Data!E40)))</f>
        <v>Multan</v>
      </c>
      <c r="F40" s="9" t="str">
        <f aca="false">IFERROR(INDEX({"Electronics","Home &amp; Kitchen","Clothing","Groceries","Beauty"},MATCH(UPPER(LEFT(TRIM(Raw_Data!F40),3)),{"ELE","HOM","CLO","GRO","BEA"},0)),"Uncategorised")</f>
        <v>Clothing</v>
      </c>
      <c r="G40" s="9" t="str">
        <f aca="false">IF(TRIM(Raw_Data!G40)="","Unknown",PROPER(TRIM(Raw_Data!G40)))</f>
        <v>Lawn Suit 3 Piece</v>
      </c>
      <c r="H40" s="11" t="n">
        <f aca="false">IFERROR(ABS(VALUE(TRIM(Raw_Data!H40))),"")</f>
        <v>4</v>
      </c>
      <c r="I40" s="12" t="n">
        <f aca="false">IFERROR(VALUE(TRIM(SUBSTITUTE(SUBSTITUTE(SUBSTITUTE(SUBSTITUTE(TRIM(Raw_Data!I40),"PKR",""),"Rs.",""),"Rs",""),",",""))),"")</f>
        <v>7100</v>
      </c>
      <c r="J40" s="13" t="n">
        <f aca="false">IFERROR(IF(TRIM(Raw_Data!J40)="",0,IF(VALUE(TRIM(Raw_Data!J40))&gt;1,VALUE(TRIM(Raw_Data!J40))/100,VALUE(TRIM(Raw_Data!J40)))),0)</f>
        <v>0.2</v>
      </c>
      <c r="K40" s="9" t="str">
        <f aca="false">IF(TRIM(Raw_Data!K40)="","Unassigned",PROPER(TRIM(Raw_Data!K40)))</f>
        <v>Imran Shah</v>
      </c>
      <c r="L40" s="9" t="str">
        <f aca="false">IFERROR(INDEX({"Credit Card","Credit Card","Debit Card","Debit Card","Cash","PayPal"},MATCH(UPPER(LEFT(TRIM(Raw_Data!L40),2)),{"CR","CC","DE","DC","CA","PA"},0)),"Other")</f>
        <v>Cash</v>
      </c>
      <c r="M40" s="9" t="str">
        <f aca="false">IFERROR(INDEX({"Completed","Returned","Cancelled","Pending"},MATCH(UPPER(LEFT(TRIM(Raw_Data!M40),3)),{"COM","RET","CAN","PEN"},0)),"Unknown")</f>
        <v>Completed</v>
      </c>
      <c r="N40" s="14" t="n">
        <f aca="false">IF(OR(H40="",I40=""),"",H40*I40)</f>
        <v>28400</v>
      </c>
      <c r="O40" s="14" t="n">
        <f aca="false">IF(N40="","",N40*J40)</f>
        <v>5680</v>
      </c>
      <c r="P40" s="14" t="n">
        <f aca="false">IF(N40="","",N40-O40)</f>
        <v>22720</v>
      </c>
      <c r="Q40" s="15" t="n">
        <f aca="false">IF(B40="","",DATE(YEAR(B40),MONTH(B40),1))</f>
        <v>45962</v>
      </c>
      <c r="R40" s="16" t="str">
        <f aca="false">IF(A40="","Invalid - Exclude",IF(COUNTIF($A$2:A40,A40)&gt;1,"Duplicate - Exclude",IF(OR(B40="",H40="",I40=""),"Invalid - Exclude","Valid")))</f>
        <v>Valid</v>
      </c>
      <c r="S40" s="16" t="str">
        <f aca="false">IF(R40="Valid","",IF(R40="Duplicate - Exclude","Repeat of an earlier Order ID",IF(B40="","Date missing or unreadable",IF(H40="","Quantity missing or unreadable",IF(I40="","Unit price missing or unreadable","Order ID missing")))))</f>
        <v/>
      </c>
    </row>
    <row r="41" customFormat="false" ht="15" hidden="false" customHeight="true" outlineLevel="0" collapsed="false">
      <c r="A41" s="17" t="str">
        <f aca="false">UPPER(TRIM(Raw_Data!A41))</f>
        <v>ORD-1040</v>
      </c>
      <c r="B41" s="18" t="n">
        <f aca="false">IFERROR(IF(ISNUMBER(Raw_Data!B41),Raw_Data!B41,IF(ISNUMBER(FIND("/",Raw_Data!B41)),DATE(VALUE(RIGHT(TRIM(Raw_Data!B41),4)),VALUE(MID(TRIM(Raw_Data!B41),4,2)),VALUE(LEFT(TRIM(Raw_Data!B41),2))),IF(MID(TRIM(Raw_Data!B41),5,1)="-",DATE(VALUE(LEFT(TRIM(Raw_Data!B41),4)),VALUE(MID(TRIM(Raw_Data!B41),6,2)),VALUE(RIGHT(TRIM(Raw_Data!B41),2))),DATE(VALUE(RIGHT(TRIM(Raw_Data!B41),4)),MATCH(MID(TRIM(Raw_Data!B41),4,3),{"Jan","Feb","Mar","Apr","May","Jun","Jul","Aug","Sep","Oct","Nov","Dec"},0),VALUE(LEFT(TRIM(Raw_Data!B41),2)))))),"")</f>
        <v>45659</v>
      </c>
      <c r="C41" s="17" t="str">
        <f aca="false">IF(TRIM(Raw_Data!C41)="","Unknown",PROPER(TRIM(Raw_Data!C41)))</f>
        <v>Bilal Hussain</v>
      </c>
      <c r="D41" s="17" t="str">
        <f aca="false">IFERROR(INDEX({"Punjab","Sindh","KPK","Balochistan"},MATCH(UPPER(LEFT(TRIM(Raw_Data!D41),1)),{"P","S","K","B"},0)),IFERROR(INDEX(Data_Dictionary!$G$4:$G$16,MATCH(E41,Data_Dictionary!$F$4:$F$16,0)),"Unassigned"))</f>
        <v>Punjab</v>
      </c>
      <c r="E41" s="17" t="str">
        <f aca="false">IF(TRIM(Raw_Data!E41)="","Unknown",PROPER(TRIM(Raw_Data!E41)))</f>
        <v>Lahore</v>
      </c>
      <c r="F41" s="17" t="str">
        <f aca="false">IFERROR(INDEX({"Electronics","Home &amp; Kitchen","Clothing","Groceries","Beauty"},MATCH(UPPER(LEFT(TRIM(Raw_Data!F41),3)),{"ELE","HOM","CLO","GRO","BEA"},0)),"Uncategorised")</f>
        <v>Electronics</v>
      </c>
      <c r="G41" s="17" t="str">
        <f aca="false">IF(TRIM(Raw_Data!G41)="","Unknown",PROPER(TRIM(Raw_Data!G41)))</f>
        <v>Bluetooth Speaker</v>
      </c>
      <c r="H41" s="19" t="n">
        <f aca="false">IFERROR(ABS(VALUE(TRIM(Raw_Data!H41))),"")</f>
        <v>1</v>
      </c>
      <c r="I41" s="20" t="n">
        <f aca="false">IFERROR(VALUE(TRIM(SUBSTITUTE(SUBSTITUTE(SUBSTITUTE(SUBSTITUTE(TRIM(Raw_Data!I41),"PKR",""),"Rs.",""),"Rs",""),",",""))),"")</f>
        <v>4300</v>
      </c>
      <c r="J41" s="21" t="n">
        <f aca="false">IFERROR(IF(TRIM(Raw_Data!J41)="",0,IF(VALUE(TRIM(Raw_Data!J41))&gt;1,VALUE(TRIM(Raw_Data!J41))/100,VALUE(TRIM(Raw_Data!J41)))),0)</f>
        <v>0</v>
      </c>
      <c r="K41" s="17" t="str">
        <f aca="false">IF(TRIM(Raw_Data!K41)="","Unassigned",PROPER(TRIM(Raw_Data!K41)))</f>
        <v>Nimra Aslam</v>
      </c>
      <c r="L41" s="17" t="str">
        <f aca="false">IFERROR(INDEX({"Credit Card","Credit Card","Debit Card","Debit Card","Cash","PayPal"},MATCH(UPPER(LEFT(TRIM(Raw_Data!L41),2)),{"CR","CC","DE","DC","CA","PA"},0)),"Other")</f>
        <v>PayPal</v>
      </c>
      <c r="M41" s="17" t="str">
        <f aca="false">IFERROR(INDEX({"Completed","Returned","Cancelled","Pending"},MATCH(UPPER(LEFT(TRIM(Raw_Data!M41),3)),{"COM","RET","CAN","PEN"},0)),"Unknown")</f>
        <v>Completed</v>
      </c>
      <c r="N41" s="20" t="n">
        <f aca="false">IF(OR(H41="",I41=""),"",H41*I41)</f>
        <v>4300</v>
      </c>
      <c r="O41" s="20" t="n">
        <f aca="false">IF(N41="","",N41*J41)</f>
        <v>0</v>
      </c>
      <c r="P41" s="20" t="n">
        <f aca="false">IF(N41="","",N41-O41)</f>
        <v>4300</v>
      </c>
      <c r="Q41" s="22" t="n">
        <f aca="false">IF(B41="","",DATE(YEAR(B41),MONTH(B41),1))</f>
        <v>45658</v>
      </c>
      <c r="R41" s="17" t="str">
        <f aca="false">IF(A41="","Invalid - Exclude",IF(COUNTIF($A$2:A41,A41)&gt;1,"Duplicate - Exclude",IF(OR(B41="",H41="",I41=""),"Invalid - Exclude","Valid")))</f>
        <v>Valid</v>
      </c>
      <c r="S41" s="17" t="str">
        <f aca="false">IF(R41="Valid","",IF(R41="Duplicate - Exclude","Repeat of an earlier Order ID",IF(B41="","Date missing or unreadable",IF(H41="","Quantity missing or unreadable",IF(I41="","Unit price missing or unreadable","Order ID missing")))))</f>
        <v/>
      </c>
    </row>
    <row r="42" customFormat="false" ht="15" hidden="false" customHeight="true" outlineLevel="0" collapsed="false">
      <c r="A42" s="9" t="str">
        <f aca="false">UPPER(TRIM(Raw_Data!A42))</f>
        <v>ORD-1041</v>
      </c>
      <c r="B42" s="10" t="n">
        <f aca="false">IFERROR(IF(ISNUMBER(Raw_Data!B42),Raw_Data!B42,IF(ISNUMBER(FIND("/",Raw_Data!B42)),DATE(VALUE(RIGHT(TRIM(Raw_Data!B42),4)),VALUE(MID(TRIM(Raw_Data!B42),4,2)),VALUE(LEFT(TRIM(Raw_Data!B42),2))),IF(MID(TRIM(Raw_Data!B42),5,1)="-",DATE(VALUE(LEFT(TRIM(Raw_Data!B42),4)),VALUE(MID(TRIM(Raw_Data!B42),6,2)),VALUE(RIGHT(TRIM(Raw_Data!B42),2))),DATE(VALUE(RIGHT(TRIM(Raw_Data!B42),4)),MATCH(MID(TRIM(Raw_Data!B42),4,3),{"Jan","Feb","Mar","Apr","May","Jun","Jul","Aug","Sep","Oct","Nov","Dec"},0),VALUE(LEFT(TRIM(Raw_Data!B42),2)))))),"")</f>
        <v>45837</v>
      </c>
      <c r="C42" s="9" t="str">
        <f aca="false">IF(TRIM(Raw_Data!C42)="","Unknown",PROPER(TRIM(Raw_Data!C42)))</f>
        <v>Saad Siddiqui</v>
      </c>
      <c r="D42" s="9" t="str">
        <f aca="false">IFERROR(INDEX({"Punjab","Sindh","KPK","Balochistan"},MATCH(UPPER(LEFT(TRIM(Raw_Data!D42),1)),{"P","S","K","B"},0)),IFERROR(INDEX(Data_Dictionary!$G$4:$G$16,MATCH(E42,Data_Dictionary!$F$4:$F$16,0)),"Unassigned"))</f>
        <v>Punjab</v>
      </c>
      <c r="E42" s="9" t="str">
        <f aca="false">IF(TRIM(Raw_Data!E42)="","Unknown",PROPER(TRIM(Raw_Data!E42)))</f>
        <v>Rawalpindi</v>
      </c>
      <c r="F42" s="9" t="str">
        <f aca="false">IFERROR(INDEX({"Electronics","Home &amp; Kitchen","Clothing","Groceries","Beauty"},MATCH(UPPER(LEFT(TRIM(Raw_Data!F42),3)),{"ELE","HOM","CLO","GRO","BEA"},0)),"Uncategorised")</f>
        <v>Electronics</v>
      </c>
      <c r="G42" s="9" t="str">
        <f aca="false">IF(TRIM(Raw_Data!G42)="","Unknown",PROPER(TRIM(Raw_Data!G42)))</f>
        <v>Phone Charger</v>
      </c>
      <c r="H42" s="11" t="str">
        <f aca="false">IFERROR(ABS(VALUE(TRIM(Raw_Data!H42))),"")</f>
        <v/>
      </c>
      <c r="I42" s="12" t="n">
        <f aca="false">IFERROR(VALUE(TRIM(SUBSTITUTE(SUBSTITUTE(SUBSTITUTE(SUBSTITUTE(TRIM(Raw_Data!I42),"PKR",""),"Rs.",""),"Rs",""),",",""))),"")</f>
        <v>1200</v>
      </c>
      <c r="J42" s="13" t="n">
        <f aca="false">IFERROR(IF(TRIM(Raw_Data!J42)="",0,IF(VALUE(TRIM(Raw_Data!J42))&gt;1,VALUE(TRIM(Raw_Data!J42))/100,VALUE(TRIM(Raw_Data!J42)))),0)</f>
        <v>0.1</v>
      </c>
      <c r="K42" s="9" t="str">
        <f aca="false">IF(TRIM(Raw_Data!K42)="","Unassigned",PROPER(TRIM(Raw_Data!K42)))</f>
        <v>Faisal Mehmood</v>
      </c>
      <c r="L42" s="9" t="str">
        <f aca="false">IFERROR(INDEX({"Credit Card","Credit Card","Debit Card","Debit Card","Cash","PayPal"},MATCH(UPPER(LEFT(TRIM(Raw_Data!L42),2)),{"CR","CC","DE","DC","CA","PA"},0)),"Other")</f>
        <v>Cash</v>
      </c>
      <c r="M42" s="9" t="str">
        <f aca="false">IFERROR(INDEX({"Completed","Returned","Cancelled","Pending"},MATCH(UPPER(LEFT(TRIM(Raw_Data!M42),3)),{"COM","RET","CAN","PEN"},0)),"Unknown")</f>
        <v>Completed</v>
      </c>
      <c r="N42" s="14" t="str">
        <f aca="false">IF(OR(H42="",I42=""),"",H42*I42)</f>
        <v/>
      </c>
      <c r="O42" s="14" t="str">
        <f aca="false">IF(N42="","",N42*J42)</f>
        <v/>
      </c>
      <c r="P42" s="14" t="str">
        <f aca="false">IF(N42="","",N42-O42)</f>
        <v/>
      </c>
      <c r="Q42" s="15" t="n">
        <f aca="false">IF(B42="","",DATE(YEAR(B42),MONTH(B42),1))</f>
        <v>45809</v>
      </c>
      <c r="R42" s="16" t="str">
        <f aca="false">IF(A42="","Invalid - Exclude",IF(COUNTIF($A$2:A42,A42)&gt;1,"Duplicate - Exclude",IF(OR(B42="",H42="",I42=""),"Invalid - Exclude","Valid")))</f>
        <v>Invalid - Exclude</v>
      </c>
      <c r="S42" s="16" t="str">
        <f aca="false">IF(R42="Valid","",IF(R42="Duplicate - Exclude","Repeat of an earlier Order ID",IF(B42="","Date missing or unreadable",IF(H42="","Quantity missing or unreadable",IF(I42="","Unit price missing or unreadable","Order ID missing")))))</f>
        <v>Quantity missing or unreadable</v>
      </c>
    </row>
    <row r="43" customFormat="false" ht="15" hidden="false" customHeight="true" outlineLevel="0" collapsed="false">
      <c r="A43" s="17" t="str">
        <f aca="false">UPPER(TRIM(Raw_Data!A43))</f>
        <v>ORD-1042</v>
      </c>
      <c r="B43" s="18" t="n">
        <f aca="false">IFERROR(IF(ISNUMBER(Raw_Data!B43),Raw_Data!B43,IF(ISNUMBER(FIND("/",Raw_Data!B43)),DATE(VALUE(RIGHT(TRIM(Raw_Data!B43),4)),VALUE(MID(TRIM(Raw_Data!B43),4,2)),VALUE(LEFT(TRIM(Raw_Data!B43),2))),IF(MID(TRIM(Raw_Data!B43),5,1)="-",DATE(VALUE(LEFT(TRIM(Raw_Data!B43),4)),VALUE(MID(TRIM(Raw_Data!B43),6,2)),VALUE(RIGHT(TRIM(Raw_Data!B43),2))),DATE(VALUE(RIGHT(TRIM(Raw_Data!B43),4)),MATCH(MID(TRIM(Raw_Data!B43),4,3),{"Jan","Feb","Mar","Apr","May","Jun","Jul","Aug","Sep","Oct","Nov","Dec"},0),VALUE(LEFT(TRIM(Raw_Data!B43),2)))))),"")</f>
        <v>45967</v>
      </c>
      <c r="C43" s="17" t="str">
        <f aca="false">IF(TRIM(Raw_Data!C43)="","Unknown",PROPER(TRIM(Raw_Data!C43)))</f>
        <v>Unknown</v>
      </c>
      <c r="D43" s="17" t="str">
        <f aca="false">IFERROR(INDEX({"Punjab","Sindh","KPK","Balochistan"},MATCH(UPPER(LEFT(TRIM(Raw_Data!D43),1)),{"P","S","K","B"},0)),IFERROR(INDEX(Data_Dictionary!$G$4:$G$16,MATCH(E43,Data_Dictionary!$F$4:$F$16,0)),"Unassigned"))</f>
        <v>Punjab</v>
      </c>
      <c r="E43" s="17" t="str">
        <f aca="false">IF(TRIM(Raw_Data!E43)="","Unknown",PROPER(TRIM(Raw_Data!E43)))</f>
        <v>Rawalpindi</v>
      </c>
      <c r="F43" s="17" t="str">
        <f aca="false">IFERROR(INDEX({"Electronics","Home &amp; Kitchen","Clothing","Groceries","Beauty"},MATCH(UPPER(LEFT(TRIM(Raw_Data!F43),3)),{"ELE","HOM","CLO","GRO","BEA"},0)),"Uncategorised")</f>
        <v>Electronics</v>
      </c>
      <c r="G43" s="17" t="str">
        <f aca="false">IF(TRIM(Raw_Data!G43)="","Unknown",PROPER(TRIM(Raw_Data!G43)))</f>
        <v>Bluetooth Speaker</v>
      </c>
      <c r="H43" s="19" t="n">
        <f aca="false">IFERROR(ABS(VALUE(TRIM(Raw_Data!H43))),"")</f>
        <v>2</v>
      </c>
      <c r="I43" s="20" t="str">
        <f aca="false">IFERROR(VALUE(TRIM(SUBSTITUTE(SUBSTITUTE(SUBSTITUTE(SUBSTITUTE(TRIM(Raw_Data!I43),"PKR",""),"Rs.",""),"Rs",""),",",""))),"")</f>
        <v/>
      </c>
      <c r="J43" s="21" t="n">
        <f aca="false">IFERROR(IF(TRIM(Raw_Data!J43)="",0,IF(VALUE(TRIM(Raw_Data!J43))&gt;1,VALUE(TRIM(Raw_Data!J43))/100,VALUE(TRIM(Raw_Data!J43)))),0)</f>
        <v>0.15</v>
      </c>
      <c r="K43" s="17" t="str">
        <f aca="false">IF(TRIM(Raw_Data!K43)="","Unassigned",PROPER(TRIM(Raw_Data!K43)))</f>
        <v>Waqar Ahmed</v>
      </c>
      <c r="L43" s="17" t="str">
        <f aca="false">IFERROR(INDEX({"Credit Card","Credit Card","Debit Card","Debit Card","Cash","PayPal"},MATCH(UPPER(LEFT(TRIM(Raw_Data!L43),2)),{"CR","CC","DE","DC","CA","PA"},0)),"Other")</f>
        <v>PayPal</v>
      </c>
      <c r="M43" s="17" t="str">
        <f aca="false">IFERROR(INDEX({"Completed","Returned","Cancelled","Pending"},MATCH(UPPER(LEFT(TRIM(Raw_Data!M43),3)),{"COM","RET","CAN","PEN"},0)),"Unknown")</f>
        <v>Completed</v>
      </c>
      <c r="N43" s="20" t="str">
        <f aca="false">IF(OR(H43="",I43=""),"",H43*I43)</f>
        <v/>
      </c>
      <c r="O43" s="20" t="str">
        <f aca="false">IF(N43="","",N43*J43)</f>
        <v/>
      </c>
      <c r="P43" s="20" t="str">
        <f aca="false">IF(N43="","",N43-O43)</f>
        <v/>
      </c>
      <c r="Q43" s="22" t="n">
        <f aca="false">IF(B43="","",DATE(YEAR(B43),MONTH(B43),1))</f>
        <v>45962</v>
      </c>
      <c r="R43" s="17" t="str">
        <f aca="false">IF(A43="","Invalid - Exclude",IF(COUNTIF($A$2:A43,A43)&gt;1,"Duplicate - Exclude",IF(OR(B43="",H43="",I43=""),"Invalid - Exclude","Valid")))</f>
        <v>Invalid - Exclude</v>
      </c>
      <c r="S43" s="17" t="str">
        <f aca="false">IF(R43="Valid","",IF(R43="Duplicate - Exclude","Repeat of an earlier Order ID",IF(B43="","Date missing or unreadable",IF(H43="","Quantity missing or unreadable",IF(I43="","Unit price missing or unreadable","Order ID missing")))))</f>
        <v>Unit price missing or unreadable</v>
      </c>
    </row>
    <row r="44" customFormat="false" ht="15" hidden="false" customHeight="true" outlineLevel="0" collapsed="false">
      <c r="A44" s="9" t="str">
        <f aca="false">UPPER(TRIM(Raw_Data!A44))</f>
        <v>ORD-1043</v>
      </c>
      <c r="B44" s="10" t="n">
        <f aca="false">IFERROR(IF(ISNUMBER(Raw_Data!B44),Raw_Data!B44,IF(ISNUMBER(FIND("/",Raw_Data!B44)),DATE(VALUE(RIGHT(TRIM(Raw_Data!B44),4)),VALUE(MID(TRIM(Raw_Data!B44),4,2)),VALUE(LEFT(TRIM(Raw_Data!B44),2))),IF(MID(TRIM(Raw_Data!B44),5,1)="-",DATE(VALUE(LEFT(TRIM(Raw_Data!B44),4)),VALUE(MID(TRIM(Raw_Data!B44),6,2)),VALUE(RIGHT(TRIM(Raw_Data!B44),2))),DATE(VALUE(RIGHT(TRIM(Raw_Data!B44),4)),MATCH(MID(TRIM(Raw_Data!B44),4,3),{"Jan","Feb","Mar","Apr","May","Jun","Jul","Aug","Sep","Oct","Nov","Dec"},0),VALUE(LEFT(TRIM(Raw_Data!B44),2)))))),"")</f>
        <v>45873</v>
      </c>
      <c r="C44" s="9" t="str">
        <f aca="false">IF(TRIM(Raw_Data!C44)="","Unknown",PROPER(TRIM(Raw_Data!C44)))</f>
        <v>Kashif Sheikh</v>
      </c>
      <c r="D44" s="9" t="str">
        <f aca="false">IFERROR(INDEX({"Punjab","Sindh","KPK","Balochistan"},MATCH(UPPER(LEFT(TRIM(Raw_Data!D44),1)),{"P","S","K","B"},0)),IFERROR(INDEX(Data_Dictionary!$G$4:$G$16,MATCH(E44,Data_Dictionary!$F$4:$F$16,0)),"Unassigned"))</f>
        <v>Punjab</v>
      </c>
      <c r="E44" s="9" t="str">
        <f aca="false">IF(TRIM(Raw_Data!E44)="","Unknown",PROPER(TRIM(Raw_Data!E44)))</f>
        <v>Faisalabad</v>
      </c>
      <c r="F44" s="9" t="str">
        <f aca="false">IFERROR(INDEX({"Electronics","Home &amp; Kitchen","Clothing","Groceries","Beauty"},MATCH(UPPER(LEFT(TRIM(Raw_Data!F44),3)),{"ELE","HOM","CLO","GRO","BEA"},0)),"Uncategorised")</f>
        <v>Electronics</v>
      </c>
      <c r="G44" s="9" t="str">
        <f aca="false">IF(TRIM(Raw_Data!G44)="","Unknown",PROPER(TRIM(Raw_Data!G44)))</f>
        <v>Smart Watch</v>
      </c>
      <c r="H44" s="11" t="n">
        <f aca="false">IFERROR(ABS(VALUE(TRIM(Raw_Data!H44))),"")</f>
        <v>3</v>
      </c>
      <c r="I44" s="12" t="n">
        <f aca="false">IFERROR(VALUE(TRIM(SUBSTITUTE(SUBSTITUTE(SUBSTITUTE(SUBSTITUTE(TRIM(Raw_Data!I44),"PKR",""),"Rs.",""),"Rs",""),",",""))),"")</f>
        <v>9850</v>
      </c>
      <c r="J44" s="13" t="n">
        <f aca="false">IFERROR(IF(TRIM(Raw_Data!J44)="",0,IF(VALUE(TRIM(Raw_Data!J44))&gt;1,VALUE(TRIM(Raw_Data!J44))/100,VALUE(TRIM(Raw_Data!J44)))),0)</f>
        <v>0</v>
      </c>
      <c r="K44" s="9" t="str">
        <f aca="false">IF(TRIM(Raw_Data!K44)="","Unassigned",PROPER(TRIM(Raw_Data!K44)))</f>
        <v>Sadia Noor</v>
      </c>
      <c r="L44" s="9" t="str">
        <f aca="false">IFERROR(INDEX({"Credit Card","Credit Card","Debit Card","Debit Card","Cash","PayPal"},MATCH(UPPER(LEFT(TRIM(Raw_Data!L44),2)),{"CR","CC","DE","DC","CA","PA"},0)),"Other")</f>
        <v>Debit Card</v>
      </c>
      <c r="M44" s="9" t="str">
        <f aca="false">IFERROR(INDEX({"Completed","Returned","Cancelled","Pending"},MATCH(UPPER(LEFT(TRIM(Raw_Data!M44),3)),{"COM","RET","CAN","PEN"},0)),"Unknown")</f>
        <v>Completed</v>
      </c>
      <c r="N44" s="14" t="n">
        <f aca="false">IF(OR(H44="",I44=""),"",H44*I44)</f>
        <v>29550</v>
      </c>
      <c r="O44" s="14" t="n">
        <f aca="false">IF(N44="","",N44*J44)</f>
        <v>0</v>
      </c>
      <c r="P44" s="14" t="n">
        <f aca="false">IF(N44="","",N44-O44)</f>
        <v>29550</v>
      </c>
      <c r="Q44" s="15" t="n">
        <f aca="false">IF(B44="","",DATE(YEAR(B44),MONTH(B44),1))</f>
        <v>45870</v>
      </c>
      <c r="R44" s="16" t="str">
        <f aca="false">IF(A44="","Invalid - Exclude",IF(COUNTIF($A$2:A44,A44)&gt;1,"Duplicate - Exclude",IF(OR(B44="",H44="",I44=""),"Invalid - Exclude","Valid")))</f>
        <v>Valid</v>
      </c>
      <c r="S44" s="16" t="str">
        <f aca="false">IF(R44="Valid","",IF(R44="Duplicate - Exclude","Repeat of an earlier Order ID",IF(B44="","Date missing or unreadable",IF(H44="","Quantity missing or unreadable",IF(I44="","Unit price missing or unreadable","Order ID missing")))))</f>
        <v/>
      </c>
    </row>
    <row r="45" customFormat="false" ht="15" hidden="false" customHeight="true" outlineLevel="0" collapsed="false">
      <c r="A45" s="17" t="str">
        <f aca="false">UPPER(TRIM(Raw_Data!A45))</f>
        <v>ORD-1044</v>
      </c>
      <c r="B45" s="18" t="n">
        <f aca="false">IFERROR(IF(ISNUMBER(Raw_Data!B45),Raw_Data!B45,IF(ISNUMBER(FIND("/",Raw_Data!B45)),DATE(VALUE(RIGHT(TRIM(Raw_Data!B45),4)),VALUE(MID(TRIM(Raw_Data!B45),4,2)),VALUE(LEFT(TRIM(Raw_Data!B45),2))),IF(MID(TRIM(Raw_Data!B45),5,1)="-",DATE(VALUE(LEFT(TRIM(Raw_Data!B45),4)),VALUE(MID(TRIM(Raw_Data!B45),6,2)),VALUE(RIGHT(TRIM(Raw_Data!B45),2))),DATE(VALUE(RIGHT(TRIM(Raw_Data!B45),4)),MATCH(MID(TRIM(Raw_Data!B45),4,3),{"Jan","Feb","Mar","Apr","May","Jun","Jul","Aug","Sep","Oct","Nov","Dec"},0),VALUE(LEFT(TRIM(Raw_Data!B45),2)))))),"")</f>
        <v>45877</v>
      </c>
      <c r="C45" s="17" t="str">
        <f aca="false">IF(TRIM(Raw_Data!C45)="","Unknown",PROPER(TRIM(Raw_Data!C45)))</f>
        <v>Bilal Hussain</v>
      </c>
      <c r="D45" s="17" t="str">
        <f aca="false">IFERROR(INDEX({"Punjab","Sindh","KPK","Balochistan"},MATCH(UPPER(LEFT(TRIM(Raw_Data!D45),1)),{"P","S","K","B"},0)),IFERROR(INDEX(Data_Dictionary!$G$4:$G$16,MATCH(E45,Data_Dictionary!$F$4:$F$16,0)),"Unassigned"))</f>
        <v>Sindh</v>
      </c>
      <c r="E45" s="17" t="str">
        <f aca="false">IF(TRIM(Raw_Data!E45)="","Unknown",PROPER(TRIM(Raw_Data!E45)))</f>
        <v>Karachi</v>
      </c>
      <c r="F45" s="17" t="str">
        <f aca="false">IFERROR(INDEX({"Electronics","Home &amp; Kitchen","Clothing","Groceries","Beauty"},MATCH(UPPER(LEFT(TRIM(Raw_Data!F45),3)),{"ELE","HOM","CLO","GRO","BEA"},0)),"Uncategorised")</f>
        <v>Groceries</v>
      </c>
      <c r="G45" s="17" t="str">
        <f aca="false">IF(TRIM(Raw_Data!G45)="","Unknown",PROPER(TRIM(Raw_Data!G45)))</f>
        <v>Cooking Oil 5 Litre</v>
      </c>
      <c r="H45" s="19" t="n">
        <f aca="false">IFERROR(ABS(VALUE(TRIM(Raw_Data!H45))),"")</f>
        <v>3</v>
      </c>
      <c r="I45" s="20" t="n">
        <f aca="false">IFERROR(VALUE(TRIM(SUBSTITUTE(SUBSTITUTE(SUBSTITUTE(SUBSTITUTE(TRIM(Raw_Data!I45),"PKR",""),"Rs.",""),"Rs",""),",",""))),"")</f>
        <v>2300</v>
      </c>
      <c r="J45" s="21" t="n">
        <f aca="false">IFERROR(IF(TRIM(Raw_Data!J45)="",0,IF(VALUE(TRIM(Raw_Data!J45))&gt;1,VALUE(TRIM(Raw_Data!J45))/100,VALUE(TRIM(Raw_Data!J45)))),0)</f>
        <v>0.1</v>
      </c>
      <c r="K45" s="17" t="str">
        <f aca="false">IF(TRIM(Raw_Data!K45)="","Unassigned",PROPER(TRIM(Raw_Data!K45)))</f>
        <v>Imran Shah</v>
      </c>
      <c r="L45" s="17" t="str">
        <f aca="false">IFERROR(INDEX({"Credit Card","Credit Card","Debit Card","Debit Card","Cash","PayPal"},MATCH(UPPER(LEFT(TRIM(Raw_Data!L45),2)),{"CR","CC","DE","DC","CA","PA"},0)),"Other")</f>
        <v>Cash</v>
      </c>
      <c r="M45" s="17" t="str">
        <f aca="false">IFERROR(INDEX({"Completed","Returned","Cancelled","Pending"},MATCH(UPPER(LEFT(TRIM(Raw_Data!M45),3)),{"COM","RET","CAN","PEN"},0)),"Unknown")</f>
        <v>Completed</v>
      </c>
      <c r="N45" s="20" t="n">
        <f aca="false">IF(OR(H45="",I45=""),"",H45*I45)</f>
        <v>6900</v>
      </c>
      <c r="O45" s="20" t="n">
        <f aca="false">IF(N45="","",N45*J45)</f>
        <v>690</v>
      </c>
      <c r="P45" s="20" t="n">
        <f aca="false">IF(N45="","",N45-O45)</f>
        <v>6210</v>
      </c>
      <c r="Q45" s="22" t="n">
        <f aca="false">IF(B45="","",DATE(YEAR(B45),MONTH(B45),1))</f>
        <v>45870</v>
      </c>
      <c r="R45" s="17" t="str">
        <f aca="false">IF(A45="","Invalid - Exclude",IF(COUNTIF($A$2:A45,A45)&gt;1,"Duplicate - Exclude",IF(OR(B45="",H45="",I45=""),"Invalid - Exclude","Valid")))</f>
        <v>Valid</v>
      </c>
      <c r="S45" s="17" t="str">
        <f aca="false">IF(R45="Valid","",IF(R45="Duplicate - Exclude","Repeat of an earlier Order ID",IF(B45="","Date missing or unreadable",IF(H45="","Quantity missing or unreadable",IF(I45="","Unit price missing or unreadable","Order ID missing")))))</f>
        <v/>
      </c>
    </row>
    <row r="46" customFormat="false" ht="15" hidden="false" customHeight="true" outlineLevel="0" collapsed="false">
      <c r="A46" s="9" t="str">
        <f aca="false">UPPER(TRIM(Raw_Data!A46))</f>
        <v>ORD-1045</v>
      </c>
      <c r="B46" s="10" t="n">
        <f aca="false">IFERROR(IF(ISNUMBER(Raw_Data!B46),Raw_Data!B46,IF(ISNUMBER(FIND("/",Raw_Data!B46)),DATE(VALUE(RIGHT(TRIM(Raw_Data!B46),4)),VALUE(MID(TRIM(Raw_Data!B46),4,2)),VALUE(LEFT(TRIM(Raw_Data!B46),2))),IF(MID(TRIM(Raw_Data!B46),5,1)="-",DATE(VALUE(LEFT(TRIM(Raw_Data!B46),4)),VALUE(MID(TRIM(Raw_Data!B46),6,2)),VALUE(RIGHT(TRIM(Raw_Data!B46),2))),DATE(VALUE(RIGHT(TRIM(Raw_Data!B46),4)),MATCH(MID(TRIM(Raw_Data!B46),4,3),{"Jan","Feb","Mar","Apr","May","Jun","Jul","Aug","Sep","Oct","Nov","Dec"},0),VALUE(LEFT(TRIM(Raw_Data!B46),2)))))),"")</f>
        <v>45810</v>
      </c>
      <c r="C46" s="9" t="str">
        <f aca="false">IF(TRIM(Raw_Data!C46)="","Unknown",PROPER(TRIM(Raw_Data!C46)))</f>
        <v>Sana Sheikh</v>
      </c>
      <c r="D46" s="9" t="str">
        <f aca="false">IFERROR(INDEX({"Punjab","Sindh","KPK","Balochistan"},MATCH(UPPER(LEFT(TRIM(Raw_Data!D46),1)),{"P","S","K","B"},0)),IFERROR(INDEX(Data_Dictionary!$G$4:$G$16,MATCH(E46,Data_Dictionary!$F$4:$F$16,0)),"Unassigned"))</f>
        <v>Punjab</v>
      </c>
      <c r="E46" s="9" t="str">
        <f aca="false">IF(TRIM(Raw_Data!E46)="","Unknown",PROPER(TRIM(Raw_Data!E46)))</f>
        <v>Rawalpindi</v>
      </c>
      <c r="F46" s="9" t="str">
        <f aca="false">IFERROR(INDEX({"Electronics","Home &amp; Kitchen","Clothing","Groceries","Beauty"},MATCH(UPPER(LEFT(TRIM(Raw_Data!F46),3)),{"ELE","HOM","CLO","GRO","BEA"},0)),"Uncategorised")</f>
        <v>Clothing</v>
      </c>
      <c r="G46" s="9" t="str">
        <f aca="false">IF(TRIM(Raw_Data!G46)="","Unknown",PROPER(TRIM(Raw_Data!G46)))</f>
        <v>Lawn Suit 3 Piece</v>
      </c>
      <c r="H46" s="11" t="n">
        <f aca="false">IFERROR(ABS(VALUE(TRIM(Raw_Data!H46))),"")</f>
        <v>2</v>
      </c>
      <c r="I46" s="12" t="n">
        <f aca="false">IFERROR(VALUE(TRIM(SUBSTITUTE(SUBSTITUTE(SUBSTITUTE(SUBSTITUTE(TRIM(Raw_Data!I46),"PKR",""),"Rs.",""),"Rs",""),",",""))),"")</f>
        <v>6550</v>
      </c>
      <c r="J46" s="13" t="n">
        <f aca="false">IFERROR(IF(TRIM(Raw_Data!J46)="",0,IF(VALUE(TRIM(Raw_Data!J46))&gt;1,VALUE(TRIM(Raw_Data!J46))/100,VALUE(TRIM(Raw_Data!J46)))),0)</f>
        <v>0.05</v>
      </c>
      <c r="K46" s="9" t="str">
        <f aca="false">IF(TRIM(Raw_Data!K46)="","Unassigned",PROPER(TRIM(Raw_Data!K46)))</f>
        <v>Nimra Aslam</v>
      </c>
      <c r="L46" s="9" t="str">
        <f aca="false">IFERROR(INDEX({"Credit Card","Credit Card","Debit Card","Debit Card","Cash","PayPal"},MATCH(UPPER(LEFT(TRIM(Raw_Data!L46),2)),{"CR","CC","DE","DC","CA","PA"},0)),"Other")</f>
        <v>Debit Card</v>
      </c>
      <c r="M46" s="9" t="str">
        <f aca="false">IFERROR(INDEX({"Completed","Returned","Cancelled","Pending"},MATCH(UPPER(LEFT(TRIM(Raw_Data!M46),3)),{"COM","RET","CAN","PEN"},0)),"Unknown")</f>
        <v>Returned</v>
      </c>
      <c r="N46" s="14" t="n">
        <f aca="false">IF(OR(H46="",I46=""),"",H46*I46)</f>
        <v>13100</v>
      </c>
      <c r="O46" s="14" t="n">
        <f aca="false">IF(N46="","",N46*J46)</f>
        <v>655</v>
      </c>
      <c r="P46" s="14" t="n">
        <f aca="false">IF(N46="","",N46-O46)</f>
        <v>12445</v>
      </c>
      <c r="Q46" s="15" t="n">
        <f aca="false">IF(B46="","",DATE(YEAR(B46),MONTH(B46),1))</f>
        <v>45809</v>
      </c>
      <c r="R46" s="16" t="str">
        <f aca="false">IF(A46="","Invalid - Exclude",IF(COUNTIF($A$2:A46,A46)&gt;1,"Duplicate - Exclude",IF(OR(B46="",H46="",I46=""),"Invalid - Exclude","Valid")))</f>
        <v>Valid</v>
      </c>
      <c r="S46" s="16" t="str">
        <f aca="false">IF(R46="Valid","",IF(R46="Duplicate - Exclude","Repeat of an earlier Order ID",IF(B46="","Date missing or unreadable",IF(H46="","Quantity missing or unreadable",IF(I46="","Unit price missing or unreadable","Order ID missing")))))</f>
        <v/>
      </c>
    </row>
    <row r="47" customFormat="false" ht="15" hidden="false" customHeight="true" outlineLevel="0" collapsed="false">
      <c r="A47" s="17" t="str">
        <f aca="false">UPPER(TRIM(Raw_Data!A47))</f>
        <v>ORD-1046</v>
      </c>
      <c r="B47" s="18" t="n">
        <f aca="false">IFERROR(IF(ISNUMBER(Raw_Data!B47),Raw_Data!B47,IF(ISNUMBER(FIND("/",Raw_Data!B47)),DATE(VALUE(RIGHT(TRIM(Raw_Data!B47),4)),VALUE(MID(TRIM(Raw_Data!B47),4,2)),VALUE(LEFT(TRIM(Raw_Data!B47),2))),IF(MID(TRIM(Raw_Data!B47),5,1)="-",DATE(VALUE(LEFT(TRIM(Raw_Data!B47),4)),VALUE(MID(TRIM(Raw_Data!B47),6,2)),VALUE(RIGHT(TRIM(Raw_Data!B47),2))),DATE(VALUE(RIGHT(TRIM(Raw_Data!B47),4)),MATCH(MID(TRIM(Raw_Data!B47),4,3),{"Jan","Feb","Mar","Apr","May","Jun","Jul","Aug","Sep","Oct","Nov","Dec"},0),VALUE(LEFT(TRIM(Raw_Data!B47),2)))))),"")</f>
        <v>45700</v>
      </c>
      <c r="C47" s="17" t="str">
        <f aca="false">IF(TRIM(Raw_Data!C47)="","Unknown",PROPER(TRIM(Raw_Data!C47)))</f>
        <v>Kashif Malik</v>
      </c>
      <c r="D47" s="17" t="str">
        <f aca="false">IFERROR(INDEX({"Punjab","Sindh","KPK","Balochistan"},MATCH(UPPER(LEFT(TRIM(Raw_Data!D47),1)),{"P","S","K","B"},0)),IFERROR(INDEX(Data_Dictionary!$G$4:$G$16,MATCH(E47,Data_Dictionary!$F$4:$F$16,0)),"Unassigned"))</f>
        <v>Punjab</v>
      </c>
      <c r="E47" s="17" t="str">
        <f aca="false">IF(TRIM(Raw_Data!E47)="","Unknown",PROPER(TRIM(Raw_Data!E47)))</f>
        <v>Lahore</v>
      </c>
      <c r="F47" s="17" t="str">
        <f aca="false">IFERROR(INDEX({"Electronics","Home &amp; Kitchen","Clothing","Groceries","Beauty"},MATCH(UPPER(LEFT(TRIM(Raw_Data!F47),3)),{"ELE","HOM","CLO","GRO","BEA"},0)),"Uncategorised")</f>
        <v>Clothing</v>
      </c>
      <c r="G47" s="17" t="str">
        <f aca="false">IF(TRIM(Raw_Data!G47)="","Unknown",PROPER(TRIM(Raw_Data!G47)))</f>
        <v>Mens Kurta</v>
      </c>
      <c r="H47" s="19" t="n">
        <f aca="false">IFERROR(ABS(VALUE(TRIM(Raw_Data!H47))),"")</f>
        <v>5</v>
      </c>
      <c r="I47" s="20" t="n">
        <f aca="false">IFERROR(VALUE(TRIM(SUBSTITUTE(SUBSTITUTE(SUBSTITUTE(SUBSTITUTE(TRIM(Raw_Data!I47),"PKR",""),"Rs.",""),"Rs",""),",",""))),"")</f>
        <v>3150</v>
      </c>
      <c r="J47" s="21" t="n">
        <f aca="false">IFERROR(IF(TRIM(Raw_Data!J47)="",0,IF(VALUE(TRIM(Raw_Data!J47))&gt;1,VALUE(TRIM(Raw_Data!J47))/100,VALUE(TRIM(Raw_Data!J47)))),0)</f>
        <v>0.1</v>
      </c>
      <c r="K47" s="17" t="str">
        <f aca="false">IF(TRIM(Raw_Data!K47)="","Unassigned",PROPER(TRIM(Raw_Data!K47)))</f>
        <v>Nimra Aslam</v>
      </c>
      <c r="L47" s="17" t="str">
        <f aca="false">IFERROR(INDEX({"Credit Card","Credit Card","Debit Card","Debit Card","Cash","PayPal"},MATCH(UPPER(LEFT(TRIM(Raw_Data!L47),2)),{"CR","CC","DE","DC","CA","PA"},0)),"Other")</f>
        <v>Cash</v>
      </c>
      <c r="M47" s="17" t="str">
        <f aca="false">IFERROR(INDEX({"Completed","Returned","Cancelled","Pending"},MATCH(UPPER(LEFT(TRIM(Raw_Data!M47),3)),{"COM","RET","CAN","PEN"},0)),"Unknown")</f>
        <v>Completed</v>
      </c>
      <c r="N47" s="20" t="n">
        <f aca="false">IF(OR(H47="",I47=""),"",H47*I47)</f>
        <v>15750</v>
      </c>
      <c r="O47" s="20" t="n">
        <f aca="false">IF(N47="","",N47*J47)</f>
        <v>1575</v>
      </c>
      <c r="P47" s="20" t="n">
        <f aca="false">IF(N47="","",N47-O47)</f>
        <v>14175</v>
      </c>
      <c r="Q47" s="22" t="n">
        <f aca="false">IF(B47="","",DATE(YEAR(B47),MONTH(B47),1))</f>
        <v>45689</v>
      </c>
      <c r="R47" s="17" t="str">
        <f aca="false">IF(A47="","Invalid - Exclude",IF(COUNTIF($A$2:A47,A47)&gt;1,"Duplicate - Exclude",IF(OR(B47="",H47="",I47=""),"Invalid - Exclude","Valid")))</f>
        <v>Valid</v>
      </c>
      <c r="S47" s="17" t="str">
        <f aca="false">IF(R47="Valid","",IF(R47="Duplicate - Exclude","Repeat of an earlier Order ID",IF(B47="","Date missing or unreadable",IF(H47="","Quantity missing or unreadable",IF(I47="","Unit price missing or unreadable","Order ID missing")))))</f>
        <v/>
      </c>
    </row>
    <row r="48" customFormat="false" ht="15" hidden="false" customHeight="true" outlineLevel="0" collapsed="false">
      <c r="A48" s="9" t="str">
        <f aca="false">UPPER(TRIM(Raw_Data!A48))</f>
        <v>ORD-1047</v>
      </c>
      <c r="B48" s="10" t="n">
        <f aca="false">IFERROR(IF(ISNUMBER(Raw_Data!B48),Raw_Data!B48,IF(ISNUMBER(FIND("/",Raw_Data!B48)),DATE(VALUE(RIGHT(TRIM(Raw_Data!B48),4)),VALUE(MID(TRIM(Raw_Data!B48),4,2)),VALUE(LEFT(TRIM(Raw_Data!B48),2))),IF(MID(TRIM(Raw_Data!B48),5,1)="-",DATE(VALUE(LEFT(TRIM(Raw_Data!B48),4)),VALUE(MID(TRIM(Raw_Data!B48),6,2)),VALUE(RIGHT(TRIM(Raw_Data!B48),2))),DATE(VALUE(RIGHT(TRIM(Raw_Data!B48),4)),MATCH(MID(TRIM(Raw_Data!B48),4,3),{"Jan","Feb","Mar","Apr","May","Jun","Jul","Aug","Sep","Oct","Nov","Dec"},0),VALUE(LEFT(TRIM(Raw_Data!B48),2)))))),"")</f>
        <v>46010</v>
      </c>
      <c r="C48" s="9" t="str">
        <f aca="false">IF(TRIM(Raw_Data!C48)="","Unknown",PROPER(TRIM(Raw_Data!C48)))</f>
        <v>Hamza Malik</v>
      </c>
      <c r="D48" s="9" t="str">
        <f aca="false">IFERROR(INDEX({"Punjab","Sindh","KPK","Balochistan"},MATCH(UPPER(LEFT(TRIM(Raw_Data!D48),1)),{"P","S","K","B"},0)),IFERROR(INDEX(Data_Dictionary!$G$4:$G$16,MATCH(E48,Data_Dictionary!$F$4:$F$16,0)),"Unassigned"))</f>
        <v>KPK</v>
      </c>
      <c r="E48" s="9" t="str">
        <f aca="false">IF(TRIM(Raw_Data!E48)="","Unknown",PROPER(TRIM(Raw_Data!E48)))</f>
        <v>Peshawar</v>
      </c>
      <c r="F48" s="9" t="str">
        <f aca="false">IFERROR(INDEX({"Electronics","Home &amp; Kitchen","Clothing","Groceries","Beauty"},MATCH(UPPER(LEFT(TRIM(Raw_Data!F48),3)),{"ELE","HOM","CLO","GRO","BEA"},0)),"Uncategorised")</f>
        <v>Electronics</v>
      </c>
      <c r="G48" s="9" t="str">
        <f aca="false">IF(TRIM(Raw_Data!G48)="","Unknown",PROPER(TRIM(Raw_Data!G48)))</f>
        <v>Smart Television 43 Inch</v>
      </c>
      <c r="H48" s="11" t="n">
        <f aca="false">IFERROR(ABS(VALUE(TRIM(Raw_Data!H48))),"")</f>
        <v>5</v>
      </c>
      <c r="I48" s="12" t="n">
        <f aca="false">IFERROR(VALUE(TRIM(SUBSTITUTE(SUBSTITUTE(SUBSTITUTE(SUBSTITUTE(TRIM(Raw_Data!I48),"PKR",""),"Rs.",""),"Rs",""),",",""))),"")</f>
        <v>51800</v>
      </c>
      <c r="J48" s="13" t="n">
        <f aca="false">IFERROR(IF(TRIM(Raw_Data!J48)="",0,IF(VALUE(TRIM(Raw_Data!J48))&gt;1,VALUE(TRIM(Raw_Data!J48))/100,VALUE(TRIM(Raw_Data!J48)))),0)</f>
        <v>0</v>
      </c>
      <c r="K48" s="9" t="str">
        <f aca="false">IF(TRIM(Raw_Data!K48)="","Unassigned",PROPER(TRIM(Raw_Data!K48)))</f>
        <v>Imran Shah</v>
      </c>
      <c r="L48" s="9" t="str">
        <f aca="false">IFERROR(INDEX({"Credit Card","Credit Card","Debit Card","Debit Card","Cash","PayPal"},MATCH(UPPER(LEFT(TRIM(Raw_Data!L48),2)),{"CR","CC","DE","DC","CA","PA"},0)),"Other")</f>
        <v>Debit Card</v>
      </c>
      <c r="M48" s="9" t="str">
        <f aca="false">IFERROR(INDEX({"Completed","Returned","Cancelled","Pending"},MATCH(UPPER(LEFT(TRIM(Raw_Data!M48),3)),{"COM","RET","CAN","PEN"},0)),"Unknown")</f>
        <v>Completed</v>
      </c>
      <c r="N48" s="14" t="n">
        <f aca="false">IF(OR(H48="",I48=""),"",H48*I48)</f>
        <v>259000</v>
      </c>
      <c r="O48" s="14" t="n">
        <f aca="false">IF(N48="","",N48*J48)</f>
        <v>0</v>
      </c>
      <c r="P48" s="14" t="n">
        <f aca="false">IF(N48="","",N48-O48)</f>
        <v>259000</v>
      </c>
      <c r="Q48" s="15" t="n">
        <f aca="false">IF(B48="","",DATE(YEAR(B48),MONTH(B48),1))</f>
        <v>45992</v>
      </c>
      <c r="R48" s="16" t="str">
        <f aca="false">IF(A48="","Invalid - Exclude",IF(COUNTIF($A$2:A48,A48)&gt;1,"Duplicate - Exclude",IF(OR(B48="",H48="",I48=""),"Invalid - Exclude","Valid")))</f>
        <v>Valid</v>
      </c>
      <c r="S48" s="16" t="str">
        <f aca="false">IF(R48="Valid","",IF(R48="Duplicate - Exclude","Repeat of an earlier Order ID",IF(B48="","Date missing or unreadable",IF(H48="","Quantity missing or unreadable",IF(I48="","Unit price missing or unreadable","Order ID missing")))))</f>
        <v/>
      </c>
    </row>
    <row r="49" customFormat="false" ht="15" hidden="false" customHeight="true" outlineLevel="0" collapsed="false">
      <c r="A49" s="17" t="str">
        <f aca="false">UPPER(TRIM(Raw_Data!A49))</f>
        <v>ORD-1048</v>
      </c>
      <c r="B49" s="18" t="n">
        <f aca="false">IFERROR(IF(ISNUMBER(Raw_Data!B49),Raw_Data!B49,IF(ISNUMBER(FIND("/",Raw_Data!B49)),DATE(VALUE(RIGHT(TRIM(Raw_Data!B49),4)),VALUE(MID(TRIM(Raw_Data!B49),4,2)),VALUE(LEFT(TRIM(Raw_Data!B49),2))),IF(MID(TRIM(Raw_Data!B49),5,1)="-",DATE(VALUE(LEFT(TRIM(Raw_Data!B49),4)),VALUE(MID(TRIM(Raw_Data!B49),6,2)),VALUE(RIGHT(TRIM(Raw_Data!B49),2))),DATE(VALUE(RIGHT(TRIM(Raw_Data!B49),4)),MATCH(MID(TRIM(Raw_Data!B49),4,3),{"Jan","Feb","Mar","Apr","May","Jun","Jul","Aug","Sep","Oct","Nov","Dec"},0),VALUE(LEFT(TRIM(Raw_Data!B49),2)))))),"")</f>
        <v>45682</v>
      </c>
      <c r="C49" s="17" t="str">
        <f aca="false">IF(TRIM(Raw_Data!C49)="","Unknown",PROPER(TRIM(Raw_Data!C49)))</f>
        <v>Ali Malik</v>
      </c>
      <c r="D49" s="17" t="str">
        <f aca="false">IFERROR(INDEX({"Punjab","Sindh","KPK","Balochistan"},MATCH(UPPER(LEFT(TRIM(Raw_Data!D49),1)),{"P","S","K","B"},0)),IFERROR(INDEX(Data_Dictionary!$G$4:$G$16,MATCH(E49,Data_Dictionary!$F$4:$F$16,0)),"Unassigned"))</f>
        <v>Sindh</v>
      </c>
      <c r="E49" s="17" t="str">
        <f aca="false">IF(TRIM(Raw_Data!E49)="","Unknown",PROPER(TRIM(Raw_Data!E49)))</f>
        <v>Hyderabad</v>
      </c>
      <c r="F49" s="17" t="str">
        <f aca="false">IFERROR(INDEX({"Electronics","Home &amp; Kitchen","Clothing","Groceries","Beauty"},MATCH(UPPER(LEFT(TRIM(Raw_Data!F49),3)),{"ELE","HOM","CLO","GRO","BEA"},0)),"Uncategorised")</f>
        <v>Groceries</v>
      </c>
      <c r="G49" s="17" t="str">
        <f aca="false">IF(TRIM(Raw_Data!G49)="","Unknown",PROPER(TRIM(Raw_Data!G49)))</f>
        <v>Basmati Rice 5 Kg</v>
      </c>
      <c r="H49" s="19" t="n">
        <f aca="false">IFERROR(ABS(VALUE(TRIM(Raw_Data!H49))),"")</f>
        <v>3</v>
      </c>
      <c r="I49" s="20" t="n">
        <f aca="false">IFERROR(VALUE(TRIM(SUBSTITUTE(SUBSTITUTE(SUBSTITUTE(SUBSTITUTE(TRIM(Raw_Data!I49),"PKR",""),"Rs.",""),"Rs",""),",",""))),"")</f>
        <v>2700</v>
      </c>
      <c r="J49" s="21" t="n">
        <f aca="false">IFERROR(IF(TRIM(Raw_Data!J49)="",0,IF(VALUE(TRIM(Raw_Data!J49))&gt;1,VALUE(TRIM(Raw_Data!J49))/100,VALUE(TRIM(Raw_Data!J49)))),0)</f>
        <v>0.15</v>
      </c>
      <c r="K49" s="17" t="str">
        <f aca="false">IF(TRIM(Raw_Data!K49)="","Unassigned",PROPER(TRIM(Raw_Data!K49)))</f>
        <v>Imran Shah</v>
      </c>
      <c r="L49" s="17" t="str">
        <f aca="false">IFERROR(INDEX({"Credit Card","Credit Card","Debit Card","Debit Card","Cash","PayPal"},MATCH(UPPER(LEFT(TRIM(Raw_Data!L49),2)),{"CR","CC","DE","DC","CA","PA"},0)),"Other")</f>
        <v>PayPal</v>
      </c>
      <c r="M49" s="17" t="str">
        <f aca="false">IFERROR(INDEX({"Completed","Returned","Cancelled","Pending"},MATCH(UPPER(LEFT(TRIM(Raw_Data!M49),3)),{"COM","RET","CAN","PEN"},0)),"Unknown")</f>
        <v>Completed</v>
      </c>
      <c r="N49" s="20" t="n">
        <f aca="false">IF(OR(H49="",I49=""),"",H49*I49)</f>
        <v>8100</v>
      </c>
      <c r="O49" s="20" t="n">
        <f aca="false">IF(N49="","",N49*J49)</f>
        <v>1215</v>
      </c>
      <c r="P49" s="20" t="n">
        <f aca="false">IF(N49="","",N49-O49)</f>
        <v>6885</v>
      </c>
      <c r="Q49" s="22" t="n">
        <f aca="false">IF(B49="","",DATE(YEAR(B49),MONTH(B49),1))</f>
        <v>45658</v>
      </c>
      <c r="R49" s="17" t="str">
        <f aca="false">IF(A49="","Invalid - Exclude",IF(COUNTIF($A$2:A49,A49)&gt;1,"Duplicate - Exclude",IF(OR(B49="",H49="",I49=""),"Invalid - Exclude","Valid")))</f>
        <v>Valid</v>
      </c>
      <c r="S49" s="17" t="str">
        <f aca="false">IF(R49="Valid","",IF(R49="Duplicate - Exclude","Repeat of an earlier Order ID",IF(B49="","Date missing or unreadable",IF(H49="","Quantity missing or unreadable",IF(I49="","Unit price missing or unreadable","Order ID missing")))))</f>
        <v/>
      </c>
    </row>
    <row r="50" customFormat="false" ht="15" hidden="false" customHeight="true" outlineLevel="0" collapsed="false">
      <c r="A50" s="9" t="str">
        <f aca="false">UPPER(TRIM(Raw_Data!A50))</f>
        <v>ORD-1049</v>
      </c>
      <c r="B50" s="10" t="n">
        <f aca="false">IFERROR(IF(ISNUMBER(Raw_Data!B50),Raw_Data!B50,IF(ISNUMBER(FIND("/",Raw_Data!B50)),DATE(VALUE(RIGHT(TRIM(Raw_Data!B50),4)),VALUE(MID(TRIM(Raw_Data!B50),4,2)),VALUE(LEFT(TRIM(Raw_Data!B50),2))),IF(MID(TRIM(Raw_Data!B50),5,1)="-",DATE(VALUE(LEFT(TRIM(Raw_Data!B50),4)),VALUE(MID(TRIM(Raw_Data!B50),6,2)),VALUE(RIGHT(TRIM(Raw_Data!B50),2))),DATE(VALUE(RIGHT(TRIM(Raw_Data!B50),4)),MATCH(MID(TRIM(Raw_Data!B50),4,3),{"Jan","Feb","Mar","Apr","May","Jun","Jul","Aug","Sep","Oct","Nov","Dec"},0),VALUE(LEFT(TRIM(Raw_Data!B50),2)))))),"")</f>
        <v>45864</v>
      </c>
      <c r="C50" s="9" t="str">
        <f aca="false">IF(TRIM(Raw_Data!C50)="","Unknown",PROPER(TRIM(Raw_Data!C50)))</f>
        <v>Kashif Malik</v>
      </c>
      <c r="D50" s="9" t="str">
        <f aca="false">IFERROR(INDEX({"Punjab","Sindh","KPK","Balochistan"},MATCH(UPPER(LEFT(TRIM(Raw_Data!D50),1)),{"P","S","K","B"},0)),IFERROR(INDEX(Data_Dictionary!$G$4:$G$16,MATCH(E50,Data_Dictionary!$F$4:$F$16,0)),"Unassigned"))</f>
        <v>Sindh</v>
      </c>
      <c r="E50" s="9" t="str">
        <f aca="false">IF(TRIM(Raw_Data!E50)="","Unknown",PROPER(TRIM(Raw_Data!E50)))</f>
        <v>Karachi</v>
      </c>
      <c r="F50" s="9" t="str">
        <f aca="false">IFERROR(INDEX({"Electronics","Home &amp; Kitchen","Clothing","Groceries","Beauty"},MATCH(UPPER(LEFT(TRIM(Raw_Data!F50),3)),{"ELE","HOM","CLO","GRO","BEA"},0)),"Uncategorised")</f>
        <v>Beauty</v>
      </c>
      <c r="G50" s="9" t="str">
        <f aca="false">IF(TRIM(Raw_Data!G50)="","Unknown",PROPER(TRIM(Raw_Data!G50)))</f>
        <v>Face Wash</v>
      </c>
      <c r="H50" s="11" t="n">
        <f aca="false">IFERROR(ABS(VALUE(TRIM(Raw_Data!H50))),"")</f>
        <v>3</v>
      </c>
      <c r="I50" s="12" t="n">
        <f aca="false">IFERROR(VALUE(TRIM(SUBSTITUTE(SUBSTITUTE(SUBSTITUTE(SUBSTITUTE(TRIM(Raw_Data!I50),"PKR",""),"Rs.",""),"Rs",""),",",""))),"")</f>
        <v>900</v>
      </c>
      <c r="J50" s="13" t="n">
        <f aca="false">IFERROR(IF(TRIM(Raw_Data!J50)="",0,IF(VALUE(TRIM(Raw_Data!J50))&gt;1,VALUE(TRIM(Raw_Data!J50))/100,VALUE(TRIM(Raw_Data!J50)))),0)</f>
        <v>0</v>
      </c>
      <c r="K50" s="9" t="str">
        <f aca="false">IF(TRIM(Raw_Data!K50)="","Unassigned",PROPER(TRIM(Raw_Data!K50)))</f>
        <v>Nimra Aslam</v>
      </c>
      <c r="L50" s="9" t="str">
        <f aca="false">IFERROR(INDEX({"Credit Card","Credit Card","Debit Card","Debit Card","Cash","PayPal"},MATCH(UPPER(LEFT(TRIM(Raw_Data!L50),2)),{"CR","CC","DE","DC","CA","PA"},0)),"Other")</f>
        <v>Credit Card</v>
      </c>
      <c r="M50" s="9" t="str">
        <f aca="false">IFERROR(INDEX({"Completed","Returned","Cancelled","Pending"},MATCH(UPPER(LEFT(TRIM(Raw_Data!M50),3)),{"COM","RET","CAN","PEN"},0)),"Unknown")</f>
        <v>Completed</v>
      </c>
      <c r="N50" s="14" t="n">
        <f aca="false">IF(OR(H50="",I50=""),"",H50*I50)</f>
        <v>2700</v>
      </c>
      <c r="O50" s="14" t="n">
        <f aca="false">IF(N50="","",N50*J50)</f>
        <v>0</v>
      </c>
      <c r="P50" s="14" t="n">
        <f aca="false">IF(N50="","",N50-O50)</f>
        <v>2700</v>
      </c>
      <c r="Q50" s="15" t="n">
        <f aca="false">IF(B50="","",DATE(YEAR(B50),MONTH(B50),1))</f>
        <v>45839</v>
      </c>
      <c r="R50" s="16" t="str">
        <f aca="false">IF(A50="","Invalid - Exclude",IF(COUNTIF($A$2:A50,A50)&gt;1,"Duplicate - Exclude",IF(OR(B50="",H50="",I50=""),"Invalid - Exclude","Valid")))</f>
        <v>Valid</v>
      </c>
      <c r="S50" s="16" t="str">
        <f aca="false">IF(R50="Valid","",IF(R50="Duplicate - Exclude","Repeat of an earlier Order ID",IF(B50="","Date missing or unreadable",IF(H50="","Quantity missing or unreadable",IF(I50="","Unit price missing or unreadable","Order ID missing")))))</f>
        <v/>
      </c>
    </row>
    <row r="51" customFormat="false" ht="15" hidden="false" customHeight="true" outlineLevel="0" collapsed="false">
      <c r="A51" s="17" t="str">
        <f aca="false">UPPER(TRIM(Raw_Data!A51))</f>
        <v>ORD-1050</v>
      </c>
      <c r="B51" s="18" t="n">
        <f aca="false">IFERROR(IF(ISNUMBER(Raw_Data!B51),Raw_Data!B51,IF(ISNUMBER(FIND("/",Raw_Data!B51)),DATE(VALUE(RIGHT(TRIM(Raw_Data!B51),4)),VALUE(MID(TRIM(Raw_Data!B51),4,2)),VALUE(LEFT(TRIM(Raw_Data!B51),2))),IF(MID(TRIM(Raw_Data!B51),5,1)="-",DATE(VALUE(LEFT(TRIM(Raw_Data!B51),4)),VALUE(MID(TRIM(Raw_Data!B51),6,2)),VALUE(RIGHT(TRIM(Raw_Data!B51),2))),DATE(VALUE(RIGHT(TRIM(Raw_Data!B51),4)),MATCH(MID(TRIM(Raw_Data!B51),4,3),{"Jan","Feb","Mar","Apr","May","Jun","Jul","Aug","Sep","Oct","Nov","Dec"},0),VALUE(LEFT(TRIM(Raw_Data!B51),2)))))),"")</f>
        <v>45871</v>
      </c>
      <c r="C51" s="17" t="str">
        <f aca="false">IF(TRIM(Raw_Data!C51)="","Unknown",PROPER(TRIM(Raw_Data!C51)))</f>
        <v>Noor Sheikh</v>
      </c>
      <c r="D51" s="17" t="str">
        <f aca="false">IFERROR(INDEX({"Punjab","Sindh","KPK","Balochistan"},MATCH(UPPER(LEFT(TRIM(Raw_Data!D51),1)),{"P","S","K","B"},0)),IFERROR(INDEX(Data_Dictionary!$G$4:$G$16,MATCH(E51,Data_Dictionary!$F$4:$F$16,0)),"Unassigned"))</f>
        <v>Punjab</v>
      </c>
      <c r="E51" s="17" t="str">
        <f aca="false">IF(TRIM(Raw_Data!E51)="","Unknown",PROPER(TRIM(Raw_Data!E51)))</f>
        <v>Lahore</v>
      </c>
      <c r="F51" s="17" t="str">
        <f aca="false">IFERROR(INDEX({"Electronics","Home &amp; Kitchen","Clothing","Groceries","Beauty"},MATCH(UPPER(LEFT(TRIM(Raw_Data!F51),3)),{"ELE","HOM","CLO","GRO","BEA"},0)),"Uncategorised")</f>
        <v>Groceries</v>
      </c>
      <c r="G51" s="17" t="str">
        <f aca="false">IF(TRIM(Raw_Data!G51)="","Unknown",PROPER(TRIM(Raw_Data!G51)))</f>
        <v>Refined Sugar 10 Kg</v>
      </c>
      <c r="H51" s="19" t="n">
        <f aca="false">IFERROR(ABS(VALUE(TRIM(Raw_Data!H51))),"")</f>
        <v>2</v>
      </c>
      <c r="I51" s="20" t="n">
        <f aca="false">IFERROR(VALUE(TRIM(SUBSTITUTE(SUBSTITUTE(SUBSTITUTE(SUBSTITUTE(TRIM(Raw_Data!I51),"PKR",""),"Rs.",""),"Rs",""),",",""))),"")</f>
        <v>1600</v>
      </c>
      <c r="J51" s="21" t="n">
        <f aca="false">IFERROR(IF(TRIM(Raw_Data!J51)="",0,IF(VALUE(TRIM(Raw_Data!J51))&gt;1,VALUE(TRIM(Raw_Data!J51))/100,VALUE(TRIM(Raw_Data!J51)))),0)</f>
        <v>0.1</v>
      </c>
      <c r="K51" s="17" t="str">
        <f aca="false">IF(TRIM(Raw_Data!K51)="","Unassigned",PROPER(TRIM(Raw_Data!K51)))</f>
        <v>Imran Shah</v>
      </c>
      <c r="L51" s="17" t="str">
        <f aca="false">IFERROR(INDEX({"Credit Card","Credit Card","Debit Card","Debit Card","Cash","PayPal"},MATCH(UPPER(LEFT(TRIM(Raw_Data!L51),2)),{"CR","CC","DE","DC","CA","PA"},0)),"Other")</f>
        <v>Credit Card</v>
      </c>
      <c r="M51" s="17" t="str">
        <f aca="false">IFERROR(INDEX({"Completed","Returned","Cancelled","Pending"},MATCH(UPPER(LEFT(TRIM(Raw_Data!M51),3)),{"COM","RET","CAN","PEN"},0)),"Unknown")</f>
        <v>Completed</v>
      </c>
      <c r="N51" s="20" t="n">
        <f aca="false">IF(OR(H51="",I51=""),"",H51*I51)</f>
        <v>3200</v>
      </c>
      <c r="O51" s="20" t="n">
        <f aca="false">IF(N51="","",N51*J51)</f>
        <v>320</v>
      </c>
      <c r="P51" s="20" t="n">
        <f aca="false">IF(N51="","",N51-O51)</f>
        <v>2880</v>
      </c>
      <c r="Q51" s="22" t="n">
        <f aca="false">IF(B51="","",DATE(YEAR(B51),MONTH(B51),1))</f>
        <v>45870</v>
      </c>
      <c r="R51" s="17" t="str">
        <f aca="false">IF(A51="","Invalid - Exclude",IF(COUNTIF($A$2:A51,A51)&gt;1,"Duplicate - Exclude",IF(OR(B51="",H51="",I51=""),"Invalid - Exclude","Valid")))</f>
        <v>Valid</v>
      </c>
      <c r="S51" s="17" t="str">
        <f aca="false">IF(R51="Valid","",IF(R51="Duplicate - Exclude","Repeat of an earlier Order ID",IF(B51="","Date missing or unreadable",IF(H51="","Quantity missing or unreadable",IF(I51="","Unit price missing or unreadable","Order ID missing")))))</f>
        <v/>
      </c>
    </row>
    <row r="52" customFormat="false" ht="15" hidden="false" customHeight="true" outlineLevel="0" collapsed="false">
      <c r="A52" s="9" t="str">
        <f aca="false">UPPER(TRIM(Raw_Data!A52))</f>
        <v>ORD-1051</v>
      </c>
      <c r="B52" s="10" t="n">
        <f aca="false">IFERROR(IF(ISNUMBER(Raw_Data!B52),Raw_Data!B52,IF(ISNUMBER(FIND("/",Raw_Data!B52)),DATE(VALUE(RIGHT(TRIM(Raw_Data!B52),4)),VALUE(MID(TRIM(Raw_Data!B52),4,2)),VALUE(LEFT(TRIM(Raw_Data!B52),2))),IF(MID(TRIM(Raw_Data!B52),5,1)="-",DATE(VALUE(LEFT(TRIM(Raw_Data!B52),4)),VALUE(MID(TRIM(Raw_Data!B52),6,2)),VALUE(RIGHT(TRIM(Raw_Data!B52),2))),DATE(VALUE(RIGHT(TRIM(Raw_Data!B52),4)),MATCH(MID(TRIM(Raw_Data!B52),4,3),{"Jan","Feb","Mar","Apr","May","Jun","Jul","Aug","Sep","Oct","Nov","Dec"},0),VALUE(LEFT(TRIM(Raw_Data!B52),2)))))),"")</f>
        <v>45711</v>
      </c>
      <c r="C52" s="9" t="str">
        <f aca="false">IF(TRIM(Raw_Data!C52)="","Unknown",PROPER(TRIM(Raw_Data!C52)))</f>
        <v>Zain Raza</v>
      </c>
      <c r="D52" s="9" t="str">
        <f aca="false">IFERROR(INDEX({"Punjab","Sindh","KPK","Balochistan"},MATCH(UPPER(LEFT(TRIM(Raw_Data!D52),1)),{"P","S","K","B"},0)),IFERROR(INDEX(Data_Dictionary!$G$4:$G$16,MATCH(E52,Data_Dictionary!$F$4:$F$16,0)),"Unassigned"))</f>
        <v>Sindh</v>
      </c>
      <c r="E52" s="9" t="str">
        <f aca="false">IF(TRIM(Raw_Data!E52)="","Unknown",PROPER(TRIM(Raw_Data!E52)))</f>
        <v>Karachi</v>
      </c>
      <c r="F52" s="9" t="str">
        <f aca="false">IFERROR(INDEX({"Electronics","Home &amp; Kitchen","Clothing","Groceries","Beauty"},MATCH(UPPER(LEFT(TRIM(Raw_Data!F52),3)),{"ELE","HOM","CLO","GRO","BEA"},0)),"Uncategorised")</f>
        <v>Electronics</v>
      </c>
      <c r="G52" s="9" t="str">
        <f aca="false">IF(TRIM(Raw_Data!G52)="","Unknown",PROPER(TRIM(Raw_Data!G52)))</f>
        <v>Smart Television 43 Inch</v>
      </c>
      <c r="H52" s="11" t="n">
        <f aca="false">IFERROR(ABS(VALUE(TRIM(Raw_Data!H52))),"")</f>
        <v>6</v>
      </c>
      <c r="I52" s="12" t="n">
        <f aca="false">IFERROR(VALUE(TRIM(SUBSTITUTE(SUBSTITUTE(SUBSTITUTE(SUBSTITUTE(TRIM(Raw_Data!I52),"PKR",""),"Rs.",""),"Rs",""),",",""))),"")</f>
        <v>51450</v>
      </c>
      <c r="J52" s="13" t="n">
        <f aca="false">IFERROR(IF(TRIM(Raw_Data!J52)="",0,IF(VALUE(TRIM(Raw_Data!J52))&gt;1,VALUE(TRIM(Raw_Data!J52))/100,VALUE(TRIM(Raw_Data!J52)))),0)</f>
        <v>0</v>
      </c>
      <c r="K52" s="9" t="str">
        <f aca="false">IF(TRIM(Raw_Data!K52)="","Unassigned",PROPER(TRIM(Raw_Data!K52)))</f>
        <v>Sadia Noor</v>
      </c>
      <c r="L52" s="9" t="str">
        <f aca="false">IFERROR(INDEX({"Credit Card","Credit Card","Debit Card","Debit Card","Cash","PayPal"},MATCH(UPPER(LEFT(TRIM(Raw_Data!L52),2)),{"CR","CC","DE","DC","CA","PA"},0)),"Other")</f>
        <v>Credit Card</v>
      </c>
      <c r="M52" s="9" t="str">
        <f aca="false">IFERROR(INDEX({"Completed","Returned","Cancelled","Pending"},MATCH(UPPER(LEFT(TRIM(Raw_Data!M52),3)),{"COM","RET","CAN","PEN"},0)),"Unknown")</f>
        <v>Completed</v>
      </c>
      <c r="N52" s="14" t="n">
        <f aca="false">IF(OR(H52="",I52=""),"",H52*I52)</f>
        <v>308700</v>
      </c>
      <c r="O52" s="14" t="n">
        <f aca="false">IF(N52="","",N52*J52)</f>
        <v>0</v>
      </c>
      <c r="P52" s="14" t="n">
        <f aca="false">IF(N52="","",N52-O52)</f>
        <v>308700</v>
      </c>
      <c r="Q52" s="15" t="n">
        <f aca="false">IF(B52="","",DATE(YEAR(B52),MONTH(B52),1))</f>
        <v>45689</v>
      </c>
      <c r="R52" s="16" t="str">
        <f aca="false">IF(A52="","Invalid - Exclude",IF(COUNTIF($A$2:A52,A52)&gt;1,"Duplicate - Exclude",IF(OR(B52="",H52="",I52=""),"Invalid - Exclude","Valid")))</f>
        <v>Valid</v>
      </c>
      <c r="S52" s="16" t="str">
        <f aca="false">IF(R52="Valid","",IF(R52="Duplicate - Exclude","Repeat of an earlier Order ID",IF(B52="","Date missing or unreadable",IF(H52="","Quantity missing or unreadable",IF(I52="","Unit price missing or unreadable","Order ID missing")))))</f>
        <v/>
      </c>
    </row>
    <row r="53" customFormat="false" ht="15" hidden="false" customHeight="true" outlineLevel="0" collapsed="false">
      <c r="A53" s="17" t="str">
        <f aca="false">UPPER(TRIM(Raw_Data!A53))</f>
        <v>ORD-1052</v>
      </c>
      <c r="B53" s="18" t="n">
        <f aca="false">IFERROR(IF(ISNUMBER(Raw_Data!B53),Raw_Data!B53,IF(ISNUMBER(FIND("/",Raw_Data!B53)),DATE(VALUE(RIGHT(TRIM(Raw_Data!B53),4)),VALUE(MID(TRIM(Raw_Data!B53),4,2)),VALUE(LEFT(TRIM(Raw_Data!B53),2))),IF(MID(TRIM(Raw_Data!B53),5,1)="-",DATE(VALUE(LEFT(TRIM(Raw_Data!B53),4)),VALUE(MID(TRIM(Raw_Data!B53),6,2)),VALUE(RIGHT(TRIM(Raw_Data!B53),2))),DATE(VALUE(RIGHT(TRIM(Raw_Data!B53),4)),MATCH(MID(TRIM(Raw_Data!B53),4,3),{"Jan","Feb","Mar","Apr","May","Jun","Jul","Aug","Sep","Oct","Nov","Dec"},0),VALUE(LEFT(TRIM(Raw_Data!B53),2)))))),"")</f>
        <v>45962</v>
      </c>
      <c r="C53" s="17" t="str">
        <f aca="false">IF(TRIM(Raw_Data!C53)="","Unknown",PROPER(TRIM(Raw_Data!C53)))</f>
        <v>Rabia Iqbal</v>
      </c>
      <c r="D53" s="17" t="str">
        <f aca="false">IFERROR(INDEX({"Punjab","Sindh","KPK","Balochistan"},MATCH(UPPER(LEFT(TRIM(Raw_Data!D53),1)),{"P","S","K","B"},0)),IFERROR(INDEX(Data_Dictionary!$G$4:$G$16,MATCH(E53,Data_Dictionary!$F$4:$F$16,0)),"Unassigned"))</f>
        <v>Punjab</v>
      </c>
      <c r="E53" s="17" t="str">
        <f aca="false">IF(TRIM(Raw_Data!E53)="","Unknown",PROPER(TRIM(Raw_Data!E53)))</f>
        <v>Multan</v>
      </c>
      <c r="F53" s="17" t="str">
        <f aca="false">IFERROR(INDEX({"Electronics","Home &amp; Kitchen","Clothing","Groceries","Beauty"},MATCH(UPPER(LEFT(TRIM(Raw_Data!F53),3)),{"ELE","HOM","CLO","GRO","BEA"},0)),"Uncategorised")</f>
        <v>Home &amp; Kitchen</v>
      </c>
      <c r="G53" s="17" t="str">
        <f aca="false">IF(TRIM(Raw_Data!G53)="","Unknown",PROPER(TRIM(Raw_Data!G53)))</f>
        <v>Hand Blender</v>
      </c>
      <c r="H53" s="19" t="n">
        <f aca="false">IFERROR(ABS(VALUE(TRIM(Raw_Data!H53))),"")</f>
        <v>1</v>
      </c>
      <c r="I53" s="20" t="n">
        <f aca="false">IFERROR(VALUE(TRIM(SUBSTITUTE(SUBSTITUTE(SUBSTITUTE(SUBSTITUTE(TRIM(Raw_Data!I53),"PKR",""),"Rs.",""),"Rs",""),",",""))),"")</f>
        <v>3850</v>
      </c>
      <c r="J53" s="21" t="n">
        <f aca="false">IFERROR(IF(TRIM(Raw_Data!J53)="",0,IF(VALUE(TRIM(Raw_Data!J53))&gt;1,VALUE(TRIM(Raw_Data!J53))/100,VALUE(TRIM(Raw_Data!J53)))),0)</f>
        <v>0</v>
      </c>
      <c r="K53" s="17" t="str">
        <f aca="false">IF(TRIM(Raw_Data!K53)="","Unassigned",PROPER(TRIM(Raw_Data!K53)))</f>
        <v>Sadia Noor</v>
      </c>
      <c r="L53" s="17" t="str">
        <f aca="false">IFERROR(INDEX({"Credit Card","Credit Card","Debit Card","Debit Card","Cash","PayPal"},MATCH(UPPER(LEFT(TRIM(Raw_Data!L53),2)),{"CR","CC","DE","DC","CA","PA"},0)),"Other")</f>
        <v>Credit Card</v>
      </c>
      <c r="M53" s="17" t="str">
        <f aca="false">IFERROR(INDEX({"Completed","Returned","Cancelled","Pending"},MATCH(UPPER(LEFT(TRIM(Raw_Data!M53),3)),{"COM","RET","CAN","PEN"},0)),"Unknown")</f>
        <v>Completed</v>
      </c>
      <c r="N53" s="20" t="n">
        <f aca="false">IF(OR(H53="",I53=""),"",H53*I53)</f>
        <v>3850</v>
      </c>
      <c r="O53" s="20" t="n">
        <f aca="false">IF(N53="","",N53*J53)</f>
        <v>0</v>
      </c>
      <c r="P53" s="20" t="n">
        <f aca="false">IF(N53="","",N53-O53)</f>
        <v>3850</v>
      </c>
      <c r="Q53" s="22" t="n">
        <f aca="false">IF(B53="","",DATE(YEAR(B53),MONTH(B53),1))</f>
        <v>45962</v>
      </c>
      <c r="R53" s="17" t="str">
        <f aca="false">IF(A53="","Invalid - Exclude",IF(COUNTIF($A$2:A53,A53)&gt;1,"Duplicate - Exclude",IF(OR(B53="",H53="",I53=""),"Invalid - Exclude","Valid")))</f>
        <v>Valid</v>
      </c>
      <c r="S53" s="17" t="str">
        <f aca="false">IF(R53="Valid","",IF(R53="Duplicate - Exclude","Repeat of an earlier Order ID",IF(B53="","Date missing or unreadable",IF(H53="","Quantity missing or unreadable",IF(I53="","Unit price missing or unreadable","Order ID missing")))))</f>
        <v/>
      </c>
    </row>
    <row r="54" customFormat="false" ht="15" hidden="false" customHeight="true" outlineLevel="0" collapsed="false">
      <c r="A54" s="9" t="str">
        <f aca="false">UPPER(TRIM(Raw_Data!A54))</f>
        <v>ORD-1053</v>
      </c>
      <c r="B54" s="10" t="n">
        <f aca="false">IFERROR(IF(ISNUMBER(Raw_Data!B54),Raw_Data!B54,IF(ISNUMBER(FIND("/",Raw_Data!B54)),DATE(VALUE(RIGHT(TRIM(Raw_Data!B54),4)),VALUE(MID(TRIM(Raw_Data!B54),4,2)),VALUE(LEFT(TRIM(Raw_Data!B54),2))),IF(MID(TRIM(Raw_Data!B54),5,1)="-",DATE(VALUE(LEFT(TRIM(Raw_Data!B54),4)),VALUE(MID(TRIM(Raw_Data!B54),6,2)),VALUE(RIGHT(TRIM(Raw_Data!B54),2))),DATE(VALUE(RIGHT(TRIM(Raw_Data!B54),4)),MATCH(MID(TRIM(Raw_Data!B54),4,3),{"Jan","Feb","Mar","Apr","May","Jun","Jul","Aug","Sep","Oct","Nov","Dec"},0),VALUE(LEFT(TRIM(Raw_Data!B54),2)))))),"")</f>
        <v>45787</v>
      </c>
      <c r="C54" s="9" t="str">
        <f aca="false">IF(TRIM(Raw_Data!C54)="","Unknown",PROPER(TRIM(Raw_Data!C54)))</f>
        <v>Ali Butt</v>
      </c>
      <c r="D54" s="9" t="str">
        <f aca="false">IFERROR(INDEX({"Punjab","Sindh","KPK","Balochistan"},MATCH(UPPER(LEFT(TRIM(Raw_Data!D54),1)),{"P","S","K","B"},0)),IFERROR(INDEX(Data_Dictionary!$G$4:$G$16,MATCH(E54,Data_Dictionary!$F$4:$F$16,0)),"Unassigned"))</f>
        <v>KPK</v>
      </c>
      <c r="E54" s="9" t="str">
        <f aca="false">IF(TRIM(Raw_Data!E54)="","Unknown",PROPER(TRIM(Raw_Data!E54)))</f>
        <v>Peshawar</v>
      </c>
      <c r="F54" s="9" t="str">
        <f aca="false">IFERROR(INDEX({"Electronics","Home &amp; Kitchen","Clothing","Groceries","Beauty"},MATCH(UPPER(LEFT(TRIM(Raw_Data!F54),3)),{"ELE","HOM","CLO","GRO","BEA"},0)),"Uncategorised")</f>
        <v>Clothing</v>
      </c>
      <c r="G54" s="9" t="str">
        <f aca="false">IF(TRIM(Raw_Data!G54)="","Unknown",PROPER(TRIM(Raw_Data!G54)))</f>
        <v>Winter Jacket</v>
      </c>
      <c r="H54" s="11" t="n">
        <f aca="false">IFERROR(ABS(VALUE(TRIM(Raw_Data!H54))),"")</f>
        <v>4</v>
      </c>
      <c r="I54" s="12" t="n">
        <f aca="false">IFERROR(VALUE(TRIM(SUBSTITUTE(SUBSTITUTE(SUBSTITUTE(SUBSTITUTE(TRIM(Raw_Data!I54),"PKR",""),"Rs.",""),"Rs",""),",",""))),"")</f>
        <v>9650</v>
      </c>
      <c r="J54" s="13" t="n">
        <f aca="false">IFERROR(IF(TRIM(Raw_Data!J54)="",0,IF(VALUE(TRIM(Raw_Data!J54))&gt;1,VALUE(TRIM(Raw_Data!J54))/100,VALUE(TRIM(Raw_Data!J54)))),0)</f>
        <v>0.05</v>
      </c>
      <c r="K54" s="9" t="str">
        <f aca="false">IF(TRIM(Raw_Data!K54)="","Unassigned",PROPER(TRIM(Raw_Data!K54)))</f>
        <v>Nimra Aslam</v>
      </c>
      <c r="L54" s="9" t="str">
        <f aca="false">IFERROR(INDEX({"Credit Card","Credit Card","Debit Card","Debit Card","Cash","PayPal"},MATCH(UPPER(LEFT(TRIM(Raw_Data!L54),2)),{"CR","CC","DE","DC","CA","PA"},0)),"Other")</f>
        <v>Credit Card</v>
      </c>
      <c r="M54" s="9" t="str">
        <f aca="false">IFERROR(INDEX({"Completed","Returned","Cancelled","Pending"},MATCH(UPPER(LEFT(TRIM(Raw_Data!M54),3)),{"COM","RET","CAN","PEN"},0)),"Unknown")</f>
        <v>Completed</v>
      </c>
      <c r="N54" s="14" t="n">
        <f aca="false">IF(OR(H54="",I54=""),"",H54*I54)</f>
        <v>38600</v>
      </c>
      <c r="O54" s="14" t="n">
        <f aca="false">IF(N54="","",N54*J54)</f>
        <v>1930</v>
      </c>
      <c r="P54" s="14" t="n">
        <f aca="false">IF(N54="","",N54-O54)</f>
        <v>36670</v>
      </c>
      <c r="Q54" s="15" t="n">
        <f aca="false">IF(B54="","",DATE(YEAR(B54),MONTH(B54),1))</f>
        <v>45778</v>
      </c>
      <c r="R54" s="16" t="str">
        <f aca="false">IF(A54="","Invalid - Exclude",IF(COUNTIF($A$2:A54,A54)&gt;1,"Duplicate - Exclude",IF(OR(B54="",H54="",I54=""),"Invalid - Exclude","Valid")))</f>
        <v>Valid</v>
      </c>
      <c r="S54" s="16" t="str">
        <f aca="false">IF(R54="Valid","",IF(R54="Duplicate - Exclude","Repeat of an earlier Order ID",IF(B54="","Date missing or unreadable",IF(H54="","Quantity missing or unreadable",IF(I54="","Unit price missing or unreadable","Order ID missing")))))</f>
        <v/>
      </c>
    </row>
    <row r="55" customFormat="false" ht="15" hidden="false" customHeight="true" outlineLevel="0" collapsed="false">
      <c r="A55" s="17" t="str">
        <f aca="false">UPPER(TRIM(Raw_Data!A55))</f>
        <v>ORD-1054</v>
      </c>
      <c r="B55" s="18" t="n">
        <f aca="false">IFERROR(IF(ISNUMBER(Raw_Data!B55),Raw_Data!B55,IF(ISNUMBER(FIND("/",Raw_Data!B55)),DATE(VALUE(RIGHT(TRIM(Raw_Data!B55),4)),VALUE(MID(TRIM(Raw_Data!B55),4,2)),VALUE(LEFT(TRIM(Raw_Data!B55),2))),IF(MID(TRIM(Raw_Data!B55),5,1)="-",DATE(VALUE(LEFT(TRIM(Raw_Data!B55),4)),VALUE(MID(TRIM(Raw_Data!B55),6,2)),VALUE(RIGHT(TRIM(Raw_Data!B55),2))),DATE(VALUE(RIGHT(TRIM(Raw_Data!B55),4)),MATCH(MID(TRIM(Raw_Data!B55),4,3),{"Jan","Feb","Mar","Apr","May","Jun","Jul","Aug","Sep","Oct","Nov","Dec"},0),VALUE(LEFT(TRIM(Raw_Data!B55),2)))))),"")</f>
        <v>45703</v>
      </c>
      <c r="C55" s="17" t="str">
        <f aca="false">IF(TRIM(Raw_Data!C55)="","Unknown",PROPER(TRIM(Raw_Data!C55)))</f>
        <v>Kashif Sheikh</v>
      </c>
      <c r="D55" s="17" t="str">
        <f aca="false">IFERROR(INDEX({"Punjab","Sindh","KPK","Balochistan"},MATCH(UPPER(LEFT(TRIM(Raw_Data!D55),1)),{"P","S","K","B"},0)),IFERROR(INDEX(Data_Dictionary!$G$4:$G$16,MATCH(E55,Data_Dictionary!$F$4:$F$16,0)),"Unassigned"))</f>
        <v>Punjab</v>
      </c>
      <c r="E55" s="17" t="str">
        <f aca="false">IF(TRIM(Raw_Data!E55)="","Unknown",PROPER(TRIM(Raw_Data!E55)))</f>
        <v>Lahore</v>
      </c>
      <c r="F55" s="17" t="str">
        <f aca="false">IFERROR(INDEX({"Electronics","Home &amp; Kitchen","Clothing","Groceries","Beauty"},MATCH(UPPER(LEFT(TRIM(Raw_Data!F55),3)),{"ELE","HOM","CLO","GRO","BEA"},0)),"Uncategorised")</f>
        <v>Electronics</v>
      </c>
      <c r="G55" s="17" t="str">
        <f aca="false">IF(TRIM(Raw_Data!G55)="","Unknown",PROPER(TRIM(Raw_Data!G55)))</f>
        <v>Wireless Earbuds</v>
      </c>
      <c r="H55" s="19" t="n">
        <f aca="false">IFERROR(ABS(VALUE(TRIM(Raw_Data!H55))),"")</f>
        <v>8</v>
      </c>
      <c r="I55" s="20" t="n">
        <f aca="false">IFERROR(VALUE(TRIM(SUBSTITUTE(SUBSTITUTE(SUBSTITUTE(SUBSTITUTE(TRIM(Raw_Data!I55),"PKR",""),"Rs.",""),"Rs",""),",",""))),"")</f>
        <v>6750</v>
      </c>
      <c r="J55" s="21" t="n">
        <f aca="false">IFERROR(IF(TRIM(Raw_Data!J55)="",0,IF(VALUE(TRIM(Raw_Data!J55))&gt;1,VALUE(TRIM(Raw_Data!J55))/100,VALUE(TRIM(Raw_Data!J55)))),0)</f>
        <v>0.2</v>
      </c>
      <c r="K55" s="17" t="str">
        <f aca="false">IF(TRIM(Raw_Data!K55)="","Unassigned",PROPER(TRIM(Raw_Data!K55)))</f>
        <v>Zoya Tariq</v>
      </c>
      <c r="L55" s="17" t="str">
        <f aca="false">IFERROR(INDEX({"Credit Card","Credit Card","Debit Card","Debit Card","Cash","PayPal"},MATCH(UPPER(LEFT(TRIM(Raw_Data!L55),2)),{"CR","CC","DE","DC","CA","PA"},0)),"Other")</f>
        <v>PayPal</v>
      </c>
      <c r="M55" s="17" t="str">
        <f aca="false">IFERROR(INDEX({"Completed","Returned","Cancelled","Pending"},MATCH(UPPER(LEFT(TRIM(Raw_Data!M55),3)),{"COM","RET","CAN","PEN"},0)),"Unknown")</f>
        <v>Completed</v>
      </c>
      <c r="N55" s="20" t="n">
        <f aca="false">IF(OR(H55="",I55=""),"",H55*I55)</f>
        <v>54000</v>
      </c>
      <c r="O55" s="20" t="n">
        <f aca="false">IF(N55="","",N55*J55)</f>
        <v>10800</v>
      </c>
      <c r="P55" s="20" t="n">
        <f aca="false">IF(N55="","",N55-O55)</f>
        <v>43200</v>
      </c>
      <c r="Q55" s="22" t="n">
        <f aca="false">IF(B55="","",DATE(YEAR(B55),MONTH(B55),1))</f>
        <v>45689</v>
      </c>
      <c r="R55" s="17" t="str">
        <f aca="false">IF(A55="","Invalid - Exclude",IF(COUNTIF($A$2:A55,A55)&gt;1,"Duplicate - Exclude",IF(OR(B55="",H55="",I55=""),"Invalid - Exclude","Valid")))</f>
        <v>Valid</v>
      </c>
      <c r="S55" s="17" t="str">
        <f aca="false">IF(R55="Valid","",IF(R55="Duplicate - Exclude","Repeat of an earlier Order ID",IF(B55="","Date missing or unreadable",IF(H55="","Quantity missing or unreadable",IF(I55="","Unit price missing or unreadable","Order ID missing")))))</f>
        <v/>
      </c>
    </row>
    <row r="56" customFormat="false" ht="15" hidden="false" customHeight="true" outlineLevel="0" collapsed="false">
      <c r="A56" s="9" t="str">
        <f aca="false">UPPER(TRIM(Raw_Data!A56))</f>
        <v>ORD-1055</v>
      </c>
      <c r="B56" s="10" t="n">
        <f aca="false">IFERROR(IF(ISNUMBER(Raw_Data!B56),Raw_Data!B56,IF(ISNUMBER(FIND("/",Raw_Data!B56)),DATE(VALUE(RIGHT(TRIM(Raw_Data!B56),4)),VALUE(MID(TRIM(Raw_Data!B56),4,2)),VALUE(LEFT(TRIM(Raw_Data!B56),2))),IF(MID(TRIM(Raw_Data!B56),5,1)="-",DATE(VALUE(LEFT(TRIM(Raw_Data!B56),4)),VALUE(MID(TRIM(Raw_Data!B56),6,2)),VALUE(RIGHT(TRIM(Raw_Data!B56),2))),DATE(VALUE(RIGHT(TRIM(Raw_Data!B56),4)),MATCH(MID(TRIM(Raw_Data!B56),4,3),{"Jan","Feb","Mar","Apr","May","Jun","Jul","Aug","Sep","Oct","Nov","Dec"},0),VALUE(LEFT(TRIM(Raw_Data!B56),2)))))),"")</f>
        <v>45909</v>
      </c>
      <c r="C56" s="9" t="str">
        <f aca="false">IF(TRIM(Raw_Data!C56)="","Unknown",PROPER(TRIM(Raw_Data!C56)))</f>
        <v>Usman Qureshi</v>
      </c>
      <c r="D56" s="9" t="str">
        <f aca="false">IFERROR(INDEX({"Punjab","Sindh","KPK","Balochistan"},MATCH(UPPER(LEFT(TRIM(Raw_Data!D56),1)),{"P","S","K","B"},0)),IFERROR(INDEX(Data_Dictionary!$G$4:$G$16,MATCH(E56,Data_Dictionary!$F$4:$F$16,0)),"Unassigned"))</f>
        <v>Punjab</v>
      </c>
      <c r="E56" s="9" t="str">
        <f aca="false">IF(TRIM(Raw_Data!E56)="","Unknown",PROPER(TRIM(Raw_Data!E56)))</f>
        <v>Lahore</v>
      </c>
      <c r="F56" s="9" t="str">
        <f aca="false">IFERROR(INDEX({"Electronics","Home &amp; Kitchen","Clothing","Groceries","Beauty"},MATCH(UPPER(LEFT(TRIM(Raw_Data!F56),3)),{"ELE","HOM","CLO","GRO","BEA"},0)),"Uncategorised")</f>
        <v>Clothing</v>
      </c>
      <c r="G56" s="9" t="str">
        <f aca="false">IF(TRIM(Raw_Data!G56)="","Unknown",PROPER(TRIM(Raw_Data!G56)))</f>
        <v>Winter Jacket</v>
      </c>
      <c r="H56" s="11" t="n">
        <f aca="false">IFERROR(ABS(VALUE(TRIM(Raw_Data!H56))),"")</f>
        <v>1</v>
      </c>
      <c r="I56" s="12" t="n">
        <f aca="false">IFERROR(VALUE(TRIM(SUBSTITUTE(SUBSTITUTE(SUBSTITUTE(SUBSTITUTE(TRIM(Raw_Data!I56),"PKR",""),"Rs.",""),"Rs",""),",",""))),"")</f>
        <v>9700</v>
      </c>
      <c r="J56" s="13" t="n">
        <f aca="false">IFERROR(IF(TRIM(Raw_Data!J56)="",0,IF(VALUE(TRIM(Raw_Data!J56))&gt;1,VALUE(TRIM(Raw_Data!J56))/100,VALUE(TRIM(Raw_Data!J56)))),0)</f>
        <v>0</v>
      </c>
      <c r="K56" s="9" t="str">
        <f aca="false">IF(TRIM(Raw_Data!K56)="","Unassigned",PROPER(TRIM(Raw_Data!K56)))</f>
        <v>Zoya Tariq</v>
      </c>
      <c r="L56" s="9" t="str">
        <f aca="false">IFERROR(INDEX({"Credit Card","Credit Card","Debit Card","Debit Card","Cash","PayPal"},MATCH(UPPER(LEFT(TRIM(Raw_Data!L56),2)),{"CR","CC","DE","DC","CA","PA"},0)),"Other")</f>
        <v>Debit Card</v>
      </c>
      <c r="M56" s="9" t="str">
        <f aca="false">IFERROR(INDEX({"Completed","Returned","Cancelled","Pending"},MATCH(UPPER(LEFT(TRIM(Raw_Data!M56),3)),{"COM","RET","CAN","PEN"},0)),"Unknown")</f>
        <v>Completed</v>
      </c>
      <c r="N56" s="14" t="n">
        <f aca="false">IF(OR(H56="",I56=""),"",H56*I56)</f>
        <v>9700</v>
      </c>
      <c r="O56" s="14" t="n">
        <f aca="false">IF(N56="","",N56*J56)</f>
        <v>0</v>
      </c>
      <c r="P56" s="14" t="n">
        <f aca="false">IF(N56="","",N56-O56)</f>
        <v>9700</v>
      </c>
      <c r="Q56" s="15" t="n">
        <f aca="false">IF(B56="","",DATE(YEAR(B56),MONTH(B56),1))</f>
        <v>45901</v>
      </c>
      <c r="R56" s="16" t="str">
        <f aca="false">IF(A56="","Invalid - Exclude",IF(COUNTIF($A$2:A56,A56)&gt;1,"Duplicate - Exclude",IF(OR(B56="",H56="",I56=""),"Invalid - Exclude","Valid")))</f>
        <v>Valid</v>
      </c>
      <c r="S56" s="16" t="str">
        <f aca="false">IF(R56="Valid","",IF(R56="Duplicate - Exclude","Repeat of an earlier Order ID",IF(B56="","Date missing or unreadable",IF(H56="","Quantity missing or unreadable",IF(I56="","Unit price missing or unreadable","Order ID missing")))))</f>
        <v/>
      </c>
    </row>
    <row r="57" customFormat="false" ht="15" hidden="false" customHeight="true" outlineLevel="0" collapsed="false">
      <c r="A57" s="17" t="str">
        <f aca="false">UPPER(TRIM(Raw_Data!A57))</f>
        <v>ORD-1056</v>
      </c>
      <c r="B57" s="18" t="n">
        <f aca="false">IFERROR(IF(ISNUMBER(Raw_Data!B57),Raw_Data!B57,IF(ISNUMBER(FIND("/",Raw_Data!B57)),DATE(VALUE(RIGHT(TRIM(Raw_Data!B57),4)),VALUE(MID(TRIM(Raw_Data!B57),4,2)),VALUE(LEFT(TRIM(Raw_Data!B57),2))),IF(MID(TRIM(Raw_Data!B57),5,1)="-",DATE(VALUE(LEFT(TRIM(Raw_Data!B57),4)),VALUE(MID(TRIM(Raw_Data!B57),6,2)),VALUE(RIGHT(TRIM(Raw_Data!B57),2))),DATE(VALUE(RIGHT(TRIM(Raw_Data!B57),4)),MATCH(MID(TRIM(Raw_Data!B57),4,3),{"Jan","Feb","Mar","Apr","May","Jun","Jul","Aug","Sep","Oct","Nov","Dec"},0),VALUE(LEFT(TRIM(Raw_Data!B57),2)))))),"")</f>
        <v>45766</v>
      </c>
      <c r="C57" s="17" t="str">
        <f aca="false">IF(TRIM(Raw_Data!C57)="","Unknown",PROPER(TRIM(Raw_Data!C57)))</f>
        <v>Ahmed Siddiqui</v>
      </c>
      <c r="D57" s="17" t="str">
        <f aca="false">IFERROR(INDEX({"Punjab","Sindh","KPK","Balochistan"},MATCH(UPPER(LEFT(TRIM(Raw_Data!D57),1)),{"P","S","K","B"},0)),IFERROR(INDEX(Data_Dictionary!$G$4:$G$16,MATCH(E57,Data_Dictionary!$F$4:$F$16,0)),"Unassigned"))</f>
        <v>Punjab</v>
      </c>
      <c r="E57" s="17" t="str">
        <f aca="false">IF(TRIM(Raw_Data!E57)="","Unknown",PROPER(TRIM(Raw_Data!E57)))</f>
        <v>Lahore</v>
      </c>
      <c r="F57" s="17" t="str">
        <f aca="false">IFERROR(INDEX({"Electronics","Home &amp; Kitchen","Clothing","Groceries","Beauty"},MATCH(UPPER(LEFT(TRIM(Raw_Data!F57),3)),{"ELE","HOM","CLO","GRO","BEA"},0)),"Uncategorised")</f>
        <v>Beauty</v>
      </c>
      <c r="G57" s="17" t="str">
        <f aca="false">IF(TRIM(Raw_Data!G57)="","Unknown",PROPER(TRIM(Raw_Data!G57)))</f>
        <v>Face Wash</v>
      </c>
      <c r="H57" s="19" t="n">
        <f aca="false">IFERROR(ABS(VALUE(TRIM(Raw_Data!H57))),"")</f>
        <v>6</v>
      </c>
      <c r="I57" s="20" t="n">
        <f aca="false">IFERROR(VALUE(TRIM(SUBSTITUTE(SUBSTITUTE(SUBSTITUTE(SUBSTITUTE(TRIM(Raw_Data!I57),"PKR",""),"Rs.",""),"Rs",""),",",""))),"")</f>
        <v>800</v>
      </c>
      <c r="J57" s="21" t="n">
        <f aca="false">IFERROR(IF(TRIM(Raw_Data!J57)="",0,IF(VALUE(TRIM(Raw_Data!J57))&gt;1,VALUE(TRIM(Raw_Data!J57))/100,VALUE(TRIM(Raw_Data!J57)))),0)</f>
        <v>0.1</v>
      </c>
      <c r="K57" s="17" t="str">
        <f aca="false">IF(TRIM(Raw_Data!K57)="","Unassigned",PROPER(TRIM(Raw_Data!K57)))</f>
        <v>Unassigned</v>
      </c>
      <c r="L57" s="17" t="str">
        <f aca="false">IFERROR(INDEX({"Credit Card","Credit Card","Debit Card","Debit Card","Cash","PayPal"},MATCH(UPPER(LEFT(TRIM(Raw_Data!L57),2)),{"CR","CC","DE","DC","CA","PA"},0)),"Other")</f>
        <v>Credit Card</v>
      </c>
      <c r="M57" s="17" t="str">
        <f aca="false">IFERROR(INDEX({"Completed","Returned","Cancelled","Pending"},MATCH(UPPER(LEFT(TRIM(Raw_Data!M57),3)),{"COM","RET","CAN","PEN"},0)),"Unknown")</f>
        <v>Completed</v>
      </c>
      <c r="N57" s="20" t="n">
        <f aca="false">IF(OR(H57="",I57=""),"",H57*I57)</f>
        <v>4800</v>
      </c>
      <c r="O57" s="20" t="n">
        <f aca="false">IF(N57="","",N57*J57)</f>
        <v>480</v>
      </c>
      <c r="P57" s="20" t="n">
        <f aca="false">IF(N57="","",N57-O57)</f>
        <v>4320</v>
      </c>
      <c r="Q57" s="22" t="n">
        <f aca="false">IF(B57="","",DATE(YEAR(B57),MONTH(B57),1))</f>
        <v>45748</v>
      </c>
      <c r="R57" s="17" t="str">
        <f aca="false">IF(A57="","Invalid - Exclude",IF(COUNTIF($A$2:A57,A57)&gt;1,"Duplicate - Exclude",IF(OR(B57="",H57="",I57=""),"Invalid - Exclude","Valid")))</f>
        <v>Valid</v>
      </c>
      <c r="S57" s="17" t="str">
        <f aca="false">IF(R57="Valid","",IF(R57="Duplicate - Exclude","Repeat of an earlier Order ID",IF(B57="","Date missing or unreadable",IF(H57="","Quantity missing or unreadable",IF(I57="","Unit price missing or unreadable","Order ID missing")))))</f>
        <v/>
      </c>
    </row>
    <row r="58" customFormat="false" ht="15" hidden="false" customHeight="true" outlineLevel="0" collapsed="false">
      <c r="A58" s="9" t="str">
        <f aca="false">UPPER(TRIM(Raw_Data!A58))</f>
        <v>ORD-1057</v>
      </c>
      <c r="B58" s="10" t="n">
        <f aca="false">IFERROR(IF(ISNUMBER(Raw_Data!B58),Raw_Data!B58,IF(ISNUMBER(FIND("/",Raw_Data!B58)),DATE(VALUE(RIGHT(TRIM(Raw_Data!B58),4)),VALUE(MID(TRIM(Raw_Data!B58),4,2)),VALUE(LEFT(TRIM(Raw_Data!B58),2))),IF(MID(TRIM(Raw_Data!B58),5,1)="-",DATE(VALUE(LEFT(TRIM(Raw_Data!B58),4)),VALUE(MID(TRIM(Raw_Data!B58),6,2)),VALUE(RIGHT(TRIM(Raw_Data!B58),2))),DATE(VALUE(RIGHT(TRIM(Raw_Data!B58),4)),MATCH(MID(TRIM(Raw_Data!B58),4,3),{"Jan","Feb","Mar","Apr","May","Jun","Jul","Aug","Sep","Oct","Nov","Dec"},0),VALUE(LEFT(TRIM(Raw_Data!B58),2)))))),"")</f>
        <v>45984</v>
      </c>
      <c r="C58" s="9" t="str">
        <f aca="false">IF(TRIM(Raw_Data!C58)="","Unknown",PROPER(TRIM(Raw_Data!C58)))</f>
        <v>Hassan Qureshi</v>
      </c>
      <c r="D58" s="9" t="str">
        <f aca="false">IFERROR(INDEX({"Punjab","Sindh","KPK","Balochistan"},MATCH(UPPER(LEFT(TRIM(Raw_Data!D58),1)),{"P","S","K","B"},0)),IFERROR(INDEX(Data_Dictionary!$G$4:$G$16,MATCH(E58,Data_Dictionary!$F$4:$F$16,0)),"Unassigned"))</f>
        <v>Punjab</v>
      </c>
      <c r="E58" s="9" t="str">
        <f aca="false">IF(TRIM(Raw_Data!E58)="","Unknown",PROPER(TRIM(Raw_Data!E58)))</f>
        <v>Lahore</v>
      </c>
      <c r="F58" s="9" t="str">
        <f aca="false">IFERROR(INDEX({"Electronics","Home &amp; Kitchen","Clothing","Groceries","Beauty"},MATCH(UPPER(LEFT(TRIM(Raw_Data!F58),3)),{"ELE","HOM","CLO","GRO","BEA"},0)),"Uncategorised")</f>
        <v>Groceries</v>
      </c>
      <c r="G58" s="9" t="str">
        <f aca="false">IF(TRIM(Raw_Data!G58)="","Unknown",PROPER(TRIM(Raw_Data!G58)))</f>
        <v>Refined Sugar 10 Kg</v>
      </c>
      <c r="H58" s="11" t="n">
        <f aca="false">IFERROR(ABS(VALUE(TRIM(Raw_Data!H58))),"")</f>
        <v>3</v>
      </c>
      <c r="I58" s="12" t="n">
        <f aca="false">IFERROR(VALUE(TRIM(SUBSTITUTE(SUBSTITUTE(SUBSTITUTE(SUBSTITUTE(TRIM(Raw_Data!I58),"PKR",""),"Rs.",""),"Rs",""),",",""))),"")</f>
        <v>1550</v>
      </c>
      <c r="J58" s="13" t="n">
        <f aca="false">IFERROR(IF(TRIM(Raw_Data!J58)="",0,IF(VALUE(TRIM(Raw_Data!J58))&gt;1,VALUE(TRIM(Raw_Data!J58))/100,VALUE(TRIM(Raw_Data!J58)))),0)</f>
        <v>0</v>
      </c>
      <c r="K58" s="9" t="str">
        <f aca="false">IF(TRIM(Raw_Data!K58)="","Unassigned",PROPER(TRIM(Raw_Data!K58)))</f>
        <v>Sadia Noor</v>
      </c>
      <c r="L58" s="9" t="str">
        <f aca="false">IFERROR(INDEX({"Credit Card","Credit Card","Debit Card","Debit Card","Cash","PayPal"},MATCH(UPPER(LEFT(TRIM(Raw_Data!L58),2)),{"CR","CC","DE","DC","CA","PA"},0)),"Other")</f>
        <v>Credit Card</v>
      </c>
      <c r="M58" s="9" t="str">
        <f aca="false">IFERROR(INDEX({"Completed","Returned","Cancelled","Pending"},MATCH(UPPER(LEFT(TRIM(Raw_Data!M58),3)),{"COM","RET","CAN","PEN"},0)),"Unknown")</f>
        <v>Cancelled</v>
      </c>
      <c r="N58" s="14" t="n">
        <f aca="false">IF(OR(H58="",I58=""),"",H58*I58)</f>
        <v>4650</v>
      </c>
      <c r="O58" s="14" t="n">
        <f aca="false">IF(N58="","",N58*J58)</f>
        <v>0</v>
      </c>
      <c r="P58" s="14" t="n">
        <f aca="false">IF(N58="","",N58-O58)</f>
        <v>4650</v>
      </c>
      <c r="Q58" s="15" t="n">
        <f aca="false">IF(B58="","",DATE(YEAR(B58),MONTH(B58),1))</f>
        <v>45962</v>
      </c>
      <c r="R58" s="16" t="str">
        <f aca="false">IF(A58="","Invalid - Exclude",IF(COUNTIF($A$2:A58,A58)&gt;1,"Duplicate - Exclude",IF(OR(B58="",H58="",I58=""),"Invalid - Exclude","Valid")))</f>
        <v>Valid</v>
      </c>
      <c r="S58" s="16" t="str">
        <f aca="false">IF(R58="Valid","",IF(R58="Duplicate - Exclude","Repeat of an earlier Order ID",IF(B58="","Date missing or unreadable",IF(H58="","Quantity missing or unreadable",IF(I58="","Unit price missing or unreadable","Order ID missing")))))</f>
        <v/>
      </c>
    </row>
    <row r="59" customFormat="false" ht="15" hidden="false" customHeight="true" outlineLevel="0" collapsed="false">
      <c r="A59" s="17" t="str">
        <f aca="false">UPPER(TRIM(Raw_Data!A59))</f>
        <v>ORD-1058</v>
      </c>
      <c r="B59" s="18" t="n">
        <f aca="false">IFERROR(IF(ISNUMBER(Raw_Data!B59),Raw_Data!B59,IF(ISNUMBER(FIND("/",Raw_Data!B59)),DATE(VALUE(RIGHT(TRIM(Raw_Data!B59),4)),VALUE(MID(TRIM(Raw_Data!B59),4,2)),VALUE(LEFT(TRIM(Raw_Data!B59),2))),IF(MID(TRIM(Raw_Data!B59),5,1)="-",DATE(VALUE(LEFT(TRIM(Raw_Data!B59),4)),VALUE(MID(TRIM(Raw_Data!B59),6,2)),VALUE(RIGHT(TRIM(Raw_Data!B59),2))),DATE(VALUE(RIGHT(TRIM(Raw_Data!B59),4)),MATCH(MID(TRIM(Raw_Data!B59),4,3),{"Jan","Feb","Mar","Apr","May","Jun","Jul","Aug","Sep","Oct","Nov","Dec"},0),VALUE(LEFT(TRIM(Raw_Data!B59),2)))))),"")</f>
        <v>45929</v>
      </c>
      <c r="C59" s="17" t="str">
        <f aca="false">IF(TRIM(Raw_Data!C59)="","Unknown",PROPER(TRIM(Raw_Data!C59)))</f>
        <v>Hina Qureshi</v>
      </c>
      <c r="D59" s="17" t="str">
        <f aca="false">IFERROR(INDEX({"Punjab","Sindh","KPK","Balochistan"},MATCH(UPPER(LEFT(TRIM(Raw_Data!D59),1)),{"P","S","K","B"},0)),IFERROR(INDEX(Data_Dictionary!$G$4:$G$16,MATCH(E59,Data_Dictionary!$F$4:$F$16,0)),"Unassigned"))</f>
        <v>Punjab</v>
      </c>
      <c r="E59" s="17" t="str">
        <f aca="false">IF(TRIM(Raw_Data!E59)="","Unknown",PROPER(TRIM(Raw_Data!E59)))</f>
        <v>Faisalabad</v>
      </c>
      <c r="F59" s="17" t="str">
        <f aca="false">IFERROR(INDEX({"Electronics","Home &amp; Kitchen","Clothing","Groceries","Beauty"},MATCH(UPPER(LEFT(TRIM(Raw_Data!F59),3)),{"ELE","HOM","CLO","GRO","BEA"},0)),"Uncategorised")</f>
        <v>Clothing</v>
      </c>
      <c r="G59" s="17" t="str">
        <f aca="false">IF(TRIM(Raw_Data!G59)="","Unknown",PROPER(TRIM(Raw_Data!G59)))</f>
        <v>Mens Kurta</v>
      </c>
      <c r="H59" s="19" t="n">
        <f aca="false">IFERROR(ABS(VALUE(TRIM(Raw_Data!H59))),"")</f>
        <v>8</v>
      </c>
      <c r="I59" s="20" t="n">
        <f aca="false">IFERROR(VALUE(TRIM(SUBSTITUTE(SUBSTITUTE(SUBSTITUTE(SUBSTITUTE(TRIM(Raw_Data!I59),"PKR",""),"Rs.",""),"Rs",""),",",""))),"")</f>
        <v>3200</v>
      </c>
      <c r="J59" s="21" t="n">
        <f aca="false">IFERROR(IF(TRIM(Raw_Data!J59)="",0,IF(VALUE(TRIM(Raw_Data!J59))&gt;1,VALUE(TRIM(Raw_Data!J59))/100,VALUE(TRIM(Raw_Data!J59)))),0)</f>
        <v>0</v>
      </c>
      <c r="K59" s="17" t="str">
        <f aca="false">IF(TRIM(Raw_Data!K59)="","Unassigned",PROPER(TRIM(Raw_Data!K59)))</f>
        <v>Sadia Noor</v>
      </c>
      <c r="L59" s="17" t="str">
        <f aca="false">IFERROR(INDEX({"Credit Card","Credit Card","Debit Card","Debit Card","Cash","PayPal"},MATCH(UPPER(LEFT(TRIM(Raw_Data!L59),2)),{"CR","CC","DE","DC","CA","PA"},0)),"Other")</f>
        <v>Debit Card</v>
      </c>
      <c r="M59" s="17" t="str">
        <f aca="false">IFERROR(INDEX({"Completed","Returned","Cancelled","Pending"},MATCH(UPPER(LEFT(TRIM(Raw_Data!M59),3)),{"COM","RET","CAN","PEN"},0)),"Unknown")</f>
        <v>Completed</v>
      </c>
      <c r="N59" s="20" t="n">
        <f aca="false">IF(OR(H59="",I59=""),"",H59*I59)</f>
        <v>25600</v>
      </c>
      <c r="O59" s="20" t="n">
        <f aca="false">IF(N59="","",N59*J59)</f>
        <v>0</v>
      </c>
      <c r="P59" s="20" t="n">
        <f aca="false">IF(N59="","",N59-O59)</f>
        <v>25600</v>
      </c>
      <c r="Q59" s="22" t="n">
        <f aca="false">IF(B59="","",DATE(YEAR(B59),MONTH(B59),1))</f>
        <v>45901</v>
      </c>
      <c r="R59" s="17" t="str">
        <f aca="false">IF(A59="","Invalid - Exclude",IF(COUNTIF($A$2:A59,A59)&gt;1,"Duplicate - Exclude",IF(OR(B59="",H59="",I59=""),"Invalid - Exclude","Valid")))</f>
        <v>Valid</v>
      </c>
      <c r="S59" s="17" t="str">
        <f aca="false">IF(R59="Valid","",IF(R59="Duplicate - Exclude","Repeat of an earlier Order ID",IF(B59="","Date missing or unreadable",IF(H59="","Quantity missing or unreadable",IF(I59="","Unit price missing or unreadable","Order ID missing")))))</f>
        <v/>
      </c>
    </row>
    <row r="60" customFormat="false" ht="15" hidden="false" customHeight="true" outlineLevel="0" collapsed="false">
      <c r="A60" s="9" t="str">
        <f aca="false">UPPER(TRIM(Raw_Data!A60))</f>
        <v>ORD-1059</v>
      </c>
      <c r="B60" s="10" t="n">
        <f aca="false">IFERROR(IF(ISNUMBER(Raw_Data!B60),Raw_Data!B60,IF(ISNUMBER(FIND("/",Raw_Data!B60)),DATE(VALUE(RIGHT(TRIM(Raw_Data!B60),4)),VALUE(MID(TRIM(Raw_Data!B60),4,2)),VALUE(LEFT(TRIM(Raw_Data!B60),2))),IF(MID(TRIM(Raw_Data!B60),5,1)="-",DATE(VALUE(LEFT(TRIM(Raw_Data!B60),4)),VALUE(MID(TRIM(Raw_Data!B60),6,2)),VALUE(RIGHT(TRIM(Raw_Data!B60),2))),DATE(VALUE(RIGHT(TRIM(Raw_Data!B60),4)),MATCH(MID(TRIM(Raw_Data!B60),4,3),{"Jan","Feb","Mar","Apr","May","Jun","Jul","Aug","Sep","Oct","Nov","Dec"},0),VALUE(LEFT(TRIM(Raw_Data!B60),2)))))),"")</f>
        <v>45767</v>
      </c>
      <c r="C60" s="9" t="str">
        <f aca="false">IF(TRIM(Raw_Data!C60)="","Unknown",PROPER(TRIM(Raw_Data!C60)))</f>
        <v>Hassan Butt</v>
      </c>
      <c r="D60" s="9" t="str">
        <f aca="false">IFERROR(INDEX({"Punjab","Sindh","KPK","Balochistan"},MATCH(UPPER(LEFT(TRIM(Raw_Data!D60),1)),{"P","S","K","B"},0)),IFERROR(INDEX(Data_Dictionary!$G$4:$G$16,MATCH(E60,Data_Dictionary!$F$4:$F$16,0)),"Unassigned"))</f>
        <v>Sindh</v>
      </c>
      <c r="E60" s="9" t="str">
        <f aca="false">IF(TRIM(Raw_Data!E60)="","Unknown",PROPER(TRIM(Raw_Data!E60)))</f>
        <v>Sukkur</v>
      </c>
      <c r="F60" s="9" t="str">
        <f aca="false">IFERROR(INDEX({"Electronics","Home &amp; Kitchen","Clothing","Groceries","Beauty"},MATCH(UPPER(LEFT(TRIM(Raw_Data!F60),3)),{"ELE","HOM","CLO","GRO","BEA"},0)),"Uncategorised")</f>
        <v>Groceries</v>
      </c>
      <c r="G60" s="9" t="str">
        <f aca="false">IF(TRIM(Raw_Data!G60)="","Unknown",PROPER(TRIM(Raw_Data!G60)))</f>
        <v>Refined Sugar 10 Kg</v>
      </c>
      <c r="H60" s="11" t="n">
        <f aca="false">IFERROR(ABS(VALUE(TRIM(Raw_Data!H60))),"")</f>
        <v>2</v>
      </c>
      <c r="I60" s="12" t="n">
        <f aca="false">IFERROR(VALUE(TRIM(SUBSTITUTE(SUBSTITUTE(SUBSTITUTE(SUBSTITUTE(TRIM(Raw_Data!I60),"PKR",""),"Rs.",""),"Rs",""),",",""))),"")</f>
        <v>1700</v>
      </c>
      <c r="J60" s="13" t="n">
        <f aca="false">IFERROR(IF(TRIM(Raw_Data!J60)="",0,IF(VALUE(TRIM(Raw_Data!J60))&gt;1,VALUE(TRIM(Raw_Data!J60))/100,VALUE(TRIM(Raw_Data!J60)))),0)</f>
        <v>0</v>
      </c>
      <c r="K60" s="9" t="str">
        <f aca="false">IF(TRIM(Raw_Data!K60)="","Unassigned",PROPER(TRIM(Raw_Data!K60)))</f>
        <v>Faisal Mehmood</v>
      </c>
      <c r="L60" s="9" t="str">
        <f aca="false">IFERROR(INDEX({"Credit Card","Credit Card","Debit Card","Debit Card","Cash","PayPal"},MATCH(UPPER(LEFT(TRIM(Raw_Data!L60),2)),{"CR","CC","DE","DC","CA","PA"},0)),"Other")</f>
        <v>PayPal</v>
      </c>
      <c r="M60" s="9" t="str">
        <f aca="false">IFERROR(INDEX({"Completed","Returned","Cancelled","Pending"},MATCH(UPPER(LEFT(TRIM(Raw_Data!M60),3)),{"COM","RET","CAN","PEN"},0)),"Unknown")</f>
        <v>Completed</v>
      </c>
      <c r="N60" s="14" t="n">
        <f aca="false">IF(OR(H60="",I60=""),"",H60*I60)</f>
        <v>3400</v>
      </c>
      <c r="O60" s="14" t="n">
        <f aca="false">IF(N60="","",N60*J60)</f>
        <v>0</v>
      </c>
      <c r="P60" s="14" t="n">
        <f aca="false">IF(N60="","",N60-O60)</f>
        <v>3400</v>
      </c>
      <c r="Q60" s="15" t="n">
        <f aca="false">IF(B60="","",DATE(YEAR(B60),MONTH(B60),1))</f>
        <v>45748</v>
      </c>
      <c r="R60" s="16" t="str">
        <f aca="false">IF(A60="","Invalid - Exclude",IF(COUNTIF($A$2:A60,A60)&gt;1,"Duplicate - Exclude",IF(OR(B60="",H60="",I60=""),"Invalid - Exclude","Valid")))</f>
        <v>Valid</v>
      </c>
      <c r="S60" s="16" t="str">
        <f aca="false">IF(R60="Valid","",IF(R60="Duplicate - Exclude","Repeat of an earlier Order ID",IF(B60="","Date missing or unreadable",IF(H60="","Quantity missing or unreadable",IF(I60="","Unit price missing or unreadable","Order ID missing")))))</f>
        <v/>
      </c>
    </row>
    <row r="61" customFormat="false" ht="15" hidden="false" customHeight="true" outlineLevel="0" collapsed="false">
      <c r="A61" s="17" t="str">
        <f aca="false">UPPER(TRIM(Raw_Data!A61))</f>
        <v>ORD-1060</v>
      </c>
      <c r="B61" s="18" t="n">
        <f aca="false">IFERROR(IF(ISNUMBER(Raw_Data!B61),Raw_Data!B61,IF(ISNUMBER(FIND("/",Raw_Data!B61)),DATE(VALUE(RIGHT(TRIM(Raw_Data!B61),4)),VALUE(MID(TRIM(Raw_Data!B61),4,2)),VALUE(LEFT(TRIM(Raw_Data!B61),2))),IF(MID(TRIM(Raw_Data!B61),5,1)="-",DATE(VALUE(LEFT(TRIM(Raw_Data!B61),4)),VALUE(MID(TRIM(Raw_Data!B61),6,2)),VALUE(RIGHT(TRIM(Raw_Data!B61),2))),DATE(VALUE(RIGHT(TRIM(Raw_Data!B61),4)),MATCH(MID(TRIM(Raw_Data!B61),4,3),{"Jan","Feb","Mar","Apr","May","Jun","Jul","Aug","Sep","Oct","Nov","Dec"},0),VALUE(LEFT(TRIM(Raw_Data!B61),2)))))),"")</f>
        <v>45703</v>
      </c>
      <c r="C61" s="17" t="str">
        <f aca="false">IF(TRIM(Raw_Data!C61)="","Unknown",PROPER(TRIM(Raw_Data!C61)))</f>
        <v>Sana Raza</v>
      </c>
      <c r="D61" s="17" t="str">
        <f aca="false">IFERROR(INDEX({"Punjab","Sindh","KPK","Balochistan"},MATCH(UPPER(LEFT(TRIM(Raw_Data!D61),1)),{"P","S","K","B"},0)),IFERROR(INDEX(Data_Dictionary!$G$4:$G$16,MATCH(E61,Data_Dictionary!$F$4:$F$16,0)),"Unassigned"))</f>
        <v>Punjab</v>
      </c>
      <c r="E61" s="17" t="str">
        <f aca="false">IF(TRIM(Raw_Data!E61)="","Unknown",PROPER(TRIM(Raw_Data!E61)))</f>
        <v>Lahore</v>
      </c>
      <c r="F61" s="17" t="str">
        <f aca="false">IFERROR(INDEX({"Electronics","Home &amp; Kitchen","Clothing","Groceries","Beauty"},MATCH(UPPER(LEFT(TRIM(Raw_Data!F61),3)),{"ELE","HOM","CLO","GRO","BEA"},0)),"Uncategorised")</f>
        <v>Beauty</v>
      </c>
      <c r="G61" s="17" t="str">
        <f aca="false">IF(TRIM(Raw_Data!G61)="","Unknown",PROPER(TRIM(Raw_Data!G61)))</f>
        <v>Hair Dryer</v>
      </c>
      <c r="H61" s="19" t="n">
        <f aca="false">IFERROR(ABS(VALUE(TRIM(Raw_Data!H61))),"")</f>
        <v>5</v>
      </c>
      <c r="I61" s="20" t="n">
        <f aca="false">IFERROR(VALUE(TRIM(SUBSTITUTE(SUBSTITUTE(SUBSTITUTE(SUBSTITUTE(TRIM(Raw_Data!I61),"PKR",""),"Rs.",""),"Rs",""),",",""))),"")</f>
        <v>4300</v>
      </c>
      <c r="J61" s="21" t="n">
        <f aca="false">IFERROR(IF(TRIM(Raw_Data!J61)="",0,IF(VALUE(TRIM(Raw_Data!J61))&gt;1,VALUE(TRIM(Raw_Data!J61))/100,VALUE(TRIM(Raw_Data!J61)))),0)</f>
        <v>0.2</v>
      </c>
      <c r="K61" s="17" t="str">
        <f aca="false">IF(TRIM(Raw_Data!K61)="","Unassigned",PROPER(TRIM(Raw_Data!K61)))</f>
        <v>Waqar Ahmed</v>
      </c>
      <c r="L61" s="17" t="str">
        <f aca="false">IFERROR(INDEX({"Credit Card","Credit Card","Debit Card","Debit Card","Cash","PayPal"},MATCH(UPPER(LEFT(TRIM(Raw_Data!L61),2)),{"CR","CC","DE","DC","CA","PA"},0)),"Other")</f>
        <v>Debit Card</v>
      </c>
      <c r="M61" s="17" t="str">
        <f aca="false">IFERROR(INDEX({"Completed","Returned","Cancelled","Pending"},MATCH(UPPER(LEFT(TRIM(Raw_Data!M61),3)),{"COM","RET","CAN","PEN"},0)),"Unknown")</f>
        <v>Cancelled</v>
      </c>
      <c r="N61" s="20" t="n">
        <f aca="false">IF(OR(H61="",I61=""),"",H61*I61)</f>
        <v>21500</v>
      </c>
      <c r="O61" s="20" t="n">
        <f aca="false">IF(N61="","",N61*J61)</f>
        <v>4300</v>
      </c>
      <c r="P61" s="20" t="n">
        <f aca="false">IF(N61="","",N61-O61)</f>
        <v>17200</v>
      </c>
      <c r="Q61" s="22" t="n">
        <f aca="false">IF(B61="","",DATE(YEAR(B61),MONTH(B61),1))</f>
        <v>45689</v>
      </c>
      <c r="R61" s="17" t="str">
        <f aca="false">IF(A61="","Invalid - Exclude",IF(COUNTIF($A$2:A61,A61)&gt;1,"Duplicate - Exclude",IF(OR(B61="",H61="",I61=""),"Invalid - Exclude","Valid")))</f>
        <v>Valid</v>
      </c>
      <c r="S61" s="17" t="str">
        <f aca="false">IF(R61="Valid","",IF(R61="Duplicate - Exclude","Repeat of an earlier Order ID",IF(B61="","Date missing or unreadable",IF(H61="","Quantity missing or unreadable",IF(I61="","Unit price missing or unreadable","Order ID missing")))))</f>
        <v/>
      </c>
    </row>
    <row r="62" customFormat="false" ht="15" hidden="false" customHeight="true" outlineLevel="0" collapsed="false">
      <c r="A62" s="9" t="str">
        <f aca="false">UPPER(TRIM(Raw_Data!A62))</f>
        <v>ORD-1061</v>
      </c>
      <c r="B62" s="10" t="n">
        <f aca="false">IFERROR(IF(ISNUMBER(Raw_Data!B62),Raw_Data!B62,IF(ISNUMBER(FIND("/",Raw_Data!B62)),DATE(VALUE(RIGHT(TRIM(Raw_Data!B62),4)),VALUE(MID(TRIM(Raw_Data!B62),4,2)),VALUE(LEFT(TRIM(Raw_Data!B62),2))),IF(MID(TRIM(Raw_Data!B62),5,1)="-",DATE(VALUE(LEFT(TRIM(Raw_Data!B62),4)),VALUE(MID(TRIM(Raw_Data!B62),6,2)),VALUE(RIGHT(TRIM(Raw_Data!B62),2))),DATE(VALUE(RIGHT(TRIM(Raw_Data!B62),4)),MATCH(MID(TRIM(Raw_Data!B62),4,3),{"Jan","Feb","Mar","Apr","May","Jun","Jul","Aug","Sep","Oct","Nov","Dec"},0),VALUE(LEFT(TRIM(Raw_Data!B62),2)))))),"")</f>
        <v>45826</v>
      </c>
      <c r="C62" s="9" t="str">
        <f aca="false">IF(TRIM(Raw_Data!C62)="","Unknown",PROPER(TRIM(Raw_Data!C62)))</f>
        <v>Fatima Mirza</v>
      </c>
      <c r="D62" s="9" t="str">
        <f aca="false">IFERROR(INDEX({"Punjab","Sindh","KPK","Balochistan"},MATCH(UPPER(LEFT(TRIM(Raw_Data!D62),1)),{"P","S","K","B"},0)),IFERROR(INDEX(Data_Dictionary!$G$4:$G$16,MATCH(E62,Data_Dictionary!$F$4:$F$16,0)),"Unassigned"))</f>
        <v>Punjab</v>
      </c>
      <c r="E62" s="9" t="str">
        <f aca="false">IF(TRIM(Raw_Data!E62)="","Unknown",PROPER(TRIM(Raw_Data!E62)))</f>
        <v>Rawalpindi</v>
      </c>
      <c r="F62" s="9" t="str">
        <f aca="false">IFERROR(INDEX({"Electronics","Home &amp; Kitchen","Clothing","Groceries","Beauty"},MATCH(UPPER(LEFT(TRIM(Raw_Data!F62),3)),{"ELE","HOM","CLO","GRO","BEA"},0)),"Uncategorised")</f>
        <v>Uncategorised</v>
      </c>
      <c r="G62" s="9" t="str">
        <f aca="false">IF(TRIM(Raw_Data!G62)="","Unknown",PROPER(TRIM(Raw_Data!G62)))</f>
        <v>Air Fryer</v>
      </c>
      <c r="H62" s="11" t="n">
        <f aca="false">IFERROR(ABS(VALUE(TRIM(Raw_Data!H62))),"")</f>
        <v>2</v>
      </c>
      <c r="I62" s="12" t="n">
        <f aca="false">IFERROR(VALUE(TRIM(SUBSTITUTE(SUBSTITUTE(SUBSTITUTE(SUBSTITUTE(TRIM(Raw_Data!I62),"PKR",""),"Rs.",""),"Rs",""),",",""))),"")</f>
        <v>18400</v>
      </c>
      <c r="J62" s="13" t="n">
        <f aca="false">IFERROR(IF(TRIM(Raw_Data!J62)="",0,IF(VALUE(TRIM(Raw_Data!J62))&gt;1,VALUE(TRIM(Raw_Data!J62))/100,VALUE(TRIM(Raw_Data!J62)))),0)</f>
        <v>0</v>
      </c>
      <c r="K62" s="9" t="str">
        <f aca="false">IF(TRIM(Raw_Data!K62)="","Unassigned",PROPER(TRIM(Raw_Data!K62)))</f>
        <v>Sadia Noor</v>
      </c>
      <c r="L62" s="9" t="str">
        <f aca="false">IFERROR(INDEX({"Credit Card","Credit Card","Debit Card","Debit Card","Cash","PayPal"},MATCH(UPPER(LEFT(TRIM(Raw_Data!L62),2)),{"CR","CC","DE","DC","CA","PA"},0)),"Other")</f>
        <v>PayPal</v>
      </c>
      <c r="M62" s="9" t="str">
        <f aca="false">IFERROR(INDEX({"Completed","Returned","Cancelled","Pending"},MATCH(UPPER(LEFT(TRIM(Raw_Data!M62),3)),{"COM","RET","CAN","PEN"},0)),"Unknown")</f>
        <v>Completed</v>
      </c>
      <c r="N62" s="14" t="n">
        <f aca="false">IF(OR(H62="",I62=""),"",H62*I62)</f>
        <v>36800</v>
      </c>
      <c r="O62" s="14" t="n">
        <f aca="false">IF(N62="","",N62*J62)</f>
        <v>0</v>
      </c>
      <c r="P62" s="14" t="n">
        <f aca="false">IF(N62="","",N62-O62)</f>
        <v>36800</v>
      </c>
      <c r="Q62" s="15" t="n">
        <f aca="false">IF(B62="","",DATE(YEAR(B62),MONTH(B62),1))</f>
        <v>45809</v>
      </c>
      <c r="R62" s="16" t="str">
        <f aca="false">IF(A62="","Invalid - Exclude",IF(COUNTIF($A$2:A62,A62)&gt;1,"Duplicate - Exclude",IF(OR(B62="",H62="",I62=""),"Invalid - Exclude","Valid")))</f>
        <v>Valid</v>
      </c>
      <c r="S62" s="16" t="str">
        <f aca="false">IF(R62="Valid","",IF(R62="Duplicate - Exclude","Repeat of an earlier Order ID",IF(B62="","Date missing or unreadable",IF(H62="","Quantity missing or unreadable",IF(I62="","Unit price missing or unreadable","Order ID missing")))))</f>
        <v/>
      </c>
    </row>
    <row r="63" customFormat="false" ht="15" hidden="false" customHeight="true" outlineLevel="0" collapsed="false">
      <c r="A63" s="17" t="str">
        <f aca="false">UPPER(TRIM(Raw_Data!A63))</f>
        <v>ORD-1062</v>
      </c>
      <c r="B63" s="18" t="n">
        <f aca="false">IFERROR(IF(ISNUMBER(Raw_Data!B63),Raw_Data!B63,IF(ISNUMBER(FIND("/",Raw_Data!B63)),DATE(VALUE(RIGHT(TRIM(Raw_Data!B63),4)),VALUE(MID(TRIM(Raw_Data!B63),4,2)),VALUE(LEFT(TRIM(Raw_Data!B63),2))),IF(MID(TRIM(Raw_Data!B63),5,1)="-",DATE(VALUE(LEFT(TRIM(Raw_Data!B63),4)),VALUE(MID(TRIM(Raw_Data!B63),6,2)),VALUE(RIGHT(TRIM(Raw_Data!B63),2))),DATE(VALUE(RIGHT(TRIM(Raw_Data!B63),4)),MATCH(MID(TRIM(Raw_Data!B63),4,3),{"Jan","Feb","Mar","Apr","May","Jun","Jul","Aug","Sep","Oct","Nov","Dec"},0),VALUE(LEFT(TRIM(Raw_Data!B63),2)))))),"")</f>
        <v>45844</v>
      </c>
      <c r="C63" s="17" t="str">
        <f aca="false">IF(TRIM(Raw_Data!C63)="","Unknown",PROPER(TRIM(Raw_Data!C63)))</f>
        <v>Iqra Butt</v>
      </c>
      <c r="D63" s="17" t="str">
        <f aca="false">IFERROR(INDEX({"Punjab","Sindh","KPK","Balochistan"},MATCH(UPPER(LEFT(TRIM(Raw_Data!D63),1)),{"P","S","K","B"},0)),IFERROR(INDEX(Data_Dictionary!$G$4:$G$16,MATCH(E63,Data_Dictionary!$F$4:$F$16,0)),"Unassigned"))</f>
        <v>Punjab</v>
      </c>
      <c r="E63" s="17" t="str">
        <f aca="false">IF(TRIM(Raw_Data!E63)="","Unknown",PROPER(TRIM(Raw_Data!E63)))</f>
        <v>Lahore</v>
      </c>
      <c r="F63" s="17" t="str">
        <f aca="false">IFERROR(INDEX({"Electronics","Home &amp; Kitchen","Clothing","Groceries","Beauty"},MATCH(UPPER(LEFT(TRIM(Raw_Data!F63),3)),{"ELE","HOM","CLO","GRO","BEA"},0)),"Uncategorised")</f>
        <v>Home &amp; Kitchen</v>
      </c>
      <c r="G63" s="17" t="str">
        <f aca="false">IF(TRIM(Raw_Data!G63)="","Unknown",PROPER(TRIM(Raw_Data!G63)))</f>
        <v>Hand Blender</v>
      </c>
      <c r="H63" s="19" t="n">
        <f aca="false">IFERROR(ABS(VALUE(TRIM(Raw_Data!H63))),"")</f>
        <v>2</v>
      </c>
      <c r="I63" s="20" t="n">
        <f aca="false">IFERROR(VALUE(TRIM(SUBSTITUTE(SUBSTITUTE(SUBSTITUTE(SUBSTITUTE(TRIM(Raw_Data!I63),"PKR",""),"Rs.",""),"Rs",""),",",""))),"")</f>
        <v>3900</v>
      </c>
      <c r="J63" s="21" t="n">
        <f aca="false">IFERROR(IF(TRIM(Raw_Data!J63)="",0,IF(VALUE(TRIM(Raw_Data!J63))&gt;1,VALUE(TRIM(Raw_Data!J63))/100,VALUE(TRIM(Raw_Data!J63)))),0)</f>
        <v>0</v>
      </c>
      <c r="K63" s="17" t="str">
        <f aca="false">IF(TRIM(Raw_Data!K63)="","Unassigned",PROPER(TRIM(Raw_Data!K63)))</f>
        <v>Nimra Aslam</v>
      </c>
      <c r="L63" s="17" t="str">
        <f aca="false">IFERROR(INDEX({"Credit Card","Credit Card","Debit Card","Debit Card","Cash","PayPal"},MATCH(UPPER(LEFT(TRIM(Raw_Data!L63),2)),{"CR","CC","DE","DC","CA","PA"},0)),"Other")</f>
        <v>Cash</v>
      </c>
      <c r="M63" s="17" t="str">
        <f aca="false">IFERROR(INDEX({"Completed","Returned","Cancelled","Pending"},MATCH(UPPER(LEFT(TRIM(Raw_Data!M63),3)),{"COM","RET","CAN","PEN"},0)),"Unknown")</f>
        <v>Completed</v>
      </c>
      <c r="N63" s="20" t="n">
        <f aca="false">IF(OR(H63="",I63=""),"",H63*I63)</f>
        <v>7800</v>
      </c>
      <c r="O63" s="20" t="n">
        <f aca="false">IF(N63="","",N63*J63)</f>
        <v>0</v>
      </c>
      <c r="P63" s="20" t="n">
        <f aca="false">IF(N63="","",N63-O63)</f>
        <v>7800</v>
      </c>
      <c r="Q63" s="22" t="n">
        <f aca="false">IF(B63="","",DATE(YEAR(B63),MONTH(B63),1))</f>
        <v>45839</v>
      </c>
      <c r="R63" s="17" t="str">
        <f aca="false">IF(A63="","Invalid - Exclude",IF(COUNTIF($A$2:A63,A63)&gt;1,"Duplicate - Exclude",IF(OR(B63="",H63="",I63=""),"Invalid - Exclude","Valid")))</f>
        <v>Valid</v>
      </c>
      <c r="S63" s="17" t="str">
        <f aca="false">IF(R63="Valid","",IF(R63="Duplicate - Exclude","Repeat of an earlier Order ID",IF(B63="","Date missing or unreadable",IF(H63="","Quantity missing or unreadable",IF(I63="","Unit price missing or unreadable","Order ID missing")))))</f>
        <v/>
      </c>
    </row>
    <row r="64" customFormat="false" ht="15" hidden="false" customHeight="true" outlineLevel="0" collapsed="false">
      <c r="A64" s="9" t="str">
        <f aca="false">UPPER(TRIM(Raw_Data!A64))</f>
        <v>ORD-1063</v>
      </c>
      <c r="B64" s="10" t="n">
        <f aca="false">IFERROR(IF(ISNUMBER(Raw_Data!B64),Raw_Data!B64,IF(ISNUMBER(FIND("/",Raw_Data!B64)),DATE(VALUE(RIGHT(TRIM(Raw_Data!B64),4)),VALUE(MID(TRIM(Raw_Data!B64),4,2)),VALUE(LEFT(TRIM(Raw_Data!B64),2))),IF(MID(TRIM(Raw_Data!B64),5,1)="-",DATE(VALUE(LEFT(TRIM(Raw_Data!B64),4)),VALUE(MID(TRIM(Raw_Data!B64),6,2)),VALUE(RIGHT(TRIM(Raw_Data!B64),2))),DATE(VALUE(RIGHT(TRIM(Raw_Data!B64),4)),MATCH(MID(TRIM(Raw_Data!B64),4,3),{"Jan","Feb","Mar","Apr","May","Jun","Jul","Aug","Sep","Oct","Nov","Dec"},0),VALUE(LEFT(TRIM(Raw_Data!B64),2)))))),"")</f>
        <v>45696</v>
      </c>
      <c r="C64" s="9" t="str">
        <f aca="false">IF(TRIM(Raw_Data!C64)="","Unknown",PROPER(TRIM(Raw_Data!C64)))</f>
        <v>Fatima Hussain</v>
      </c>
      <c r="D64" s="9" t="str">
        <f aca="false">IFERROR(INDEX({"Punjab","Sindh","KPK","Balochistan"},MATCH(UPPER(LEFT(TRIM(Raw_Data!D64),1)),{"P","S","K","B"},0)),IFERROR(INDEX(Data_Dictionary!$G$4:$G$16,MATCH(E64,Data_Dictionary!$F$4:$F$16,0)),"Unassigned"))</f>
        <v>Punjab</v>
      </c>
      <c r="E64" s="9" t="str">
        <f aca="false">IF(TRIM(Raw_Data!E64)="","Unknown",PROPER(TRIM(Raw_Data!E64)))</f>
        <v>Gujranwala</v>
      </c>
      <c r="F64" s="9" t="str">
        <f aca="false">IFERROR(INDEX({"Electronics","Home &amp; Kitchen","Clothing","Groceries","Beauty"},MATCH(UPPER(LEFT(TRIM(Raw_Data!F64),3)),{"ELE","HOM","CLO","GRO","BEA"},0)),"Uncategorised")</f>
        <v>Electronics</v>
      </c>
      <c r="G64" s="9" t="str">
        <f aca="false">IF(TRIM(Raw_Data!G64)="","Unknown",PROPER(TRIM(Raw_Data!G64)))</f>
        <v>Smart Television 43 Inch</v>
      </c>
      <c r="H64" s="11" t="n">
        <f aca="false">IFERROR(ABS(VALUE(TRIM(Raw_Data!H64))),"")</f>
        <v>6</v>
      </c>
      <c r="I64" s="12" t="n">
        <f aca="false">IFERROR(VALUE(TRIM(SUBSTITUTE(SUBSTITUTE(SUBSTITUTE(SUBSTITUTE(TRIM(Raw_Data!I64),"PKR",""),"Rs.",""),"Rs",""),",",""))),"")</f>
        <v>52800</v>
      </c>
      <c r="J64" s="13" t="n">
        <f aca="false">IFERROR(IF(TRIM(Raw_Data!J64)="",0,IF(VALUE(TRIM(Raw_Data!J64))&gt;1,VALUE(TRIM(Raw_Data!J64))/100,VALUE(TRIM(Raw_Data!J64)))),0)</f>
        <v>0</v>
      </c>
      <c r="K64" s="9" t="str">
        <f aca="false">IF(TRIM(Raw_Data!K64)="","Unassigned",PROPER(TRIM(Raw_Data!K64)))</f>
        <v>Faisal Mehmood</v>
      </c>
      <c r="L64" s="9" t="str">
        <f aca="false">IFERROR(INDEX({"Credit Card","Credit Card","Debit Card","Debit Card","Cash","PayPal"},MATCH(UPPER(LEFT(TRIM(Raw_Data!L64),2)),{"CR","CC","DE","DC","CA","PA"},0)),"Other")</f>
        <v>Credit Card</v>
      </c>
      <c r="M64" s="9" t="str">
        <f aca="false">IFERROR(INDEX({"Completed","Returned","Cancelled","Pending"},MATCH(UPPER(LEFT(TRIM(Raw_Data!M64),3)),{"COM","RET","CAN","PEN"},0)),"Unknown")</f>
        <v>Completed</v>
      </c>
      <c r="N64" s="14" t="n">
        <f aca="false">IF(OR(H64="",I64=""),"",H64*I64)</f>
        <v>316800</v>
      </c>
      <c r="O64" s="14" t="n">
        <f aca="false">IF(N64="","",N64*J64)</f>
        <v>0</v>
      </c>
      <c r="P64" s="14" t="n">
        <f aca="false">IF(N64="","",N64-O64)</f>
        <v>316800</v>
      </c>
      <c r="Q64" s="15" t="n">
        <f aca="false">IF(B64="","",DATE(YEAR(B64),MONTH(B64),1))</f>
        <v>45689</v>
      </c>
      <c r="R64" s="16" t="str">
        <f aca="false">IF(A64="","Invalid - Exclude",IF(COUNTIF($A$2:A64,A64)&gt;1,"Duplicate - Exclude",IF(OR(B64="",H64="",I64=""),"Invalid - Exclude","Valid")))</f>
        <v>Valid</v>
      </c>
      <c r="S64" s="16" t="str">
        <f aca="false">IF(R64="Valid","",IF(R64="Duplicate - Exclude","Repeat of an earlier Order ID",IF(B64="","Date missing or unreadable",IF(H64="","Quantity missing or unreadable",IF(I64="","Unit price missing or unreadable","Order ID missing")))))</f>
        <v/>
      </c>
    </row>
    <row r="65" customFormat="false" ht="15" hidden="false" customHeight="true" outlineLevel="0" collapsed="false">
      <c r="A65" s="17" t="str">
        <f aca="false">UPPER(TRIM(Raw_Data!A65))</f>
        <v>ORD-1064</v>
      </c>
      <c r="B65" s="18" t="n">
        <f aca="false">IFERROR(IF(ISNUMBER(Raw_Data!B65),Raw_Data!B65,IF(ISNUMBER(FIND("/",Raw_Data!B65)),DATE(VALUE(RIGHT(TRIM(Raw_Data!B65),4)),VALUE(MID(TRIM(Raw_Data!B65),4,2)),VALUE(LEFT(TRIM(Raw_Data!B65),2))),IF(MID(TRIM(Raw_Data!B65),5,1)="-",DATE(VALUE(LEFT(TRIM(Raw_Data!B65),4)),VALUE(MID(TRIM(Raw_Data!B65),6,2)),VALUE(RIGHT(TRIM(Raw_Data!B65),2))),DATE(VALUE(RIGHT(TRIM(Raw_Data!B65),4)),MATCH(MID(TRIM(Raw_Data!B65),4,3),{"Jan","Feb","Mar","Apr","May","Jun","Jul","Aug","Sep","Oct","Nov","Dec"},0),VALUE(LEFT(TRIM(Raw_Data!B65),2)))))),"")</f>
        <v>45977</v>
      </c>
      <c r="C65" s="17" t="str">
        <f aca="false">IF(TRIM(Raw_Data!C65)="","Unknown",PROPER(TRIM(Raw_Data!C65)))</f>
        <v>Zain Iqbal</v>
      </c>
      <c r="D65" s="17" t="str">
        <f aca="false">IFERROR(INDEX({"Punjab","Sindh","KPK","Balochistan"},MATCH(UPPER(LEFT(TRIM(Raw_Data!D65),1)),{"P","S","K","B"},0)),IFERROR(INDEX(Data_Dictionary!$G$4:$G$16,MATCH(E65,Data_Dictionary!$F$4:$F$16,0)),"Unassigned"))</f>
        <v>Punjab</v>
      </c>
      <c r="E65" s="17" t="str">
        <f aca="false">IF(TRIM(Raw_Data!E65)="","Unknown",PROPER(TRIM(Raw_Data!E65)))</f>
        <v>Lahore</v>
      </c>
      <c r="F65" s="17" t="str">
        <f aca="false">IFERROR(INDEX({"Electronics","Home &amp; Kitchen","Clothing","Groceries","Beauty"},MATCH(UPPER(LEFT(TRIM(Raw_Data!F65),3)),{"ELE","HOM","CLO","GRO","BEA"},0)),"Uncategorised")</f>
        <v>Clothing</v>
      </c>
      <c r="G65" s="17" t="str">
        <f aca="false">IF(TRIM(Raw_Data!G65)="","Unknown",PROPER(TRIM(Raw_Data!G65)))</f>
        <v>Mens Kurta</v>
      </c>
      <c r="H65" s="19" t="n">
        <f aca="false">IFERROR(ABS(VALUE(TRIM(Raw_Data!H65))),"")</f>
        <v>6</v>
      </c>
      <c r="I65" s="20" t="n">
        <f aca="false">IFERROR(VALUE(TRIM(SUBSTITUTE(SUBSTITUTE(SUBSTITUTE(SUBSTITUTE(TRIM(Raw_Data!I65),"PKR",""),"Rs.",""),"Rs",""),",",""))),"")</f>
        <v>3100</v>
      </c>
      <c r="J65" s="21" t="n">
        <f aca="false">IFERROR(IF(TRIM(Raw_Data!J65)="",0,IF(VALUE(TRIM(Raw_Data!J65))&gt;1,VALUE(TRIM(Raw_Data!J65))/100,VALUE(TRIM(Raw_Data!J65)))),0)</f>
        <v>0.05</v>
      </c>
      <c r="K65" s="17" t="str">
        <f aca="false">IF(TRIM(Raw_Data!K65)="","Unassigned",PROPER(TRIM(Raw_Data!K65)))</f>
        <v>Zoya Tariq</v>
      </c>
      <c r="L65" s="17" t="str">
        <f aca="false">IFERROR(INDEX({"Credit Card","Credit Card","Debit Card","Debit Card","Cash","PayPal"},MATCH(UPPER(LEFT(TRIM(Raw_Data!L65),2)),{"CR","CC","DE","DC","CA","PA"},0)),"Other")</f>
        <v>PayPal</v>
      </c>
      <c r="M65" s="17" t="str">
        <f aca="false">IFERROR(INDEX({"Completed","Returned","Cancelled","Pending"},MATCH(UPPER(LEFT(TRIM(Raw_Data!M65),3)),{"COM","RET","CAN","PEN"},0)),"Unknown")</f>
        <v>Returned</v>
      </c>
      <c r="N65" s="20" t="n">
        <f aca="false">IF(OR(H65="",I65=""),"",H65*I65)</f>
        <v>18600</v>
      </c>
      <c r="O65" s="20" t="n">
        <f aca="false">IF(N65="","",N65*J65)</f>
        <v>930</v>
      </c>
      <c r="P65" s="20" t="n">
        <f aca="false">IF(N65="","",N65-O65)</f>
        <v>17670</v>
      </c>
      <c r="Q65" s="22" t="n">
        <f aca="false">IF(B65="","",DATE(YEAR(B65),MONTH(B65),1))</f>
        <v>45962</v>
      </c>
      <c r="R65" s="17" t="str">
        <f aca="false">IF(A65="","Invalid - Exclude",IF(COUNTIF($A$2:A65,A65)&gt;1,"Duplicate - Exclude",IF(OR(B65="",H65="",I65=""),"Invalid - Exclude","Valid")))</f>
        <v>Valid</v>
      </c>
      <c r="S65" s="17" t="str">
        <f aca="false">IF(R65="Valid","",IF(R65="Duplicate - Exclude","Repeat of an earlier Order ID",IF(B65="","Date missing or unreadable",IF(H65="","Quantity missing or unreadable",IF(I65="","Unit price missing or unreadable","Order ID missing")))))</f>
        <v/>
      </c>
    </row>
    <row r="66" customFormat="false" ht="15" hidden="false" customHeight="true" outlineLevel="0" collapsed="false">
      <c r="A66" s="9" t="str">
        <f aca="false">UPPER(TRIM(Raw_Data!A66))</f>
        <v>ORD-1065</v>
      </c>
      <c r="B66" s="10" t="n">
        <f aca="false">IFERROR(IF(ISNUMBER(Raw_Data!B66),Raw_Data!B66,IF(ISNUMBER(FIND("/",Raw_Data!B66)),DATE(VALUE(RIGHT(TRIM(Raw_Data!B66),4)),VALUE(MID(TRIM(Raw_Data!B66),4,2)),VALUE(LEFT(TRIM(Raw_Data!B66),2))),IF(MID(TRIM(Raw_Data!B66),5,1)="-",DATE(VALUE(LEFT(TRIM(Raw_Data!B66),4)),VALUE(MID(TRIM(Raw_Data!B66),6,2)),VALUE(RIGHT(TRIM(Raw_Data!B66),2))),DATE(VALUE(RIGHT(TRIM(Raw_Data!B66),4)),MATCH(MID(TRIM(Raw_Data!B66),4,3),{"Jan","Feb","Mar","Apr","May","Jun","Jul","Aug","Sep","Oct","Nov","Dec"},0),VALUE(LEFT(TRIM(Raw_Data!B66),2)))))),"")</f>
        <v>45861</v>
      </c>
      <c r="C66" s="9" t="str">
        <f aca="false">IF(TRIM(Raw_Data!C66)="","Unknown",PROPER(TRIM(Raw_Data!C66)))</f>
        <v>Iqra Sheikh</v>
      </c>
      <c r="D66" s="9" t="str">
        <f aca="false">IFERROR(INDEX({"Punjab","Sindh","KPK","Balochistan"},MATCH(UPPER(LEFT(TRIM(Raw_Data!D66),1)),{"P","S","K","B"},0)),IFERROR(INDEX(Data_Dictionary!$G$4:$G$16,MATCH(E66,Data_Dictionary!$F$4:$F$16,0)),"Unassigned"))</f>
        <v>Sindh</v>
      </c>
      <c r="E66" s="9" t="str">
        <f aca="false">IF(TRIM(Raw_Data!E66)="","Unknown",PROPER(TRIM(Raw_Data!E66)))</f>
        <v>Sukkur</v>
      </c>
      <c r="F66" s="9" t="str">
        <f aca="false">IFERROR(INDEX({"Electronics","Home &amp; Kitchen","Clothing","Groceries","Beauty"},MATCH(UPPER(LEFT(TRIM(Raw_Data!F66),3)),{"ELE","HOM","CLO","GRO","BEA"},0)),"Uncategorised")</f>
        <v>Groceries</v>
      </c>
      <c r="G66" s="9" t="str">
        <f aca="false">IF(TRIM(Raw_Data!G66)="","Unknown",PROPER(TRIM(Raw_Data!G66)))</f>
        <v>Black Tea Pack</v>
      </c>
      <c r="H66" s="11" t="n">
        <f aca="false">IFERROR(ABS(VALUE(TRIM(Raw_Data!H66))),"")</f>
        <v>5</v>
      </c>
      <c r="I66" s="12" t="n">
        <f aca="false">IFERROR(VALUE(TRIM(SUBSTITUTE(SUBSTITUTE(SUBSTITUTE(SUBSTITUTE(TRIM(Raw_Data!I66),"PKR",""),"Rs.",""),"Rs",""),",",""))),"")</f>
        <v>1500</v>
      </c>
      <c r="J66" s="13" t="n">
        <f aca="false">IFERROR(IF(TRIM(Raw_Data!J66)="",0,IF(VALUE(TRIM(Raw_Data!J66))&gt;1,VALUE(TRIM(Raw_Data!J66))/100,VALUE(TRIM(Raw_Data!J66)))),0)</f>
        <v>0</v>
      </c>
      <c r="K66" s="9" t="str">
        <f aca="false">IF(TRIM(Raw_Data!K66)="","Unassigned",PROPER(TRIM(Raw_Data!K66)))</f>
        <v>Waqar Ahmed</v>
      </c>
      <c r="L66" s="9" t="str">
        <f aca="false">IFERROR(INDEX({"Credit Card","Credit Card","Debit Card","Debit Card","Cash","PayPal"},MATCH(UPPER(LEFT(TRIM(Raw_Data!L66),2)),{"CR","CC","DE","DC","CA","PA"},0)),"Other")</f>
        <v>Credit Card</v>
      </c>
      <c r="M66" s="9" t="str">
        <f aca="false">IFERROR(INDEX({"Completed","Returned","Cancelled","Pending"},MATCH(UPPER(LEFT(TRIM(Raw_Data!M66),3)),{"COM","RET","CAN","PEN"},0)),"Unknown")</f>
        <v>Completed</v>
      </c>
      <c r="N66" s="14" t="n">
        <f aca="false">IF(OR(H66="",I66=""),"",H66*I66)</f>
        <v>7500</v>
      </c>
      <c r="O66" s="14" t="n">
        <f aca="false">IF(N66="","",N66*J66)</f>
        <v>0</v>
      </c>
      <c r="P66" s="14" t="n">
        <f aca="false">IF(N66="","",N66-O66)</f>
        <v>7500</v>
      </c>
      <c r="Q66" s="15" t="n">
        <f aca="false">IF(B66="","",DATE(YEAR(B66),MONTH(B66),1))</f>
        <v>45839</v>
      </c>
      <c r="R66" s="16" t="str">
        <f aca="false">IF(A66="","Invalid - Exclude",IF(COUNTIF($A$2:A66,A66)&gt;1,"Duplicate - Exclude",IF(OR(B66="",H66="",I66=""),"Invalid - Exclude","Valid")))</f>
        <v>Valid</v>
      </c>
      <c r="S66" s="16" t="str">
        <f aca="false">IF(R66="Valid","",IF(R66="Duplicate - Exclude","Repeat of an earlier Order ID",IF(B66="","Date missing or unreadable",IF(H66="","Quantity missing or unreadable",IF(I66="","Unit price missing or unreadable","Order ID missing")))))</f>
        <v/>
      </c>
    </row>
    <row r="67" customFormat="false" ht="15" hidden="false" customHeight="true" outlineLevel="0" collapsed="false">
      <c r="A67" s="17" t="str">
        <f aca="false">UPPER(TRIM(Raw_Data!A67))</f>
        <v>ORD-1066</v>
      </c>
      <c r="B67" s="18" t="n">
        <f aca="false">IFERROR(IF(ISNUMBER(Raw_Data!B67),Raw_Data!B67,IF(ISNUMBER(FIND("/",Raw_Data!B67)),DATE(VALUE(RIGHT(TRIM(Raw_Data!B67),4)),VALUE(MID(TRIM(Raw_Data!B67),4,2)),VALUE(LEFT(TRIM(Raw_Data!B67),2))),IF(MID(TRIM(Raw_Data!B67),5,1)="-",DATE(VALUE(LEFT(TRIM(Raw_Data!B67),4)),VALUE(MID(TRIM(Raw_Data!B67),6,2)),VALUE(RIGHT(TRIM(Raw_Data!B67),2))),DATE(VALUE(RIGHT(TRIM(Raw_Data!B67),4)),MATCH(MID(TRIM(Raw_Data!B67),4,3),{"Jan","Feb","Mar","Apr","May","Jun","Jul","Aug","Sep","Oct","Nov","Dec"},0),VALUE(LEFT(TRIM(Raw_Data!B67),2)))))),"")</f>
        <v>46013</v>
      </c>
      <c r="C67" s="17" t="str">
        <f aca="false">IF(TRIM(Raw_Data!C67)="","Unknown",PROPER(TRIM(Raw_Data!C67)))</f>
        <v>Omar Sheikh</v>
      </c>
      <c r="D67" s="17" t="str">
        <f aca="false">IFERROR(INDEX({"Punjab","Sindh","KPK","Balochistan"},MATCH(UPPER(LEFT(TRIM(Raw_Data!D67),1)),{"P","S","K","B"},0)),IFERROR(INDEX(Data_Dictionary!$G$4:$G$16,MATCH(E67,Data_Dictionary!$F$4:$F$16,0)),"Unassigned"))</f>
        <v>Sindh</v>
      </c>
      <c r="E67" s="17" t="str">
        <f aca="false">IF(TRIM(Raw_Data!E67)="","Unknown",PROPER(TRIM(Raw_Data!E67)))</f>
        <v>Karachi</v>
      </c>
      <c r="F67" s="17" t="str">
        <f aca="false">IFERROR(INDEX({"Electronics","Home &amp; Kitchen","Clothing","Groceries","Beauty"},MATCH(UPPER(LEFT(TRIM(Raw_Data!F67),3)),{"ELE","HOM","CLO","GRO","BEA"},0)),"Uncategorised")</f>
        <v>Beauty</v>
      </c>
      <c r="G67" s="17" t="str">
        <f aca="false">IF(TRIM(Raw_Data!G67)="","Unknown",PROPER(TRIM(Raw_Data!G67)))</f>
        <v>Perfume Spray</v>
      </c>
      <c r="H67" s="19" t="n">
        <f aca="false">IFERROR(ABS(VALUE(TRIM(Raw_Data!H67))),"")</f>
        <v>1</v>
      </c>
      <c r="I67" s="20" t="n">
        <f aca="false">IFERROR(VALUE(TRIM(SUBSTITUTE(SUBSTITUTE(SUBSTITUTE(SUBSTITUTE(TRIM(Raw_Data!I67),"PKR",""),"Rs.",""),"Rs",""),",",""))),"")</f>
        <v>3950</v>
      </c>
      <c r="J67" s="21" t="n">
        <f aca="false">IFERROR(IF(TRIM(Raw_Data!J67)="",0,IF(VALUE(TRIM(Raw_Data!J67))&gt;1,VALUE(TRIM(Raw_Data!J67))/100,VALUE(TRIM(Raw_Data!J67)))),0)</f>
        <v>0</v>
      </c>
      <c r="K67" s="17" t="str">
        <f aca="false">IF(TRIM(Raw_Data!K67)="","Unassigned",PROPER(TRIM(Raw_Data!K67)))</f>
        <v>Faisal Mehmood</v>
      </c>
      <c r="L67" s="17" t="str">
        <f aca="false">IFERROR(INDEX({"Credit Card","Credit Card","Debit Card","Debit Card","Cash","PayPal"},MATCH(UPPER(LEFT(TRIM(Raw_Data!L67),2)),{"CR","CC","DE","DC","CA","PA"},0)),"Other")</f>
        <v>Debit Card</v>
      </c>
      <c r="M67" s="17" t="str">
        <f aca="false">IFERROR(INDEX({"Completed","Returned","Cancelled","Pending"},MATCH(UPPER(LEFT(TRIM(Raw_Data!M67),3)),{"COM","RET","CAN","PEN"},0)),"Unknown")</f>
        <v>Cancelled</v>
      </c>
      <c r="N67" s="20" t="n">
        <f aca="false">IF(OR(H67="",I67=""),"",H67*I67)</f>
        <v>3950</v>
      </c>
      <c r="O67" s="20" t="n">
        <f aca="false">IF(N67="","",N67*J67)</f>
        <v>0</v>
      </c>
      <c r="P67" s="20" t="n">
        <f aca="false">IF(N67="","",N67-O67)</f>
        <v>3950</v>
      </c>
      <c r="Q67" s="22" t="n">
        <f aca="false">IF(B67="","",DATE(YEAR(B67),MONTH(B67),1))</f>
        <v>45992</v>
      </c>
      <c r="R67" s="17" t="str">
        <f aca="false">IF(A67="","Invalid - Exclude",IF(COUNTIF($A$2:A67,A67)&gt;1,"Duplicate - Exclude",IF(OR(B67="",H67="",I67=""),"Invalid - Exclude","Valid")))</f>
        <v>Valid</v>
      </c>
      <c r="S67" s="17" t="str">
        <f aca="false">IF(R67="Valid","",IF(R67="Duplicate - Exclude","Repeat of an earlier Order ID",IF(B67="","Date missing or unreadable",IF(H67="","Quantity missing or unreadable",IF(I67="","Unit price missing or unreadable","Order ID missing")))))</f>
        <v/>
      </c>
    </row>
    <row r="68" customFormat="false" ht="15" hidden="false" customHeight="true" outlineLevel="0" collapsed="false">
      <c r="A68" s="9" t="str">
        <f aca="false">UPPER(TRIM(Raw_Data!A68))</f>
        <v>ORD-1067</v>
      </c>
      <c r="B68" s="10" t="n">
        <f aca="false">IFERROR(IF(ISNUMBER(Raw_Data!B68),Raw_Data!B68,IF(ISNUMBER(FIND("/",Raw_Data!B68)),DATE(VALUE(RIGHT(TRIM(Raw_Data!B68),4)),VALUE(MID(TRIM(Raw_Data!B68),4,2)),VALUE(LEFT(TRIM(Raw_Data!B68),2))),IF(MID(TRIM(Raw_Data!B68),5,1)="-",DATE(VALUE(LEFT(TRIM(Raw_Data!B68),4)),VALUE(MID(TRIM(Raw_Data!B68),6,2)),VALUE(RIGHT(TRIM(Raw_Data!B68),2))),DATE(VALUE(RIGHT(TRIM(Raw_Data!B68),4)),MATCH(MID(TRIM(Raw_Data!B68),4,3),{"Jan","Feb","Mar","Apr","May","Jun","Jul","Aug","Sep","Oct","Nov","Dec"},0),VALUE(LEFT(TRIM(Raw_Data!B68),2)))))),"")</f>
        <v>45821</v>
      </c>
      <c r="C68" s="9" t="str">
        <f aca="false">IF(TRIM(Raw_Data!C68)="","Unknown",PROPER(TRIM(Raw_Data!C68)))</f>
        <v>Kashif Malik</v>
      </c>
      <c r="D68" s="9" t="str">
        <f aca="false">IFERROR(INDEX({"Punjab","Sindh","KPK","Balochistan"},MATCH(UPPER(LEFT(TRIM(Raw_Data!D68),1)),{"P","S","K","B"},0)),IFERROR(INDEX(Data_Dictionary!$G$4:$G$16,MATCH(E68,Data_Dictionary!$F$4:$F$16,0)),"Unassigned"))</f>
        <v>Punjab</v>
      </c>
      <c r="E68" s="9" t="str">
        <f aca="false">IF(TRIM(Raw_Data!E68)="","Unknown",PROPER(TRIM(Raw_Data!E68)))</f>
        <v>Lahore</v>
      </c>
      <c r="F68" s="9" t="str">
        <f aca="false">IFERROR(INDEX({"Electronics","Home &amp; Kitchen","Clothing","Groceries","Beauty"},MATCH(UPPER(LEFT(TRIM(Raw_Data!F68),3)),{"ELE","HOM","CLO","GRO","BEA"},0)),"Uncategorised")</f>
        <v>Electronics</v>
      </c>
      <c r="G68" s="9" t="str">
        <f aca="false">IF(TRIM(Raw_Data!G68)="","Unknown",PROPER(TRIM(Raw_Data!G68)))</f>
        <v>Smart Watch</v>
      </c>
      <c r="H68" s="11" t="n">
        <f aca="false">IFERROR(ABS(VALUE(TRIM(Raw_Data!H68))),"")</f>
        <v>5</v>
      </c>
      <c r="I68" s="12" t="n">
        <f aca="false">IFERROR(VALUE(TRIM(SUBSTITUTE(SUBSTITUTE(SUBSTITUTE(SUBSTITUTE(TRIM(Raw_Data!I68),"PKR",""),"Rs.",""),"Rs",""),",",""))),"")</f>
        <v>9500</v>
      </c>
      <c r="J68" s="13" t="n">
        <f aca="false">IFERROR(IF(TRIM(Raw_Data!J68)="",0,IF(VALUE(TRIM(Raw_Data!J68))&gt;1,VALUE(TRIM(Raw_Data!J68))/100,VALUE(TRIM(Raw_Data!J68)))),0)</f>
        <v>0.15</v>
      </c>
      <c r="K68" s="9" t="str">
        <f aca="false">IF(TRIM(Raw_Data!K68)="","Unassigned",PROPER(TRIM(Raw_Data!K68)))</f>
        <v>Waqar Ahmed</v>
      </c>
      <c r="L68" s="9" t="str">
        <f aca="false">IFERROR(INDEX({"Credit Card","Credit Card","Debit Card","Debit Card","Cash","PayPal"},MATCH(UPPER(LEFT(TRIM(Raw_Data!L68),2)),{"CR","CC","DE","DC","CA","PA"},0)),"Other")</f>
        <v>PayPal</v>
      </c>
      <c r="M68" s="9" t="str">
        <f aca="false">IFERROR(INDEX({"Completed","Returned","Cancelled","Pending"},MATCH(UPPER(LEFT(TRIM(Raw_Data!M68),3)),{"COM","RET","CAN","PEN"},0)),"Unknown")</f>
        <v>Completed</v>
      </c>
      <c r="N68" s="14" t="n">
        <f aca="false">IF(OR(H68="",I68=""),"",H68*I68)</f>
        <v>47500</v>
      </c>
      <c r="O68" s="14" t="n">
        <f aca="false">IF(N68="","",N68*J68)</f>
        <v>7125</v>
      </c>
      <c r="P68" s="14" t="n">
        <f aca="false">IF(N68="","",N68-O68)</f>
        <v>40375</v>
      </c>
      <c r="Q68" s="15" t="n">
        <f aca="false">IF(B68="","",DATE(YEAR(B68),MONTH(B68),1))</f>
        <v>45809</v>
      </c>
      <c r="R68" s="16" t="str">
        <f aca="false">IF(A68="","Invalid - Exclude",IF(COUNTIF($A$2:A68,A68)&gt;1,"Duplicate - Exclude",IF(OR(B68="",H68="",I68=""),"Invalid - Exclude","Valid")))</f>
        <v>Valid</v>
      </c>
      <c r="S68" s="16" t="str">
        <f aca="false">IF(R68="Valid","",IF(R68="Duplicate - Exclude","Repeat of an earlier Order ID",IF(B68="","Date missing or unreadable",IF(H68="","Quantity missing or unreadable",IF(I68="","Unit price missing or unreadable","Order ID missing")))))</f>
        <v/>
      </c>
    </row>
    <row r="69" customFormat="false" ht="15" hidden="false" customHeight="true" outlineLevel="0" collapsed="false">
      <c r="A69" s="17" t="str">
        <f aca="false">UPPER(TRIM(Raw_Data!A69))</f>
        <v>ORD-1068</v>
      </c>
      <c r="B69" s="18" t="n">
        <f aca="false">IFERROR(IF(ISNUMBER(Raw_Data!B69),Raw_Data!B69,IF(ISNUMBER(FIND("/",Raw_Data!B69)),DATE(VALUE(RIGHT(TRIM(Raw_Data!B69),4)),VALUE(MID(TRIM(Raw_Data!B69),4,2)),VALUE(LEFT(TRIM(Raw_Data!B69),2))),IF(MID(TRIM(Raw_Data!B69),5,1)="-",DATE(VALUE(LEFT(TRIM(Raw_Data!B69),4)),VALUE(MID(TRIM(Raw_Data!B69),6,2)),VALUE(RIGHT(TRIM(Raw_Data!B69),2))),DATE(VALUE(RIGHT(TRIM(Raw_Data!B69),4)),MATCH(MID(TRIM(Raw_Data!B69),4,3),{"Jan","Feb","Mar","Apr","May","Jun","Jul","Aug","Sep","Oct","Nov","Dec"},0),VALUE(LEFT(TRIM(Raw_Data!B69),2)))))),"")</f>
        <v>45718</v>
      </c>
      <c r="C69" s="17" t="str">
        <f aca="false">IF(TRIM(Raw_Data!C69)="","Unknown",PROPER(TRIM(Raw_Data!C69)))</f>
        <v>Sana Raza</v>
      </c>
      <c r="D69" s="17" t="str">
        <f aca="false">IFERROR(INDEX({"Punjab","Sindh","KPK","Balochistan"},MATCH(UPPER(LEFT(TRIM(Raw_Data!D69),1)),{"P","S","K","B"},0)),IFERROR(INDEX(Data_Dictionary!$G$4:$G$16,MATCH(E69,Data_Dictionary!$F$4:$F$16,0)),"Unassigned"))</f>
        <v>Punjab</v>
      </c>
      <c r="E69" s="17" t="str">
        <f aca="false">IF(TRIM(Raw_Data!E69)="","Unknown",PROPER(TRIM(Raw_Data!E69)))</f>
        <v>Rawalpindi</v>
      </c>
      <c r="F69" s="17" t="str">
        <f aca="false">IFERROR(INDEX({"Electronics","Home &amp; Kitchen","Clothing","Groceries","Beauty"},MATCH(UPPER(LEFT(TRIM(Raw_Data!F69),3)),{"ELE","HOM","CLO","GRO","BEA"},0)),"Uncategorised")</f>
        <v>Home &amp; Kitchen</v>
      </c>
      <c r="G69" s="17" t="str">
        <f aca="false">IF(TRIM(Raw_Data!G69)="","Unknown",PROPER(TRIM(Raw_Data!G69)))</f>
        <v>Bedsheet Set</v>
      </c>
      <c r="H69" s="19" t="n">
        <f aca="false">IFERROR(ABS(VALUE(TRIM(Raw_Data!H69))),"")</f>
        <v>1</v>
      </c>
      <c r="I69" s="20" t="n">
        <f aca="false">IFERROR(VALUE(TRIM(SUBSTITUTE(SUBSTITUTE(SUBSTITUTE(SUBSTITUTE(TRIM(Raw_Data!I69),"PKR",""),"Rs.",""),"Rs",""),",",""))),"")</f>
        <v>5250</v>
      </c>
      <c r="J69" s="21" t="n">
        <f aca="false">IFERROR(IF(TRIM(Raw_Data!J69)="",0,IF(VALUE(TRIM(Raw_Data!J69))&gt;1,VALUE(TRIM(Raw_Data!J69))/100,VALUE(TRIM(Raw_Data!J69)))),0)</f>
        <v>0.05</v>
      </c>
      <c r="K69" s="17" t="str">
        <f aca="false">IF(TRIM(Raw_Data!K69)="","Unassigned",PROPER(TRIM(Raw_Data!K69)))</f>
        <v>Zoya Tariq</v>
      </c>
      <c r="L69" s="17" t="str">
        <f aca="false">IFERROR(INDEX({"Credit Card","Credit Card","Debit Card","Debit Card","Cash","PayPal"},MATCH(UPPER(LEFT(TRIM(Raw_Data!L69),2)),{"CR","CC","DE","DC","CA","PA"},0)),"Other")</f>
        <v>Debit Card</v>
      </c>
      <c r="M69" s="17" t="str">
        <f aca="false">IFERROR(INDEX({"Completed","Returned","Cancelled","Pending"},MATCH(UPPER(LEFT(TRIM(Raw_Data!M69),3)),{"COM","RET","CAN","PEN"},0)),"Unknown")</f>
        <v>Completed</v>
      </c>
      <c r="N69" s="20" t="n">
        <f aca="false">IF(OR(H69="",I69=""),"",H69*I69)</f>
        <v>5250</v>
      </c>
      <c r="O69" s="20" t="n">
        <f aca="false">IF(N69="","",N69*J69)</f>
        <v>262.5</v>
      </c>
      <c r="P69" s="20" t="n">
        <f aca="false">IF(N69="","",N69-O69)</f>
        <v>4987.5</v>
      </c>
      <c r="Q69" s="22" t="n">
        <f aca="false">IF(B69="","",DATE(YEAR(B69),MONTH(B69),1))</f>
        <v>45717</v>
      </c>
      <c r="R69" s="17" t="str">
        <f aca="false">IF(A69="","Invalid - Exclude",IF(COUNTIF($A$2:A69,A69)&gt;1,"Duplicate - Exclude",IF(OR(B69="",H69="",I69=""),"Invalid - Exclude","Valid")))</f>
        <v>Valid</v>
      </c>
      <c r="S69" s="17" t="str">
        <f aca="false">IF(R69="Valid","",IF(R69="Duplicate - Exclude","Repeat of an earlier Order ID",IF(B69="","Date missing or unreadable",IF(H69="","Quantity missing or unreadable",IF(I69="","Unit price missing or unreadable","Order ID missing")))))</f>
        <v/>
      </c>
    </row>
    <row r="70" customFormat="false" ht="15" hidden="false" customHeight="true" outlineLevel="0" collapsed="false">
      <c r="A70" s="9" t="str">
        <f aca="false">UPPER(TRIM(Raw_Data!A70))</f>
        <v>ORD-1069</v>
      </c>
      <c r="B70" s="10" t="n">
        <f aca="false">IFERROR(IF(ISNUMBER(Raw_Data!B70),Raw_Data!B70,IF(ISNUMBER(FIND("/",Raw_Data!B70)),DATE(VALUE(RIGHT(TRIM(Raw_Data!B70),4)),VALUE(MID(TRIM(Raw_Data!B70),4,2)),VALUE(LEFT(TRIM(Raw_Data!B70),2))),IF(MID(TRIM(Raw_Data!B70),5,1)="-",DATE(VALUE(LEFT(TRIM(Raw_Data!B70),4)),VALUE(MID(TRIM(Raw_Data!B70),6,2)),VALUE(RIGHT(TRIM(Raw_Data!B70),2))),DATE(VALUE(RIGHT(TRIM(Raw_Data!B70),4)),MATCH(MID(TRIM(Raw_Data!B70),4,3),{"Jan","Feb","Mar","Apr","May","Jun","Jul","Aug","Sep","Oct","Nov","Dec"},0),VALUE(LEFT(TRIM(Raw_Data!B70),2)))))),"")</f>
        <v>45686</v>
      </c>
      <c r="C70" s="9" t="str">
        <f aca="false">IF(TRIM(Raw_Data!C70)="","Unknown",PROPER(TRIM(Raw_Data!C70)))</f>
        <v>Unknown</v>
      </c>
      <c r="D70" s="9" t="str">
        <f aca="false">IFERROR(INDEX({"Punjab","Sindh","KPK","Balochistan"},MATCH(UPPER(LEFT(TRIM(Raw_Data!D70),1)),{"P","S","K","B"},0)),IFERROR(INDEX(Data_Dictionary!$G$4:$G$16,MATCH(E70,Data_Dictionary!$F$4:$F$16,0)),"Unassigned"))</f>
        <v>Sindh</v>
      </c>
      <c r="E70" s="9" t="str">
        <f aca="false">IF(TRIM(Raw_Data!E70)="","Unknown",PROPER(TRIM(Raw_Data!E70)))</f>
        <v>Karachi</v>
      </c>
      <c r="F70" s="9" t="str">
        <f aca="false">IFERROR(INDEX({"Electronics","Home &amp; Kitchen","Clothing","Groceries","Beauty"},MATCH(UPPER(LEFT(TRIM(Raw_Data!F70),3)),{"ELE","HOM","CLO","GRO","BEA"},0)),"Uncategorised")</f>
        <v>Clothing</v>
      </c>
      <c r="G70" s="9" t="str">
        <f aca="false">IF(TRIM(Raw_Data!G70)="","Unknown",PROPER(TRIM(Raw_Data!G70)))</f>
        <v>Lawn Suit 3 Piece</v>
      </c>
      <c r="H70" s="11" t="n">
        <f aca="false">IFERROR(ABS(VALUE(TRIM(Raw_Data!H70))),"")</f>
        <v>1</v>
      </c>
      <c r="I70" s="12" t="n">
        <f aca="false">IFERROR(VALUE(TRIM(SUBSTITUTE(SUBSTITUTE(SUBSTITUTE(SUBSTITUTE(TRIM(Raw_Data!I70),"PKR",""),"Rs.",""),"Rs",""),",",""))),"")</f>
        <v>6500</v>
      </c>
      <c r="J70" s="13" t="n">
        <f aca="false">IFERROR(IF(TRIM(Raw_Data!J70)="",0,IF(VALUE(TRIM(Raw_Data!J70))&gt;1,VALUE(TRIM(Raw_Data!J70))/100,VALUE(TRIM(Raw_Data!J70)))),0)</f>
        <v>0</v>
      </c>
      <c r="K70" s="9" t="str">
        <f aca="false">IF(TRIM(Raw_Data!K70)="","Unassigned",PROPER(TRIM(Raw_Data!K70)))</f>
        <v>Zoya Tariq</v>
      </c>
      <c r="L70" s="9" t="str">
        <f aca="false">IFERROR(INDEX({"Credit Card","Credit Card","Debit Card","Debit Card","Cash","PayPal"},MATCH(UPPER(LEFT(TRIM(Raw_Data!L70),2)),{"CR","CC","DE","DC","CA","PA"},0)),"Other")</f>
        <v>Cash</v>
      </c>
      <c r="M70" s="9" t="str">
        <f aca="false">IFERROR(INDEX({"Completed","Returned","Cancelled","Pending"},MATCH(UPPER(LEFT(TRIM(Raw_Data!M70),3)),{"COM","RET","CAN","PEN"},0)),"Unknown")</f>
        <v>Completed</v>
      </c>
      <c r="N70" s="14" t="n">
        <f aca="false">IF(OR(H70="",I70=""),"",H70*I70)</f>
        <v>6500</v>
      </c>
      <c r="O70" s="14" t="n">
        <f aca="false">IF(N70="","",N70*J70)</f>
        <v>0</v>
      </c>
      <c r="P70" s="14" t="n">
        <f aca="false">IF(N70="","",N70-O70)</f>
        <v>6500</v>
      </c>
      <c r="Q70" s="15" t="n">
        <f aca="false">IF(B70="","",DATE(YEAR(B70),MONTH(B70),1))</f>
        <v>45658</v>
      </c>
      <c r="R70" s="16" t="str">
        <f aca="false">IF(A70="","Invalid - Exclude",IF(COUNTIF($A$2:A70,A70)&gt;1,"Duplicate - Exclude",IF(OR(B70="",H70="",I70=""),"Invalid - Exclude","Valid")))</f>
        <v>Valid</v>
      </c>
      <c r="S70" s="16" t="str">
        <f aca="false">IF(R70="Valid","",IF(R70="Duplicate - Exclude","Repeat of an earlier Order ID",IF(B70="","Date missing or unreadable",IF(H70="","Quantity missing or unreadable",IF(I70="","Unit price missing or unreadable","Order ID missing")))))</f>
        <v/>
      </c>
    </row>
    <row r="71" customFormat="false" ht="15" hidden="false" customHeight="true" outlineLevel="0" collapsed="false">
      <c r="A71" s="17" t="str">
        <f aca="false">UPPER(TRIM(Raw_Data!A71))</f>
        <v>ORD-1070</v>
      </c>
      <c r="B71" s="18" t="n">
        <f aca="false">IFERROR(IF(ISNUMBER(Raw_Data!B71),Raw_Data!B71,IF(ISNUMBER(FIND("/",Raw_Data!B71)),DATE(VALUE(RIGHT(TRIM(Raw_Data!B71),4)),VALUE(MID(TRIM(Raw_Data!B71),4,2)),VALUE(LEFT(TRIM(Raw_Data!B71),2))),IF(MID(TRIM(Raw_Data!B71),5,1)="-",DATE(VALUE(LEFT(TRIM(Raw_Data!B71),4)),VALUE(MID(TRIM(Raw_Data!B71),6,2)),VALUE(RIGHT(TRIM(Raw_Data!B71),2))),DATE(VALUE(RIGHT(TRIM(Raw_Data!B71),4)),MATCH(MID(TRIM(Raw_Data!B71),4,3),{"Jan","Feb","Mar","Apr","May","Jun","Jul","Aug","Sep","Oct","Nov","Dec"},0),VALUE(LEFT(TRIM(Raw_Data!B71),2)))))),"")</f>
        <v>45913</v>
      </c>
      <c r="C71" s="17" t="str">
        <f aca="false">IF(TRIM(Raw_Data!C71)="","Unknown",PROPER(TRIM(Raw_Data!C71)))</f>
        <v>Hassan Siddiqui</v>
      </c>
      <c r="D71" s="17" t="str">
        <f aca="false">IFERROR(INDEX({"Punjab","Sindh","KPK","Balochistan"},MATCH(UPPER(LEFT(TRIM(Raw_Data!D71),1)),{"P","S","K","B"},0)),IFERROR(INDEX(Data_Dictionary!$G$4:$G$16,MATCH(E71,Data_Dictionary!$F$4:$F$16,0)),"Unassigned"))</f>
        <v>Sindh</v>
      </c>
      <c r="E71" s="17" t="str">
        <f aca="false">IF(TRIM(Raw_Data!E71)="","Unknown",PROPER(TRIM(Raw_Data!E71)))</f>
        <v>Hyderabad</v>
      </c>
      <c r="F71" s="17" t="str">
        <f aca="false">IFERROR(INDEX({"Electronics","Home &amp; Kitchen","Clothing","Groceries","Beauty"},MATCH(UPPER(LEFT(TRIM(Raw_Data!F71),3)),{"ELE","HOM","CLO","GRO","BEA"},0)),"Uncategorised")</f>
        <v>Groceries</v>
      </c>
      <c r="G71" s="17" t="str">
        <f aca="false">IF(TRIM(Raw_Data!G71)="","Unknown",PROPER(TRIM(Raw_Data!G71)))</f>
        <v>Black Tea Pack</v>
      </c>
      <c r="H71" s="19" t="str">
        <f aca="false">IFERROR(ABS(VALUE(TRIM(Raw_Data!H71))),"")</f>
        <v/>
      </c>
      <c r="I71" s="20" t="n">
        <f aca="false">IFERROR(VALUE(TRIM(SUBSTITUTE(SUBSTITUTE(SUBSTITUTE(SUBSTITUTE(TRIM(Raw_Data!I71),"PKR",""),"Rs.",""),"Rs",""),",",""))),"")</f>
        <v>1550</v>
      </c>
      <c r="J71" s="21" t="n">
        <f aca="false">IFERROR(IF(TRIM(Raw_Data!J71)="",0,IF(VALUE(TRIM(Raw_Data!J71))&gt;1,VALUE(TRIM(Raw_Data!J71))/100,VALUE(TRIM(Raw_Data!J71)))),0)</f>
        <v>0</v>
      </c>
      <c r="K71" s="17" t="str">
        <f aca="false">IF(TRIM(Raw_Data!K71)="","Unassigned",PROPER(TRIM(Raw_Data!K71)))</f>
        <v>Nimra Aslam</v>
      </c>
      <c r="L71" s="17" t="str">
        <f aca="false">IFERROR(INDEX({"Credit Card","Credit Card","Debit Card","Debit Card","Cash","PayPal"},MATCH(UPPER(LEFT(TRIM(Raw_Data!L71),2)),{"CR","CC","DE","DC","CA","PA"},0)),"Other")</f>
        <v>Cash</v>
      </c>
      <c r="M71" s="17" t="str">
        <f aca="false">IFERROR(INDEX({"Completed","Returned","Cancelled","Pending"},MATCH(UPPER(LEFT(TRIM(Raw_Data!M71),3)),{"COM","RET","CAN","PEN"},0)),"Unknown")</f>
        <v>Returned</v>
      </c>
      <c r="N71" s="20" t="str">
        <f aca="false">IF(OR(H71="",I71=""),"",H71*I71)</f>
        <v/>
      </c>
      <c r="O71" s="20" t="str">
        <f aca="false">IF(N71="","",N71*J71)</f>
        <v/>
      </c>
      <c r="P71" s="20" t="str">
        <f aca="false">IF(N71="","",N71-O71)</f>
        <v/>
      </c>
      <c r="Q71" s="22" t="n">
        <f aca="false">IF(B71="","",DATE(YEAR(B71),MONTH(B71),1))</f>
        <v>45901</v>
      </c>
      <c r="R71" s="17" t="str">
        <f aca="false">IF(A71="","Invalid - Exclude",IF(COUNTIF($A$2:A71,A71)&gt;1,"Duplicate - Exclude",IF(OR(B71="",H71="",I71=""),"Invalid - Exclude","Valid")))</f>
        <v>Invalid - Exclude</v>
      </c>
      <c r="S71" s="17" t="str">
        <f aca="false">IF(R71="Valid","",IF(R71="Duplicate - Exclude","Repeat of an earlier Order ID",IF(B71="","Date missing or unreadable",IF(H71="","Quantity missing or unreadable",IF(I71="","Unit price missing or unreadable","Order ID missing")))))</f>
        <v>Quantity missing or unreadable</v>
      </c>
    </row>
    <row r="72" customFormat="false" ht="15" hidden="false" customHeight="true" outlineLevel="0" collapsed="false">
      <c r="A72" s="9" t="str">
        <f aca="false">UPPER(TRIM(Raw_Data!A72))</f>
        <v>ORD-1071</v>
      </c>
      <c r="B72" s="10" t="n">
        <f aca="false">IFERROR(IF(ISNUMBER(Raw_Data!B72),Raw_Data!B72,IF(ISNUMBER(FIND("/",Raw_Data!B72)),DATE(VALUE(RIGHT(TRIM(Raw_Data!B72),4)),VALUE(MID(TRIM(Raw_Data!B72),4,2)),VALUE(LEFT(TRIM(Raw_Data!B72),2))),IF(MID(TRIM(Raw_Data!B72),5,1)="-",DATE(VALUE(LEFT(TRIM(Raw_Data!B72),4)),VALUE(MID(TRIM(Raw_Data!B72),6,2)),VALUE(RIGHT(TRIM(Raw_Data!B72),2))),DATE(VALUE(RIGHT(TRIM(Raw_Data!B72),4)),MATCH(MID(TRIM(Raw_Data!B72),4,3),{"Jan","Feb","Mar","Apr","May","Jun","Jul","Aug","Sep","Oct","Nov","Dec"},0),VALUE(LEFT(TRIM(Raw_Data!B72),2)))))),"")</f>
        <v>45881</v>
      </c>
      <c r="C72" s="9" t="str">
        <f aca="false">IF(TRIM(Raw_Data!C72)="","Unknown",PROPER(TRIM(Raw_Data!C72)))</f>
        <v>Tariq Siddiqui</v>
      </c>
      <c r="D72" s="9" t="str">
        <f aca="false">IFERROR(INDEX({"Punjab","Sindh","KPK","Balochistan"},MATCH(UPPER(LEFT(TRIM(Raw_Data!D72),1)),{"P","S","K","B"},0)),IFERROR(INDEX(Data_Dictionary!$G$4:$G$16,MATCH(E72,Data_Dictionary!$F$4:$F$16,0)),"Unassigned"))</f>
        <v>Punjab</v>
      </c>
      <c r="E72" s="9" t="str">
        <f aca="false">IF(TRIM(Raw_Data!E72)="","Unknown",PROPER(TRIM(Raw_Data!E72)))</f>
        <v>Lahore</v>
      </c>
      <c r="F72" s="9" t="str">
        <f aca="false">IFERROR(INDEX({"Electronics","Home &amp; Kitchen","Clothing","Groceries","Beauty"},MATCH(UPPER(LEFT(TRIM(Raw_Data!F72),3)),{"ELE","HOM","CLO","GRO","BEA"},0)),"Uncategorised")</f>
        <v>Beauty</v>
      </c>
      <c r="G72" s="9" t="str">
        <f aca="false">IF(TRIM(Raw_Data!G72)="","Unknown",PROPER(TRIM(Raw_Data!G72)))</f>
        <v>Face Wash</v>
      </c>
      <c r="H72" s="11" t="n">
        <f aca="false">IFERROR(ABS(VALUE(TRIM(Raw_Data!H72))),"")</f>
        <v>8</v>
      </c>
      <c r="I72" s="12" t="n">
        <f aca="false">IFERROR(VALUE(TRIM(SUBSTITUTE(SUBSTITUTE(SUBSTITUTE(SUBSTITUTE(TRIM(Raw_Data!I72),"PKR",""),"Rs.",""),"Rs",""),",",""))),"")</f>
        <v>850</v>
      </c>
      <c r="J72" s="13" t="n">
        <f aca="false">IFERROR(IF(TRIM(Raw_Data!J72)="",0,IF(VALUE(TRIM(Raw_Data!J72))&gt;1,VALUE(TRIM(Raw_Data!J72))/100,VALUE(TRIM(Raw_Data!J72)))),0)</f>
        <v>0.05</v>
      </c>
      <c r="K72" s="9" t="str">
        <f aca="false">IF(TRIM(Raw_Data!K72)="","Unassigned",PROPER(TRIM(Raw_Data!K72)))</f>
        <v>Waqar Ahmed</v>
      </c>
      <c r="L72" s="9" t="str">
        <f aca="false">IFERROR(INDEX({"Credit Card","Credit Card","Debit Card","Debit Card","Cash","PayPal"},MATCH(UPPER(LEFT(TRIM(Raw_Data!L72),2)),{"CR","CC","DE","DC","CA","PA"},0)),"Other")</f>
        <v>Credit Card</v>
      </c>
      <c r="M72" s="9" t="str">
        <f aca="false">IFERROR(INDEX({"Completed","Returned","Cancelled","Pending"},MATCH(UPPER(LEFT(TRIM(Raw_Data!M72),3)),{"COM","RET","CAN","PEN"},0)),"Unknown")</f>
        <v>Returned</v>
      </c>
      <c r="N72" s="14" t="n">
        <f aca="false">IF(OR(H72="",I72=""),"",H72*I72)</f>
        <v>6800</v>
      </c>
      <c r="O72" s="14" t="n">
        <f aca="false">IF(N72="","",N72*J72)</f>
        <v>340</v>
      </c>
      <c r="P72" s="14" t="n">
        <f aca="false">IF(N72="","",N72-O72)</f>
        <v>6460</v>
      </c>
      <c r="Q72" s="15" t="n">
        <f aca="false">IF(B72="","",DATE(YEAR(B72),MONTH(B72),1))</f>
        <v>45870</v>
      </c>
      <c r="R72" s="16" t="str">
        <f aca="false">IF(A72="","Invalid - Exclude",IF(COUNTIF($A$2:A72,A72)&gt;1,"Duplicate - Exclude",IF(OR(B72="",H72="",I72=""),"Invalid - Exclude","Valid")))</f>
        <v>Valid</v>
      </c>
      <c r="S72" s="16" t="str">
        <f aca="false">IF(R72="Valid","",IF(R72="Duplicate - Exclude","Repeat of an earlier Order ID",IF(B72="","Date missing or unreadable",IF(H72="","Quantity missing or unreadable",IF(I72="","Unit price missing or unreadable","Order ID missing")))))</f>
        <v/>
      </c>
    </row>
    <row r="73" customFormat="false" ht="15" hidden="false" customHeight="true" outlineLevel="0" collapsed="false">
      <c r="A73" s="17" t="str">
        <f aca="false">UPPER(TRIM(Raw_Data!A73))</f>
        <v>ORD-1072</v>
      </c>
      <c r="B73" s="18" t="n">
        <f aca="false">IFERROR(IF(ISNUMBER(Raw_Data!B73),Raw_Data!B73,IF(ISNUMBER(FIND("/",Raw_Data!B73)),DATE(VALUE(RIGHT(TRIM(Raw_Data!B73),4)),VALUE(MID(TRIM(Raw_Data!B73),4,2)),VALUE(LEFT(TRIM(Raw_Data!B73),2))),IF(MID(TRIM(Raw_Data!B73),5,1)="-",DATE(VALUE(LEFT(TRIM(Raw_Data!B73),4)),VALUE(MID(TRIM(Raw_Data!B73),6,2)),VALUE(RIGHT(TRIM(Raw_Data!B73),2))),DATE(VALUE(RIGHT(TRIM(Raw_Data!B73),4)),MATCH(MID(TRIM(Raw_Data!B73),4,3),{"Jan","Feb","Mar","Apr","May","Jun","Jul","Aug","Sep","Oct","Nov","Dec"},0),VALUE(LEFT(TRIM(Raw_Data!B73),2)))))),"")</f>
        <v>45967</v>
      </c>
      <c r="C73" s="17" t="str">
        <f aca="false">IF(TRIM(Raw_Data!C73)="","Unknown",PROPER(TRIM(Raw_Data!C73)))</f>
        <v>Hina Siddiqui</v>
      </c>
      <c r="D73" s="17" t="str">
        <f aca="false">IFERROR(INDEX({"Punjab","Sindh","KPK","Balochistan"},MATCH(UPPER(LEFT(TRIM(Raw_Data!D73),1)),{"P","S","K","B"},0)),IFERROR(INDEX(Data_Dictionary!$G$4:$G$16,MATCH(E73,Data_Dictionary!$F$4:$F$16,0)),"Unassigned"))</f>
        <v>Punjab</v>
      </c>
      <c r="E73" s="17" t="str">
        <f aca="false">IF(TRIM(Raw_Data!E73)="","Unknown",PROPER(TRIM(Raw_Data!E73)))</f>
        <v>Multan</v>
      </c>
      <c r="F73" s="17" t="str">
        <f aca="false">IFERROR(INDEX({"Electronics","Home &amp; Kitchen","Clothing","Groceries","Beauty"},MATCH(UPPER(LEFT(TRIM(Raw_Data!F73),3)),{"ELE","HOM","CLO","GRO","BEA"},0)),"Uncategorised")</f>
        <v>Clothing</v>
      </c>
      <c r="G73" s="17" t="str">
        <f aca="false">IF(TRIM(Raw_Data!G73)="","Unknown",PROPER(TRIM(Raw_Data!G73)))</f>
        <v>Running Shoes</v>
      </c>
      <c r="H73" s="19" t="n">
        <f aca="false">IFERROR(ABS(VALUE(TRIM(Raw_Data!H73))),"")</f>
        <v>5</v>
      </c>
      <c r="I73" s="20" t="n">
        <f aca="false">IFERROR(VALUE(TRIM(SUBSTITUTE(SUBSTITUTE(SUBSTITUTE(SUBSTITUTE(TRIM(Raw_Data!I73),"PKR",""),"Rs.",""),"Rs",""),",",""))),"")</f>
        <v>7750</v>
      </c>
      <c r="J73" s="21" t="n">
        <f aca="false">IFERROR(IF(TRIM(Raw_Data!J73)="",0,IF(VALUE(TRIM(Raw_Data!J73))&gt;1,VALUE(TRIM(Raw_Data!J73))/100,VALUE(TRIM(Raw_Data!J73)))),0)</f>
        <v>0</v>
      </c>
      <c r="K73" s="17" t="str">
        <f aca="false">IF(TRIM(Raw_Data!K73)="","Unassigned",PROPER(TRIM(Raw_Data!K73)))</f>
        <v>Nimra Aslam</v>
      </c>
      <c r="L73" s="17" t="str">
        <f aca="false">IFERROR(INDEX({"Credit Card","Credit Card","Debit Card","Debit Card","Cash","PayPal"},MATCH(UPPER(LEFT(TRIM(Raw_Data!L73),2)),{"CR","CC","DE","DC","CA","PA"},0)),"Other")</f>
        <v>Cash</v>
      </c>
      <c r="M73" s="17" t="str">
        <f aca="false">IFERROR(INDEX({"Completed","Returned","Cancelled","Pending"},MATCH(UPPER(LEFT(TRIM(Raw_Data!M73),3)),{"COM","RET","CAN","PEN"},0)),"Unknown")</f>
        <v>Cancelled</v>
      </c>
      <c r="N73" s="20" t="n">
        <f aca="false">IF(OR(H73="",I73=""),"",H73*I73)</f>
        <v>38750</v>
      </c>
      <c r="O73" s="20" t="n">
        <f aca="false">IF(N73="","",N73*J73)</f>
        <v>0</v>
      </c>
      <c r="P73" s="20" t="n">
        <f aca="false">IF(N73="","",N73-O73)</f>
        <v>38750</v>
      </c>
      <c r="Q73" s="22" t="n">
        <f aca="false">IF(B73="","",DATE(YEAR(B73),MONTH(B73),1))</f>
        <v>45962</v>
      </c>
      <c r="R73" s="17" t="str">
        <f aca="false">IF(A73="","Invalid - Exclude",IF(COUNTIF($A$2:A73,A73)&gt;1,"Duplicate - Exclude",IF(OR(B73="",H73="",I73=""),"Invalid - Exclude","Valid")))</f>
        <v>Valid</v>
      </c>
      <c r="S73" s="17" t="str">
        <f aca="false">IF(R73="Valid","",IF(R73="Duplicate - Exclude","Repeat of an earlier Order ID",IF(B73="","Date missing or unreadable",IF(H73="","Quantity missing or unreadable",IF(I73="","Unit price missing or unreadable","Order ID missing")))))</f>
        <v/>
      </c>
    </row>
    <row r="74" customFormat="false" ht="15" hidden="false" customHeight="true" outlineLevel="0" collapsed="false">
      <c r="A74" s="9" t="str">
        <f aca="false">UPPER(TRIM(Raw_Data!A74))</f>
        <v>ORD-1073</v>
      </c>
      <c r="B74" s="10" t="n">
        <f aca="false">IFERROR(IF(ISNUMBER(Raw_Data!B74),Raw_Data!B74,IF(ISNUMBER(FIND("/",Raw_Data!B74)),DATE(VALUE(RIGHT(TRIM(Raw_Data!B74),4)),VALUE(MID(TRIM(Raw_Data!B74),4,2)),VALUE(LEFT(TRIM(Raw_Data!B74),2))),IF(MID(TRIM(Raw_Data!B74),5,1)="-",DATE(VALUE(LEFT(TRIM(Raw_Data!B74),4)),VALUE(MID(TRIM(Raw_Data!B74),6,2)),VALUE(RIGHT(TRIM(Raw_Data!B74),2))),DATE(VALUE(RIGHT(TRIM(Raw_Data!B74),4)),MATCH(MID(TRIM(Raw_Data!B74),4,3),{"Jan","Feb","Mar","Apr","May","Jun","Jul","Aug","Sep","Oct","Nov","Dec"},0),VALUE(LEFT(TRIM(Raw_Data!B74),2)))))),"")</f>
        <v>45734</v>
      </c>
      <c r="C74" s="9" t="str">
        <f aca="false">IF(TRIM(Raw_Data!C74)="","Unknown",PROPER(TRIM(Raw_Data!C74)))</f>
        <v>Kashif Khan</v>
      </c>
      <c r="D74" s="9" t="str">
        <f aca="false">IFERROR(INDEX({"Punjab","Sindh","KPK","Balochistan"},MATCH(UPPER(LEFT(TRIM(Raw_Data!D74),1)),{"P","S","K","B"},0)),IFERROR(INDEX(Data_Dictionary!$G$4:$G$16,MATCH(E74,Data_Dictionary!$F$4:$F$16,0)),"Unassigned"))</f>
        <v>Sindh</v>
      </c>
      <c r="E74" s="9" t="str">
        <f aca="false">IF(TRIM(Raw_Data!E74)="","Unknown",PROPER(TRIM(Raw_Data!E74)))</f>
        <v>Hyderabad</v>
      </c>
      <c r="F74" s="9" t="str">
        <f aca="false">IFERROR(INDEX({"Electronics","Home &amp; Kitchen","Clothing","Groceries","Beauty"},MATCH(UPPER(LEFT(TRIM(Raw_Data!F74),3)),{"ELE","HOM","CLO","GRO","BEA"},0)),"Uncategorised")</f>
        <v>Electronics</v>
      </c>
      <c r="G74" s="9" t="str">
        <f aca="false">IF(TRIM(Raw_Data!G74)="","Unknown",PROPER(TRIM(Raw_Data!G74)))</f>
        <v>Wireless Earbuds</v>
      </c>
      <c r="H74" s="11" t="n">
        <f aca="false">IFERROR(ABS(VALUE(TRIM(Raw_Data!H74))),"")</f>
        <v>2</v>
      </c>
      <c r="I74" s="12" t="n">
        <f aca="false">IFERROR(VALUE(TRIM(SUBSTITUTE(SUBSTITUTE(SUBSTITUTE(SUBSTITUTE(TRIM(Raw_Data!I74),"PKR",""),"Rs.",""),"Rs",""),",",""))),"")</f>
        <v>6400</v>
      </c>
      <c r="J74" s="13" t="n">
        <f aca="false">IFERROR(IF(TRIM(Raw_Data!J74)="",0,IF(VALUE(TRIM(Raw_Data!J74))&gt;1,VALUE(TRIM(Raw_Data!J74))/100,VALUE(TRIM(Raw_Data!J74)))),0)</f>
        <v>0</v>
      </c>
      <c r="K74" s="9" t="str">
        <f aca="false">IF(TRIM(Raw_Data!K74)="","Unassigned",PROPER(TRIM(Raw_Data!K74)))</f>
        <v>Imran Shah</v>
      </c>
      <c r="L74" s="9" t="str">
        <f aca="false">IFERROR(INDEX({"Credit Card","Credit Card","Debit Card","Debit Card","Cash","PayPal"},MATCH(UPPER(LEFT(TRIM(Raw_Data!L74),2)),{"CR","CC","DE","DC","CA","PA"},0)),"Other")</f>
        <v>Cash</v>
      </c>
      <c r="M74" s="9" t="str">
        <f aca="false">IFERROR(INDEX({"Completed","Returned","Cancelled","Pending"},MATCH(UPPER(LEFT(TRIM(Raw_Data!M74),3)),{"COM","RET","CAN","PEN"},0)),"Unknown")</f>
        <v>Completed</v>
      </c>
      <c r="N74" s="14" t="n">
        <f aca="false">IF(OR(H74="",I74=""),"",H74*I74)</f>
        <v>12800</v>
      </c>
      <c r="O74" s="14" t="n">
        <f aca="false">IF(N74="","",N74*J74)</f>
        <v>0</v>
      </c>
      <c r="P74" s="14" t="n">
        <f aca="false">IF(N74="","",N74-O74)</f>
        <v>12800</v>
      </c>
      <c r="Q74" s="15" t="n">
        <f aca="false">IF(B74="","",DATE(YEAR(B74),MONTH(B74),1))</f>
        <v>45717</v>
      </c>
      <c r="R74" s="16" t="str">
        <f aca="false">IF(A74="","Invalid - Exclude",IF(COUNTIF($A$2:A74,A74)&gt;1,"Duplicate - Exclude",IF(OR(B74="",H74="",I74=""),"Invalid - Exclude","Valid")))</f>
        <v>Valid</v>
      </c>
      <c r="S74" s="16" t="str">
        <f aca="false">IF(R74="Valid","",IF(R74="Duplicate - Exclude","Repeat of an earlier Order ID",IF(B74="","Date missing or unreadable",IF(H74="","Quantity missing or unreadable",IF(I74="","Unit price missing or unreadable","Order ID missing")))))</f>
        <v/>
      </c>
    </row>
    <row r="75" customFormat="false" ht="15" hidden="false" customHeight="true" outlineLevel="0" collapsed="false">
      <c r="A75" s="17" t="str">
        <f aca="false">UPPER(TRIM(Raw_Data!A75))</f>
        <v>ORD-1074</v>
      </c>
      <c r="B75" s="18" t="n">
        <f aca="false">IFERROR(IF(ISNUMBER(Raw_Data!B75),Raw_Data!B75,IF(ISNUMBER(FIND("/",Raw_Data!B75)),DATE(VALUE(RIGHT(TRIM(Raw_Data!B75),4)),VALUE(MID(TRIM(Raw_Data!B75),4,2)),VALUE(LEFT(TRIM(Raw_Data!B75),2))),IF(MID(TRIM(Raw_Data!B75),5,1)="-",DATE(VALUE(LEFT(TRIM(Raw_Data!B75),4)),VALUE(MID(TRIM(Raw_Data!B75),6,2)),VALUE(RIGHT(TRIM(Raw_Data!B75),2))),DATE(VALUE(RIGHT(TRIM(Raw_Data!B75),4)),MATCH(MID(TRIM(Raw_Data!B75),4,3),{"Jan","Feb","Mar","Apr","May","Jun","Jul","Aug","Sep","Oct","Nov","Dec"},0),VALUE(LEFT(TRIM(Raw_Data!B75),2)))))),"")</f>
        <v>45971</v>
      </c>
      <c r="C75" s="17" t="str">
        <f aca="false">IF(TRIM(Raw_Data!C75)="","Unknown",PROPER(TRIM(Raw_Data!C75)))</f>
        <v>Ayesha Malik</v>
      </c>
      <c r="D75" s="17" t="str">
        <f aca="false">IFERROR(INDEX({"Punjab","Sindh","KPK","Balochistan"},MATCH(UPPER(LEFT(TRIM(Raw_Data!D75),1)),{"P","S","K","B"},0)),IFERROR(INDEX(Data_Dictionary!$G$4:$G$16,MATCH(E75,Data_Dictionary!$F$4:$F$16,0)),"Unassigned"))</f>
        <v>Punjab</v>
      </c>
      <c r="E75" s="17" t="str">
        <f aca="false">IF(TRIM(Raw_Data!E75)="","Unknown",PROPER(TRIM(Raw_Data!E75)))</f>
        <v>Lahore</v>
      </c>
      <c r="F75" s="17" t="str">
        <f aca="false">IFERROR(INDEX({"Electronics","Home &amp; Kitchen","Clothing","Groceries","Beauty"},MATCH(UPPER(LEFT(TRIM(Raw_Data!F75),3)),{"ELE","HOM","CLO","GRO","BEA"},0)),"Uncategorised")</f>
        <v>Clothing</v>
      </c>
      <c r="G75" s="17" t="str">
        <f aca="false">IF(TRIM(Raw_Data!G75)="","Unknown",PROPER(TRIM(Raw_Data!G75)))</f>
        <v>Running Shoes</v>
      </c>
      <c r="H75" s="19" t="n">
        <f aca="false">IFERROR(ABS(VALUE(TRIM(Raw_Data!H75))),"")</f>
        <v>3</v>
      </c>
      <c r="I75" s="20" t="n">
        <f aca="false">IFERROR(VALUE(TRIM(SUBSTITUTE(SUBSTITUTE(SUBSTITUTE(SUBSTITUTE(TRIM(Raw_Data!I75),"PKR",""),"Rs.",""),"Rs",""),",",""))),"")</f>
        <v>8000</v>
      </c>
      <c r="J75" s="21" t="n">
        <f aca="false">IFERROR(IF(TRIM(Raw_Data!J75)="",0,IF(VALUE(TRIM(Raw_Data!J75))&gt;1,VALUE(TRIM(Raw_Data!J75))/100,VALUE(TRIM(Raw_Data!J75)))),0)</f>
        <v>0.15</v>
      </c>
      <c r="K75" s="17" t="str">
        <f aca="false">IF(TRIM(Raw_Data!K75)="","Unassigned",PROPER(TRIM(Raw_Data!K75)))</f>
        <v>Faisal Mehmood</v>
      </c>
      <c r="L75" s="17" t="str">
        <f aca="false">IFERROR(INDEX({"Credit Card","Credit Card","Debit Card","Debit Card","Cash","PayPal"},MATCH(UPPER(LEFT(TRIM(Raw_Data!L75),2)),{"CR","CC","DE","DC","CA","PA"},0)),"Other")</f>
        <v>Debit Card</v>
      </c>
      <c r="M75" s="17" t="str">
        <f aca="false">IFERROR(INDEX({"Completed","Returned","Cancelled","Pending"},MATCH(UPPER(LEFT(TRIM(Raw_Data!M75),3)),{"COM","RET","CAN","PEN"},0)),"Unknown")</f>
        <v>Completed</v>
      </c>
      <c r="N75" s="20" t="n">
        <f aca="false">IF(OR(H75="",I75=""),"",H75*I75)</f>
        <v>24000</v>
      </c>
      <c r="O75" s="20" t="n">
        <f aca="false">IF(N75="","",N75*J75)</f>
        <v>3600</v>
      </c>
      <c r="P75" s="20" t="n">
        <f aca="false">IF(N75="","",N75-O75)</f>
        <v>20400</v>
      </c>
      <c r="Q75" s="22" t="n">
        <f aca="false">IF(B75="","",DATE(YEAR(B75),MONTH(B75),1))</f>
        <v>45962</v>
      </c>
      <c r="R75" s="17" t="str">
        <f aca="false">IF(A75="","Invalid - Exclude",IF(COUNTIF($A$2:A75,A75)&gt;1,"Duplicate - Exclude",IF(OR(B75="",H75="",I75=""),"Invalid - Exclude","Valid")))</f>
        <v>Valid</v>
      </c>
      <c r="S75" s="17" t="str">
        <f aca="false">IF(R75="Valid","",IF(R75="Duplicate - Exclude","Repeat of an earlier Order ID",IF(B75="","Date missing or unreadable",IF(H75="","Quantity missing or unreadable",IF(I75="","Unit price missing or unreadable","Order ID missing")))))</f>
        <v/>
      </c>
    </row>
    <row r="76" customFormat="false" ht="15" hidden="false" customHeight="true" outlineLevel="0" collapsed="false">
      <c r="A76" s="9" t="str">
        <f aca="false">UPPER(TRIM(Raw_Data!A76))</f>
        <v>ORD-1075</v>
      </c>
      <c r="B76" s="10" t="n">
        <f aca="false">IFERROR(IF(ISNUMBER(Raw_Data!B76),Raw_Data!B76,IF(ISNUMBER(FIND("/",Raw_Data!B76)),DATE(VALUE(RIGHT(TRIM(Raw_Data!B76),4)),VALUE(MID(TRIM(Raw_Data!B76),4,2)),VALUE(LEFT(TRIM(Raw_Data!B76),2))),IF(MID(TRIM(Raw_Data!B76),5,1)="-",DATE(VALUE(LEFT(TRIM(Raw_Data!B76),4)),VALUE(MID(TRIM(Raw_Data!B76),6,2)),VALUE(RIGHT(TRIM(Raw_Data!B76),2))),DATE(VALUE(RIGHT(TRIM(Raw_Data!B76),4)),MATCH(MID(TRIM(Raw_Data!B76),4,3),{"Jan","Feb","Mar","Apr","May","Jun","Jul","Aug","Sep","Oct","Nov","Dec"},0),VALUE(LEFT(TRIM(Raw_Data!B76),2)))))),"")</f>
        <v>45953</v>
      </c>
      <c r="C76" s="9" t="str">
        <f aca="false">IF(TRIM(Raw_Data!C76)="","Unknown",PROPER(TRIM(Raw_Data!C76)))</f>
        <v>Hina Qureshi</v>
      </c>
      <c r="D76" s="9" t="str">
        <f aca="false">IFERROR(INDEX({"Punjab","Sindh","KPK","Balochistan"},MATCH(UPPER(LEFT(TRIM(Raw_Data!D76),1)),{"P","S","K","B"},0)),IFERROR(INDEX(Data_Dictionary!$G$4:$G$16,MATCH(E76,Data_Dictionary!$F$4:$F$16,0)),"Unassigned"))</f>
        <v>Punjab</v>
      </c>
      <c r="E76" s="9" t="str">
        <f aca="false">IF(TRIM(Raw_Data!E76)="","Unknown",PROPER(TRIM(Raw_Data!E76)))</f>
        <v>Faisalabad</v>
      </c>
      <c r="F76" s="9" t="str">
        <f aca="false">IFERROR(INDEX({"Electronics","Home &amp; Kitchen","Clothing","Groceries","Beauty"},MATCH(UPPER(LEFT(TRIM(Raw_Data!F76),3)),{"ELE","HOM","CLO","GRO","BEA"},0)),"Uncategorised")</f>
        <v>Electronics</v>
      </c>
      <c r="G76" s="9" t="str">
        <f aca="false">IF(TRIM(Raw_Data!G76)="","Unknown",PROPER(TRIM(Raw_Data!G76)))</f>
        <v>Smart Television 43 Inch</v>
      </c>
      <c r="H76" s="11" t="n">
        <f aca="false">IFERROR(ABS(VALUE(TRIM(Raw_Data!H76))),"")</f>
        <v>3</v>
      </c>
      <c r="I76" s="12" t="n">
        <f aca="false">IFERROR(VALUE(TRIM(SUBSTITUTE(SUBSTITUTE(SUBSTITUTE(SUBSTITUTE(TRIM(Raw_Data!I76),"PKR",""),"Rs.",""),"Rs",""),",",""))),"")</f>
        <v>52650</v>
      </c>
      <c r="J76" s="13" t="n">
        <f aca="false">IFERROR(IF(TRIM(Raw_Data!J76)="",0,IF(VALUE(TRIM(Raw_Data!J76))&gt;1,VALUE(TRIM(Raw_Data!J76))/100,VALUE(TRIM(Raw_Data!J76)))),0)</f>
        <v>0.1</v>
      </c>
      <c r="K76" s="9" t="str">
        <f aca="false">IF(TRIM(Raw_Data!K76)="","Unassigned",PROPER(TRIM(Raw_Data!K76)))</f>
        <v>Nimra Aslam</v>
      </c>
      <c r="L76" s="9" t="str">
        <f aca="false">IFERROR(INDEX({"Credit Card","Credit Card","Debit Card","Debit Card","Cash","PayPal"},MATCH(UPPER(LEFT(TRIM(Raw_Data!L76),2)),{"CR","CC","DE","DC","CA","PA"},0)),"Other")</f>
        <v>Credit Card</v>
      </c>
      <c r="M76" s="9" t="str">
        <f aca="false">IFERROR(INDEX({"Completed","Returned","Cancelled","Pending"},MATCH(UPPER(LEFT(TRIM(Raw_Data!M76),3)),{"COM","RET","CAN","PEN"},0)),"Unknown")</f>
        <v>Completed</v>
      </c>
      <c r="N76" s="14" t="n">
        <f aca="false">IF(OR(H76="",I76=""),"",H76*I76)</f>
        <v>157950</v>
      </c>
      <c r="O76" s="14" t="n">
        <f aca="false">IF(N76="","",N76*J76)</f>
        <v>15795</v>
      </c>
      <c r="P76" s="14" t="n">
        <f aca="false">IF(N76="","",N76-O76)</f>
        <v>142155</v>
      </c>
      <c r="Q76" s="15" t="n">
        <f aca="false">IF(B76="","",DATE(YEAR(B76),MONTH(B76),1))</f>
        <v>45931</v>
      </c>
      <c r="R76" s="16" t="str">
        <f aca="false">IF(A76="","Invalid - Exclude",IF(COUNTIF($A$2:A76,A76)&gt;1,"Duplicate - Exclude",IF(OR(B76="",H76="",I76=""),"Invalid - Exclude","Valid")))</f>
        <v>Valid</v>
      </c>
      <c r="S76" s="16" t="str">
        <f aca="false">IF(R76="Valid","",IF(R76="Duplicate - Exclude","Repeat of an earlier Order ID",IF(B76="","Date missing or unreadable",IF(H76="","Quantity missing or unreadable",IF(I76="","Unit price missing or unreadable","Order ID missing")))))</f>
        <v/>
      </c>
    </row>
    <row r="77" customFormat="false" ht="15" hidden="false" customHeight="true" outlineLevel="0" collapsed="false">
      <c r="A77" s="17" t="str">
        <f aca="false">UPPER(TRIM(Raw_Data!A77))</f>
        <v>ORD-1076</v>
      </c>
      <c r="B77" s="18" t="n">
        <f aca="false">IFERROR(IF(ISNUMBER(Raw_Data!B77),Raw_Data!B77,IF(ISNUMBER(FIND("/",Raw_Data!B77)),DATE(VALUE(RIGHT(TRIM(Raw_Data!B77),4)),VALUE(MID(TRIM(Raw_Data!B77),4,2)),VALUE(LEFT(TRIM(Raw_Data!B77),2))),IF(MID(TRIM(Raw_Data!B77),5,1)="-",DATE(VALUE(LEFT(TRIM(Raw_Data!B77),4)),VALUE(MID(TRIM(Raw_Data!B77),6,2)),VALUE(RIGHT(TRIM(Raw_Data!B77),2))),DATE(VALUE(RIGHT(TRIM(Raw_Data!B77),4)),MATCH(MID(TRIM(Raw_Data!B77),4,3),{"Jan","Feb","Mar","Apr","May","Jun","Jul","Aug","Sep","Oct","Nov","Dec"},0),VALUE(LEFT(TRIM(Raw_Data!B77),2)))))),"")</f>
        <v>45865</v>
      </c>
      <c r="C77" s="17" t="str">
        <f aca="false">IF(TRIM(Raw_Data!C77)="","Unknown",PROPER(TRIM(Raw_Data!C77)))</f>
        <v>Ahmed Qureshi</v>
      </c>
      <c r="D77" s="17" t="str">
        <f aca="false">IFERROR(INDEX({"Punjab","Sindh","KPK","Balochistan"},MATCH(UPPER(LEFT(TRIM(Raw_Data!D77),1)),{"P","S","K","B"},0)),IFERROR(INDEX(Data_Dictionary!$G$4:$G$16,MATCH(E77,Data_Dictionary!$F$4:$F$16,0)),"Unassigned"))</f>
        <v>Sindh</v>
      </c>
      <c r="E77" s="17" t="str">
        <f aca="false">IF(TRIM(Raw_Data!E77)="","Unknown",PROPER(TRIM(Raw_Data!E77)))</f>
        <v>Karachi</v>
      </c>
      <c r="F77" s="17" t="str">
        <f aca="false">IFERROR(INDEX({"Electronics","Home &amp; Kitchen","Clothing","Groceries","Beauty"},MATCH(UPPER(LEFT(TRIM(Raw_Data!F77),3)),{"ELE","HOM","CLO","GRO","BEA"},0)),"Uncategorised")</f>
        <v>Beauty</v>
      </c>
      <c r="G77" s="17" t="str">
        <f aca="false">IF(TRIM(Raw_Data!G77)="","Unknown",PROPER(TRIM(Raw_Data!G77)))</f>
        <v>Face Wash</v>
      </c>
      <c r="H77" s="19" t="n">
        <f aca="false">IFERROR(ABS(VALUE(TRIM(Raw_Data!H77))),"")</f>
        <v>2</v>
      </c>
      <c r="I77" s="20" t="n">
        <f aca="false">IFERROR(VALUE(TRIM(SUBSTITUTE(SUBSTITUTE(SUBSTITUTE(SUBSTITUTE(TRIM(Raw_Data!I77),"PKR",""),"Rs.",""),"Rs",""),",",""))),"")</f>
        <v>850</v>
      </c>
      <c r="J77" s="21" t="n">
        <f aca="false">IFERROR(IF(TRIM(Raw_Data!J77)="",0,IF(VALUE(TRIM(Raw_Data!J77))&gt;1,VALUE(TRIM(Raw_Data!J77))/100,VALUE(TRIM(Raw_Data!J77)))),0)</f>
        <v>0</v>
      </c>
      <c r="K77" s="17" t="str">
        <f aca="false">IF(TRIM(Raw_Data!K77)="","Unassigned",PROPER(TRIM(Raw_Data!K77)))</f>
        <v>Sadia Noor</v>
      </c>
      <c r="L77" s="17" t="str">
        <f aca="false">IFERROR(INDEX({"Credit Card","Credit Card","Debit Card","Debit Card","Cash","PayPal"},MATCH(UPPER(LEFT(TRIM(Raw_Data!L77),2)),{"CR","CC","DE","DC","CA","PA"},0)),"Other")</f>
        <v>Credit Card</v>
      </c>
      <c r="M77" s="17" t="str">
        <f aca="false">IFERROR(INDEX({"Completed","Returned","Cancelled","Pending"},MATCH(UPPER(LEFT(TRIM(Raw_Data!M77),3)),{"COM","RET","CAN","PEN"},0)),"Unknown")</f>
        <v>Completed</v>
      </c>
      <c r="N77" s="20" t="n">
        <f aca="false">IF(OR(H77="",I77=""),"",H77*I77)</f>
        <v>1700</v>
      </c>
      <c r="O77" s="20" t="n">
        <f aca="false">IF(N77="","",N77*J77)</f>
        <v>0</v>
      </c>
      <c r="P77" s="20" t="n">
        <f aca="false">IF(N77="","",N77-O77)</f>
        <v>1700</v>
      </c>
      <c r="Q77" s="22" t="n">
        <f aca="false">IF(B77="","",DATE(YEAR(B77),MONTH(B77),1))</f>
        <v>45839</v>
      </c>
      <c r="R77" s="17" t="str">
        <f aca="false">IF(A77="","Invalid - Exclude",IF(COUNTIF($A$2:A77,A77)&gt;1,"Duplicate - Exclude",IF(OR(B77="",H77="",I77=""),"Invalid - Exclude","Valid")))</f>
        <v>Valid</v>
      </c>
      <c r="S77" s="17" t="str">
        <f aca="false">IF(R77="Valid","",IF(R77="Duplicate - Exclude","Repeat of an earlier Order ID",IF(B77="","Date missing or unreadable",IF(H77="","Quantity missing or unreadable",IF(I77="","Unit price missing or unreadable","Order ID missing")))))</f>
        <v/>
      </c>
    </row>
    <row r="78" customFormat="false" ht="15" hidden="false" customHeight="true" outlineLevel="0" collapsed="false">
      <c r="A78" s="9" t="str">
        <f aca="false">UPPER(TRIM(Raw_Data!A78))</f>
        <v>ORD-1077</v>
      </c>
      <c r="B78" s="10" t="n">
        <f aca="false">IFERROR(IF(ISNUMBER(Raw_Data!B78),Raw_Data!B78,IF(ISNUMBER(FIND("/",Raw_Data!B78)),DATE(VALUE(RIGHT(TRIM(Raw_Data!B78),4)),VALUE(MID(TRIM(Raw_Data!B78),4,2)),VALUE(LEFT(TRIM(Raw_Data!B78),2))),IF(MID(TRIM(Raw_Data!B78),5,1)="-",DATE(VALUE(LEFT(TRIM(Raw_Data!B78),4)),VALUE(MID(TRIM(Raw_Data!B78),6,2)),VALUE(RIGHT(TRIM(Raw_Data!B78),2))),DATE(VALUE(RIGHT(TRIM(Raw_Data!B78),4)),MATCH(MID(TRIM(Raw_Data!B78),4,3),{"Jan","Feb","Mar","Apr","May","Jun","Jul","Aug","Sep","Oct","Nov","Dec"},0),VALUE(LEFT(TRIM(Raw_Data!B78),2)))))),"")</f>
        <v>46002</v>
      </c>
      <c r="C78" s="9" t="str">
        <f aca="false">IF(TRIM(Raw_Data!C78)="","Unknown",PROPER(TRIM(Raw_Data!C78)))</f>
        <v>Sana Raza</v>
      </c>
      <c r="D78" s="9" t="str">
        <f aca="false">IFERROR(INDEX({"Punjab","Sindh","KPK","Balochistan"},MATCH(UPPER(LEFT(TRIM(Raw_Data!D78),1)),{"P","S","K","B"},0)),IFERROR(INDEX(Data_Dictionary!$G$4:$G$16,MATCH(E78,Data_Dictionary!$F$4:$F$16,0)),"Unassigned"))</f>
        <v>Punjab</v>
      </c>
      <c r="E78" s="9" t="str">
        <f aca="false">IF(TRIM(Raw_Data!E78)="","Unknown",PROPER(TRIM(Raw_Data!E78)))</f>
        <v>Multan</v>
      </c>
      <c r="F78" s="9" t="str">
        <f aca="false">IFERROR(INDEX({"Electronics","Home &amp; Kitchen","Clothing","Groceries","Beauty"},MATCH(UPPER(LEFT(TRIM(Raw_Data!F78),3)),{"ELE","HOM","CLO","GRO","BEA"},0)),"Uncategorised")</f>
        <v>Groceries</v>
      </c>
      <c r="G78" s="9" t="str">
        <f aca="false">IF(TRIM(Raw_Data!G78)="","Unknown",PROPER(TRIM(Raw_Data!G78)))</f>
        <v>Black Tea Pack</v>
      </c>
      <c r="H78" s="11" t="n">
        <f aca="false">IFERROR(ABS(VALUE(TRIM(Raw_Data!H78))),"")</f>
        <v>2</v>
      </c>
      <c r="I78" s="12" t="n">
        <f aca="false">IFERROR(VALUE(TRIM(SUBSTITUTE(SUBSTITUTE(SUBSTITUTE(SUBSTITUTE(TRIM(Raw_Data!I78),"PKR",""),"Rs.",""),"Rs",""),",",""))),"")</f>
        <v>1450</v>
      </c>
      <c r="J78" s="13" t="n">
        <f aca="false">IFERROR(IF(TRIM(Raw_Data!J78)="",0,IF(VALUE(TRIM(Raw_Data!J78))&gt;1,VALUE(TRIM(Raw_Data!J78))/100,VALUE(TRIM(Raw_Data!J78)))),0)</f>
        <v>0.05</v>
      </c>
      <c r="K78" s="9" t="str">
        <f aca="false">IF(TRIM(Raw_Data!K78)="","Unassigned",PROPER(TRIM(Raw_Data!K78)))</f>
        <v>Nimra Aslam</v>
      </c>
      <c r="L78" s="9" t="str">
        <f aca="false">IFERROR(INDEX({"Credit Card","Credit Card","Debit Card","Debit Card","Cash","PayPal"},MATCH(UPPER(LEFT(TRIM(Raw_Data!L78),2)),{"CR","CC","DE","DC","CA","PA"},0)),"Other")</f>
        <v>Credit Card</v>
      </c>
      <c r="M78" s="9" t="str">
        <f aca="false">IFERROR(INDEX({"Completed","Returned","Cancelled","Pending"},MATCH(UPPER(LEFT(TRIM(Raw_Data!M78),3)),{"COM","RET","CAN","PEN"},0)),"Unknown")</f>
        <v>Completed</v>
      </c>
      <c r="N78" s="14" t="n">
        <f aca="false">IF(OR(H78="",I78=""),"",H78*I78)</f>
        <v>2900</v>
      </c>
      <c r="O78" s="14" t="n">
        <f aca="false">IF(N78="","",N78*J78)</f>
        <v>145</v>
      </c>
      <c r="P78" s="14" t="n">
        <f aca="false">IF(N78="","",N78-O78)</f>
        <v>2755</v>
      </c>
      <c r="Q78" s="15" t="n">
        <f aca="false">IF(B78="","",DATE(YEAR(B78),MONTH(B78),1))</f>
        <v>45992</v>
      </c>
      <c r="R78" s="16" t="str">
        <f aca="false">IF(A78="","Invalid - Exclude",IF(COUNTIF($A$2:A78,A78)&gt;1,"Duplicate - Exclude",IF(OR(B78="",H78="",I78=""),"Invalid - Exclude","Valid")))</f>
        <v>Valid</v>
      </c>
      <c r="S78" s="16" t="str">
        <f aca="false">IF(R78="Valid","",IF(R78="Duplicate - Exclude","Repeat of an earlier Order ID",IF(B78="","Date missing or unreadable",IF(H78="","Quantity missing or unreadable",IF(I78="","Unit price missing or unreadable","Order ID missing")))))</f>
        <v/>
      </c>
    </row>
    <row r="79" customFormat="false" ht="15" hidden="false" customHeight="true" outlineLevel="0" collapsed="false">
      <c r="A79" s="17" t="str">
        <f aca="false">UPPER(TRIM(Raw_Data!A79))</f>
        <v>ORD-1078</v>
      </c>
      <c r="B79" s="18" t="n">
        <f aca="false">IFERROR(IF(ISNUMBER(Raw_Data!B79),Raw_Data!B79,IF(ISNUMBER(FIND("/",Raw_Data!B79)),DATE(VALUE(RIGHT(TRIM(Raw_Data!B79),4)),VALUE(MID(TRIM(Raw_Data!B79),4,2)),VALUE(LEFT(TRIM(Raw_Data!B79),2))),IF(MID(TRIM(Raw_Data!B79),5,1)="-",DATE(VALUE(LEFT(TRIM(Raw_Data!B79),4)),VALUE(MID(TRIM(Raw_Data!B79),6,2)),VALUE(RIGHT(TRIM(Raw_Data!B79),2))),DATE(VALUE(RIGHT(TRIM(Raw_Data!B79),4)),MATCH(MID(TRIM(Raw_Data!B79),4,3),{"Jan","Feb","Mar","Apr","May","Jun","Jul","Aug","Sep","Oct","Nov","Dec"},0),VALUE(LEFT(TRIM(Raw_Data!B79),2)))))),"")</f>
        <v>46016</v>
      </c>
      <c r="C79" s="17" t="str">
        <f aca="false">IF(TRIM(Raw_Data!C79)="","Unknown",PROPER(TRIM(Raw_Data!C79)))</f>
        <v>Iqra Butt</v>
      </c>
      <c r="D79" s="17" t="str">
        <f aca="false">IFERROR(INDEX({"Punjab","Sindh","KPK","Balochistan"},MATCH(UPPER(LEFT(TRIM(Raw_Data!D79),1)),{"P","S","K","B"},0)),IFERROR(INDEX(Data_Dictionary!$G$4:$G$16,MATCH(E79,Data_Dictionary!$F$4:$F$16,0)),"Unassigned"))</f>
        <v>Punjab</v>
      </c>
      <c r="E79" s="17" t="str">
        <f aca="false">IF(TRIM(Raw_Data!E79)="","Unknown",PROPER(TRIM(Raw_Data!E79)))</f>
        <v>Faisalabad</v>
      </c>
      <c r="F79" s="17" t="str">
        <f aca="false">IFERROR(INDEX({"Electronics","Home &amp; Kitchen","Clothing","Groceries","Beauty"},MATCH(UPPER(LEFT(TRIM(Raw_Data!F79),3)),{"ELE","HOM","CLO","GRO","BEA"},0)),"Uncategorised")</f>
        <v>Groceries</v>
      </c>
      <c r="G79" s="17" t="str">
        <f aca="false">IF(TRIM(Raw_Data!G79)="","Unknown",PROPER(TRIM(Raw_Data!G79)))</f>
        <v>Basmati Rice 5 Kg</v>
      </c>
      <c r="H79" s="19" t="n">
        <f aca="false">IFERROR(ABS(VALUE(TRIM(Raw_Data!H79))),"")</f>
        <v>6</v>
      </c>
      <c r="I79" s="20" t="n">
        <f aca="false">IFERROR(VALUE(TRIM(SUBSTITUTE(SUBSTITUTE(SUBSTITUTE(SUBSTITUTE(TRIM(Raw_Data!I79),"PKR",""),"Rs.",""),"Rs",""),",",""))),"")</f>
        <v>2550</v>
      </c>
      <c r="J79" s="21" t="n">
        <f aca="false">IFERROR(IF(TRIM(Raw_Data!J79)="",0,IF(VALUE(TRIM(Raw_Data!J79))&gt;1,VALUE(TRIM(Raw_Data!J79))/100,VALUE(TRIM(Raw_Data!J79)))),0)</f>
        <v>0</v>
      </c>
      <c r="K79" s="17" t="str">
        <f aca="false">IF(TRIM(Raw_Data!K79)="","Unassigned",PROPER(TRIM(Raw_Data!K79)))</f>
        <v>Faisal Mehmood</v>
      </c>
      <c r="L79" s="17" t="str">
        <f aca="false">IFERROR(INDEX({"Credit Card","Credit Card","Debit Card","Debit Card","Cash","PayPal"},MATCH(UPPER(LEFT(TRIM(Raw_Data!L79),2)),{"CR","CC","DE","DC","CA","PA"},0)),"Other")</f>
        <v>Cash</v>
      </c>
      <c r="M79" s="17" t="str">
        <f aca="false">IFERROR(INDEX({"Completed","Returned","Cancelled","Pending"},MATCH(UPPER(LEFT(TRIM(Raw_Data!M79),3)),{"COM","RET","CAN","PEN"},0)),"Unknown")</f>
        <v>Completed</v>
      </c>
      <c r="N79" s="20" t="n">
        <f aca="false">IF(OR(H79="",I79=""),"",H79*I79)</f>
        <v>15300</v>
      </c>
      <c r="O79" s="20" t="n">
        <f aca="false">IF(N79="","",N79*J79)</f>
        <v>0</v>
      </c>
      <c r="P79" s="20" t="n">
        <f aca="false">IF(N79="","",N79-O79)</f>
        <v>15300</v>
      </c>
      <c r="Q79" s="22" t="n">
        <f aca="false">IF(B79="","",DATE(YEAR(B79),MONTH(B79),1))</f>
        <v>45992</v>
      </c>
      <c r="R79" s="17" t="str">
        <f aca="false">IF(A79="","Invalid - Exclude",IF(COUNTIF($A$2:A79,A79)&gt;1,"Duplicate - Exclude",IF(OR(B79="",H79="",I79=""),"Invalid - Exclude","Valid")))</f>
        <v>Valid</v>
      </c>
      <c r="S79" s="17" t="str">
        <f aca="false">IF(R79="Valid","",IF(R79="Duplicate - Exclude","Repeat of an earlier Order ID",IF(B79="","Date missing or unreadable",IF(H79="","Quantity missing or unreadable",IF(I79="","Unit price missing or unreadable","Order ID missing")))))</f>
        <v/>
      </c>
    </row>
    <row r="80" customFormat="false" ht="15" hidden="false" customHeight="true" outlineLevel="0" collapsed="false">
      <c r="A80" s="9" t="str">
        <f aca="false">UPPER(TRIM(Raw_Data!A80))</f>
        <v>ORD-1079</v>
      </c>
      <c r="B80" s="10" t="n">
        <f aca="false">IFERROR(IF(ISNUMBER(Raw_Data!B80),Raw_Data!B80,IF(ISNUMBER(FIND("/",Raw_Data!B80)),DATE(VALUE(RIGHT(TRIM(Raw_Data!B80),4)),VALUE(MID(TRIM(Raw_Data!B80),4,2)),VALUE(LEFT(TRIM(Raw_Data!B80),2))),IF(MID(TRIM(Raw_Data!B80),5,1)="-",DATE(VALUE(LEFT(TRIM(Raw_Data!B80),4)),VALUE(MID(TRIM(Raw_Data!B80),6,2)),VALUE(RIGHT(TRIM(Raw_Data!B80),2))),DATE(VALUE(RIGHT(TRIM(Raw_Data!B80),4)),MATCH(MID(TRIM(Raw_Data!B80),4,3),{"Jan","Feb","Mar","Apr","May","Jun","Jul","Aug","Sep","Oct","Nov","Dec"},0),VALUE(LEFT(TRIM(Raw_Data!B80),2)))))),"")</f>
        <v>45677</v>
      </c>
      <c r="C80" s="9" t="str">
        <f aca="false">IF(TRIM(Raw_Data!C80)="","Unknown",PROPER(TRIM(Raw_Data!C80)))</f>
        <v>Kashif Malik</v>
      </c>
      <c r="D80" s="9" t="str">
        <f aca="false">IFERROR(INDEX({"Punjab","Sindh","KPK","Balochistan"},MATCH(UPPER(LEFT(TRIM(Raw_Data!D80),1)),{"P","S","K","B"},0)),IFERROR(INDEX(Data_Dictionary!$G$4:$G$16,MATCH(E80,Data_Dictionary!$F$4:$F$16,0)),"Unassigned"))</f>
        <v>Punjab</v>
      </c>
      <c r="E80" s="9" t="str">
        <f aca="false">IF(TRIM(Raw_Data!E80)="","Unknown",PROPER(TRIM(Raw_Data!E80)))</f>
        <v>Multan</v>
      </c>
      <c r="F80" s="9" t="str">
        <f aca="false">IFERROR(INDEX({"Electronics","Home &amp; Kitchen","Clothing","Groceries","Beauty"},MATCH(UPPER(LEFT(TRIM(Raw_Data!F80),3)),{"ELE","HOM","CLO","GRO","BEA"},0)),"Uncategorised")</f>
        <v>Beauty</v>
      </c>
      <c r="G80" s="9" t="str">
        <f aca="false">IF(TRIM(Raw_Data!G80)="","Unknown",PROPER(TRIM(Raw_Data!G80)))</f>
        <v>Hair Dryer</v>
      </c>
      <c r="H80" s="11" t="n">
        <f aca="false">IFERROR(ABS(VALUE(TRIM(Raw_Data!H80))),"")</f>
        <v>2</v>
      </c>
      <c r="I80" s="12" t="n">
        <f aca="false">IFERROR(VALUE(TRIM(SUBSTITUTE(SUBSTITUTE(SUBSTITUTE(SUBSTITUTE(TRIM(Raw_Data!I80),"PKR",""),"Rs.",""),"Rs",""),",",""))),"")</f>
        <v>4150</v>
      </c>
      <c r="J80" s="13" t="n">
        <f aca="false">IFERROR(IF(TRIM(Raw_Data!J80)="",0,IF(VALUE(TRIM(Raw_Data!J80))&gt;1,VALUE(TRIM(Raw_Data!J80))/100,VALUE(TRIM(Raw_Data!J80)))),0)</f>
        <v>0</v>
      </c>
      <c r="K80" s="9" t="str">
        <f aca="false">IF(TRIM(Raw_Data!K80)="","Unassigned",PROPER(TRIM(Raw_Data!K80)))</f>
        <v>Waqar Ahmed</v>
      </c>
      <c r="L80" s="9" t="str">
        <f aca="false">IFERROR(INDEX({"Credit Card","Credit Card","Debit Card","Debit Card","Cash","PayPal"},MATCH(UPPER(LEFT(TRIM(Raw_Data!L80),2)),{"CR","CC","DE","DC","CA","PA"},0)),"Other")</f>
        <v>PayPal</v>
      </c>
      <c r="M80" s="9" t="str">
        <f aca="false">IFERROR(INDEX({"Completed","Returned","Cancelled","Pending"},MATCH(UPPER(LEFT(TRIM(Raw_Data!M80),3)),{"COM","RET","CAN","PEN"},0)),"Unknown")</f>
        <v>Completed</v>
      </c>
      <c r="N80" s="14" t="n">
        <f aca="false">IF(OR(H80="",I80=""),"",H80*I80)</f>
        <v>8300</v>
      </c>
      <c r="O80" s="14" t="n">
        <f aca="false">IF(N80="","",N80*J80)</f>
        <v>0</v>
      </c>
      <c r="P80" s="14" t="n">
        <f aca="false">IF(N80="","",N80-O80)</f>
        <v>8300</v>
      </c>
      <c r="Q80" s="15" t="n">
        <f aca="false">IF(B80="","",DATE(YEAR(B80),MONTH(B80),1))</f>
        <v>45658</v>
      </c>
      <c r="R80" s="16" t="str">
        <f aca="false">IF(A80="","Invalid - Exclude",IF(COUNTIF($A$2:A80,A80)&gt;1,"Duplicate - Exclude",IF(OR(B80="",H80="",I80=""),"Invalid - Exclude","Valid")))</f>
        <v>Valid</v>
      </c>
      <c r="S80" s="16" t="str">
        <f aca="false">IF(R80="Valid","",IF(R80="Duplicate - Exclude","Repeat of an earlier Order ID",IF(B80="","Date missing or unreadable",IF(H80="","Quantity missing or unreadable",IF(I80="","Unit price missing or unreadable","Order ID missing")))))</f>
        <v/>
      </c>
    </row>
    <row r="81" customFormat="false" ht="15" hidden="false" customHeight="true" outlineLevel="0" collapsed="false">
      <c r="A81" s="17" t="str">
        <f aca="false">UPPER(TRIM(Raw_Data!A81))</f>
        <v>ORD-1080</v>
      </c>
      <c r="B81" s="18" t="n">
        <f aca="false">IFERROR(IF(ISNUMBER(Raw_Data!B81),Raw_Data!B81,IF(ISNUMBER(FIND("/",Raw_Data!B81)),DATE(VALUE(RIGHT(TRIM(Raw_Data!B81),4)),VALUE(MID(TRIM(Raw_Data!B81),4,2)),VALUE(LEFT(TRIM(Raw_Data!B81),2))),IF(MID(TRIM(Raw_Data!B81),5,1)="-",DATE(VALUE(LEFT(TRIM(Raw_Data!B81),4)),VALUE(MID(TRIM(Raw_Data!B81),6,2)),VALUE(RIGHT(TRIM(Raw_Data!B81),2))),DATE(VALUE(RIGHT(TRIM(Raw_Data!B81),4)),MATCH(MID(TRIM(Raw_Data!B81),4,3),{"Jan","Feb","Mar","Apr","May","Jun","Jul","Aug","Sep","Oct","Nov","Dec"},0),VALUE(LEFT(TRIM(Raw_Data!B81),2)))))),"")</f>
        <v>45922</v>
      </c>
      <c r="C81" s="17" t="str">
        <f aca="false">IF(TRIM(Raw_Data!C81)="","Unknown",PROPER(TRIM(Raw_Data!C81)))</f>
        <v>Maryam Qureshi</v>
      </c>
      <c r="D81" s="17" t="str">
        <f aca="false">IFERROR(INDEX({"Punjab","Sindh","KPK","Balochistan"},MATCH(UPPER(LEFT(TRIM(Raw_Data!D81),1)),{"P","S","K","B"},0)),IFERROR(INDEX(Data_Dictionary!$G$4:$G$16,MATCH(E81,Data_Dictionary!$F$4:$F$16,0)),"Unassigned"))</f>
        <v>Sindh</v>
      </c>
      <c r="E81" s="17" t="str">
        <f aca="false">IF(TRIM(Raw_Data!E81)="","Unknown",PROPER(TRIM(Raw_Data!E81)))</f>
        <v>Sukkur</v>
      </c>
      <c r="F81" s="17" t="str">
        <f aca="false">IFERROR(INDEX({"Electronics","Home &amp; Kitchen","Clothing","Groceries","Beauty"},MATCH(UPPER(LEFT(TRIM(Raw_Data!F81),3)),{"ELE","HOM","CLO","GRO","BEA"},0)),"Uncategorised")</f>
        <v>Clothing</v>
      </c>
      <c r="G81" s="17" t="str">
        <f aca="false">IF(TRIM(Raw_Data!G81)="","Unknown",PROPER(TRIM(Raw_Data!G81)))</f>
        <v>Running Shoes</v>
      </c>
      <c r="H81" s="19" t="n">
        <f aca="false">IFERROR(ABS(VALUE(TRIM(Raw_Data!H81))),"")</f>
        <v>2</v>
      </c>
      <c r="I81" s="20" t="n">
        <f aca="false">IFERROR(VALUE(TRIM(SUBSTITUTE(SUBSTITUTE(SUBSTITUTE(SUBSTITUTE(TRIM(Raw_Data!I81),"PKR",""),"Rs.",""),"Rs",""),",",""))),"")</f>
        <v>8000</v>
      </c>
      <c r="J81" s="21" t="n">
        <f aca="false">IFERROR(IF(TRIM(Raw_Data!J81)="",0,IF(VALUE(TRIM(Raw_Data!J81))&gt;1,VALUE(TRIM(Raw_Data!J81))/100,VALUE(TRIM(Raw_Data!J81)))),0)</f>
        <v>0.1</v>
      </c>
      <c r="K81" s="17" t="str">
        <f aca="false">IF(TRIM(Raw_Data!K81)="","Unassigned",PROPER(TRIM(Raw_Data!K81)))</f>
        <v>Nimra Aslam</v>
      </c>
      <c r="L81" s="17" t="str">
        <f aca="false">IFERROR(INDEX({"Credit Card","Credit Card","Debit Card","Debit Card","Cash","PayPal"},MATCH(UPPER(LEFT(TRIM(Raw_Data!L81),2)),{"CR","CC","DE","DC","CA","PA"},0)),"Other")</f>
        <v>Debit Card</v>
      </c>
      <c r="M81" s="17" t="str">
        <f aca="false">IFERROR(INDEX({"Completed","Returned","Cancelled","Pending"},MATCH(UPPER(LEFT(TRIM(Raw_Data!M81),3)),{"COM","RET","CAN","PEN"},0)),"Unknown")</f>
        <v>Completed</v>
      </c>
      <c r="N81" s="20" t="n">
        <f aca="false">IF(OR(H81="",I81=""),"",H81*I81)</f>
        <v>16000</v>
      </c>
      <c r="O81" s="20" t="n">
        <f aca="false">IF(N81="","",N81*J81)</f>
        <v>1600</v>
      </c>
      <c r="P81" s="20" t="n">
        <f aca="false">IF(N81="","",N81-O81)</f>
        <v>14400</v>
      </c>
      <c r="Q81" s="22" t="n">
        <f aca="false">IF(B81="","",DATE(YEAR(B81),MONTH(B81),1))</f>
        <v>45901</v>
      </c>
      <c r="R81" s="17" t="str">
        <f aca="false">IF(A81="","Invalid - Exclude",IF(COUNTIF($A$2:A81,A81)&gt;1,"Duplicate - Exclude",IF(OR(B81="",H81="",I81=""),"Invalid - Exclude","Valid")))</f>
        <v>Valid</v>
      </c>
      <c r="S81" s="17" t="str">
        <f aca="false">IF(R81="Valid","",IF(R81="Duplicate - Exclude","Repeat of an earlier Order ID",IF(B81="","Date missing or unreadable",IF(H81="","Quantity missing or unreadable",IF(I81="","Unit price missing or unreadable","Order ID missing")))))</f>
        <v/>
      </c>
    </row>
    <row r="82" customFormat="false" ht="15" hidden="false" customHeight="true" outlineLevel="0" collapsed="false">
      <c r="A82" s="9" t="str">
        <f aca="false">UPPER(TRIM(Raw_Data!A82))</f>
        <v>ORD-1081</v>
      </c>
      <c r="B82" s="10" t="n">
        <f aca="false">IFERROR(IF(ISNUMBER(Raw_Data!B82),Raw_Data!B82,IF(ISNUMBER(FIND("/",Raw_Data!B82)),DATE(VALUE(RIGHT(TRIM(Raw_Data!B82),4)),VALUE(MID(TRIM(Raw_Data!B82),4,2)),VALUE(LEFT(TRIM(Raw_Data!B82),2))),IF(MID(TRIM(Raw_Data!B82),5,1)="-",DATE(VALUE(LEFT(TRIM(Raw_Data!B82),4)),VALUE(MID(TRIM(Raw_Data!B82),6,2)),VALUE(RIGHT(TRIM(Raw_Data!B82),2))),DATE(VALUE(RIGHT(TRIM(Raw_Data!B82),4)),MATCH(MID(TRIM(Raw_Data!B82),4,3),{"Jan","Feb","Mar","Apr","May","Jun","Jul","Aug","Sep","Oct","Nov","Dec"},0),VALUE(LEFT(TRIM(Raw_Data!B82),2)))))),"")</f>
        <v>45947</v>
      </c>
      <c r="C82" s="9" t="str">
        <f aca="false">IF(TRIM(Raw_Data!C82)="","Unknown",PROPER(TRIM(Raw_Data!C82)))</f>
        <v>Tariq Khan</v>
      </c>
      <c r="D82" s="9" t="str">
        <f aca="false">IFERROR(INDEX({"Punjab","Sindh","KPK","Balochistan"},MATCH(UPPER(LEFT(TRIM(Raw_Data!D82),1)),{"P","S","K","B"},0)),IFERROR(INDEX(Data_Dictionary!$G$4:$G$16,MATCH(E82,Data_Dictionary!$F$4:$F$16,0)),"Unassigned"))</f>
        <v>Sindh</v>
      </c>
      <c r="E82" s="9" t="str">
        <f aca="false">IF(TRIM(Raw_Data!E82)="","Unknown",PROPER(TRIM(Raw_Data!E82)))</f>
        <v>Karachi</v>
      </c>
      <c r="F82" s="9" t="str">
        <f aca="false">IFERROR(INDEX({"Electronics","Home &amp; Kitchen","Clothing","Groceries","Beauty"},MATCH(UPPER(LEFT(TRIM(Raw_Data!F82),3)),{"ELE","HOM","CLO","GRO","BEA"},0)),"Uncategorised")</f>
        <v>Groceries</v>
      </c>
      <c r="G82" s="9" t="str">
        <f aca="false">IF(TRIM(Raw_Data!G82)="","Unknown",PROPER(TRIM(Raw_Data!G82)))</f>
        <v>Basmati Rice 5 Kg</v>
      </c>
      <c r="H82" s="11" t="n">
        <f aca="false">IFERROR(ABS(VALUE(TRIM(Raw_Data!H82))),"")</f>
        <v>2</v>
      </c>
      <c r="I82" s="12" t="n">
        <f aca="false">IFERROR(VALUE(TRIM(SUBSTITUTE(SUBSTITUTE(SUBSTITUTE(SUBSTITUTE(TRIM(Raw_Data!I82),"PKR",""),"Rs.",""),"Rs",""),",",""))),"")</f>
        <v>2500</v>
      </c>
      <c r="J82" s="13" t="n">
        <f aca="false">IFERROR(IF(TRIM(Raw_Data!J82)="",0,IF(VALUE(TRIM(Raw_Data!J82))&gt;1,VALUE(TRIM(Raw_Data!J82))/100,VALUE(TRIM(Raw_Data!J82)))),0)</f>
        <v>0.1</v>
      </c>
      <c r="K82" s="9" t="str">
        <f aca="false">IF(TRIM(Raw_Data!K82)="","Unassigned",PROPER(TRIM(Raw_Data!K82)))</f>
        <v>Imran Shah</v>
      </c>
      <c r="L82" s="9" t="str">
        <f aca="false">IFERROR(INDEX({"Credit Card","Credit Card","Debit Card","Debit Card","Cash","PayPal"},MATCH(UPPER(LEFT(TRIM(Raw_Data!L82),2)),{"CR","CC","DE","DC","CA","PA"},0)),"Other")</f>
        <v>Cash</v>
      </c>
      <c r="M82" s="9" t="str">
        <f aca="false">IFERROR(INDEX({"Completed","Returned","Cancelled","Pending"},MATCH(UPPER(LEFT(TRIM(Raw_Data!M82),3)),{"COM","RET","CAN","PEN"},0)),"Unknown")</f>
        <v>Completed</v>
      </c>
      <c r="N82" s="14" t="n">
        <f aca="false">IF(OR(H82="",I82=""),"",H82*I82)</f>
        <v>5000</v>
      </c>
      <c r="O82" s="14" t="n">
        <f aca="false">IF(N82="","",N82*J82)</f>
        <v>500</v>
      </c>
      <c r="P82" s="14" t="n">
        <f aca="false">IF(N82="","",N82-O82)</f>
        <v>4500</v>
      </c>
      <c r="Q82" s="15" t="n">
        <f aca="false">IF(B82="","",DATE(YEAR(B82),MONTH(B82),1))</f>
        <v>45931</v>
      </c>
      <c r="R82" s="16" t="str">
        <f aca="false">IF(A82="","Invalid - Exclude",IF(COUNTIF($A$2:A82,A82)&gt;1,"Duplicate - Exclude",IF(OR(B82="",H82="",I82=""),"Invalid - Exclude","Valid")))</f>
        <v>Valid</v>
      </c>
      <c r="S82" s="16" t="str">
        <f aca="false">IF(R82="Valid","",IF(R82="Duplicate - Exclude","Repeat of an earlier Order ID",IF(B82="","Date missing or unreadable",IF(H82="","Quantity missing or unreadable",IF(I82="","Unit price missing or unreadable","Order ID missing")))))</f>
        <v/>
      </c>
    </row>
    <row r="83" customFormat="false" ht="15" hidden="false" customHeight="true" outlineLevel="0" collapsed="false">
      <c r="A83" s="17" t="str">
        <f aca="false">UPPER(TRIM(Raw_Data!A83))</f>
        <v>ORD-1082</v>
      </c>
      <c r="B83" s="18" t="n">
        <f aca="false">IFERROR(IF(ISNUMBER(Raw_Data!B83),Raw_Data!B83,IF(ISNUMBER(FIND("/",Raw_Data!B83)),DATE(VALUE(RIGHT(TRIM(Raw_Data!B83),4)),VALUE(MID(TRIM(Raw_Data!B83),4,2)),VALUE(LEFT(TRIM(Raw_Data!B83),2))),IF(MID(TRIM(Raw_Data!B83),5,1)="-",DATE(VALUE(LEFT(TRIM(Raw_Data!B83),4)),VALUE(MID(TRIM(Raw_Data!B83),6,2)),VALUE(RIGHT(TRIM(Raw_Data!B83),2))),DATE(VALUE(RIGHT(TRIM(Raw_Data!B83),4)),MATCH(MID(TRIM(Raw_Data!B83),4,3),{"Jan","Feb","Mar","Apr","May","Jun","Jul","Aug","Sep","Oct","Nov","Dec"},0),VALUE(LEFT(TRIM(Raw_Data!B83),2)))))),"")</f>
        <v>45700</v>
      </c>
      <c r="C83" s="17" t="str">
        <f aca="false">IF(TRIM(Raw_Data!C83)="","Unknown",PROPER(TRIM(Raw_Data!C83)))</f>
        <v>Ayesha Siddiqui</v>
      </c>
      <c r="D83" s="17" t="str">
        <f aca="false">IFERROR(INDEX({"Punjab","Sindh","KPK","Balochistan"},MATCH(UPPER(LEFT(TRIM(Raw_Data!D83),1)),{"P","S","K","B"},0)),IFERROR(INDEX(Data_Dictionary!$G$4:$G$16,MATCH(E83,Data_Dictionary!$F$4:$F$16,0)),"Unassigned"))</f>
        <v>Punjab</v>
      </c>
      <c r="E83" s="17" t="str">
        <f aca="false">IF(TRIM(Raw_Data!E83)="","Unknown",PROPER(TRIM(Raw_Data!E83)))</f>
        <v>Multan</v>
      </c>
      <c r="F83" s="17" t="str">
        <f aca="false">IFERROR(INDEX({"Electronics","Home &amp; Kitchen","Clothing","Groceries","Beauty"},MATCH(UPPER(LEFT(TRIM(Raw_Data!F83),3)),{"ELE","HOM","CLO","GRO","BEA"},0)),"Uncategorised")</f>
        <v>Clothing</v>
      </c>
      <c r="G83" s="17" t="str">
        <f aca="false">IF(TRIM(Raw_Data!G83)="","Unknown",PROPER(TRIM(Raw_Data!G83)))</f>
        <v>Lawn Suit 3 Piece</v>
      </c>
      <c r="H83" s="19" t="n">
        <f aca="false">IFERROR(ABS(VALUE(TRIM(Raw_Data!H83))),"")</f>
        <v>1</v>
      </c>
      <c r="I83" s="20" t="n">
        <f aca="false">IFERROR(VALUE(TRIM(SUBSTITUTE(SUBSTITUTE(SUBSTITUTE(SUBSTITUTE(TRIM(Raw_Data!I83),"PKR",""),"Rs.",""),"Rs",""),",",""))),"")</f>
        <v>6500</v>
      </c>
      <c r="J83" s="21" t="n">
        <f aca="false">IFERROR(IF(TRIM(Raw_Data!J83)="",0,IF(VALUE(TRIM(Raw_Data!J83))&gt;1,VALUE(TRIM(Raw_Data!J83))/100,VALUE(TRIM(Raw_Data!J83)))),0)</f>
        <v>0</v>
      </c>
      <c r="K83" s="17" t="str">
        <f aca="false">IF(TRIM(Raw_Data!K83)="","Unassigned",PROPER(TRIM(Raw_Data!K83)))</f>
        <v>Imran Shah</v>
      </c>
      <c r="L83" s="17" t="str">
        <f aca="false">IFERROR(INDEX({"Credit Card","Credit Card","Debit Card","Debit Card","Cash","PayPal"},MATCH(UPPER(LEFT(TRIM(Raw_Data!L83),2)),{"CR","CC","DE","DC","CA","PA"},0)),"Other")</f>
        <v>Credit Card</v>
      </c>
      <c r="M83" s="17" t="str">
        <f aca="false">IFERROR(INDEX({"Completed","Returned","Cancelled","Pending"},MATCH(UPPER(LEFT(TRIM(Raw_Data!M83),3)),{"COM","RET","CAN","PEN"},0)),"Unknown")</f>
        <v>Completed</v>
      </c>
      <c r="N83" s="20" t="n">
        <f aca="false">IF(OR(H83="",I83=""),"",H83*I83)</f>
        <v>6500</v>
      </c>
      <c r="O83" s="20" t="n">
        <f aca="false">IF(N83="","",N83*J83)</f>
        <v>0</v>
      </c>
      <c r="P83" s="20" t="n">
        <f aca="false">IF(N83="","",N83-O83)</f>
        <v>6500</v>
      </c>
      <c r="Q83" s="22" t="n">
        <f aca="false">IF(B83="","",DATE(YEAR(B83),MONTH(B83),1))</f>
        <v>45689</v>
      </c>
      <c r="R83" s="17" t="str">
        <f aca="false">IF(A83="","Invalid - Exclude",IF(COUNTIF($A$2:A83,A83)&gt;1,"Duplicate - Exclude",IF(OR(B83="",H83="",I83=""),"Invalid - Exclude","Valid")))</f>
        <v>Valid</v>
      </c>
      <c r="S83" s="17" t="str">
        <f aca="false">IF(R83="Valid","",IF(R83="Duplicate - Exclude","Repeat of an earlier Order ID",IF(B83="","Date missing or unreadable",IF(H83="","Quantity missing or unreadable",IF(I83="","Unit price missing or unreadable","Order ID missing")))))</f>
        <v/>
      </c>
    </row>
    <row r="84" customFormat="false" ht="15" hidden="false" customHeight="true" outlineLevel="0" collapsed="false">
      <c r="A84" s="9" t="str">
        <f aca="false">UPPER(TRIM(Raw_Data!A84))</f>
        <v>ORD-1083</v>
      </c>
      <c r="B84" s="10" t="n">
        <f aca="false">IFERROR(IF(ISNUMBER(Raw_Data!B84),Raw_Data!B84,IF(ISNUMBER(FIND("/",Raw_Data!B84)),DATE(VALUE(RIGHT(TRIM(Raw_Data!B84),4)),VALUE(MID(TRIM(Raw_Data!B84),4,2)),VALUE(LEFT(TRIM(Raw_Data!B84),2))),IF(MID(TRIM(Raw_Data!B84),5,1)="-",DATE(VALUE(LEFT(TRIM(Raw_Data!B84),4)),VALUE(MID(TRIM(Raw_Data!B84),6,2)),VALUE(RIGHT(TRIM(Raw_Data!B84),2))),DATE(VALUE(RIGHT(TRIM(Raw_Data!B84),4)),MATCH(MID(TRIM(Raw_Data!B84),4,3),{"Jan","Feb","Mar","Apr","May","Jun","Jul","Aug","Sep","Oct","Nov","Dec"},0),VALUE(LEFT(TRIM(Raw_Data!B84),2)))))),"")</f>
        <v>45671</v>
      </c>
      <c r="C84" s="9" t="str">
        <f aca="false">IF(TRIM(Raw_Data!C84)="","Unknown",PROPER(TRIM(Raw_Data!C84)))</f>
        <v>Usman Mirza</v>
      </c>
      <c r="D84" s="9" t="str">
        <f aca="false">IFERROR(INDEX({"Punjab","Sindh","KPK","Balochistan"},MATCH(UPPER(LEFT(TRIM(Raw_Data!D84),1)),{"P","S","K","B"},0)),IFERROR(INDEX(Data_Dictionary!$G$4:$G$16,MATCH(E84,Data_Dictionary!$F$4:$F$16,0)),"Unassigned"))</f>
        <v>Punjab</v>
      </c>
      <c r="E84" s="9" t="str">
        <f aca="false">IF(TRIM(Raw_Data!E84)="","Unknown",PROPER(TRIM(Raw_Data!E84)))</f>
        <v>Gujranwala</v>
      </c>
      <c r="F84" s="9" t="str">
        <f aca="false">IFERROR(INDEX({"Electronics","Home &amp; Kitchen","Clothing","Groceries","Beauty"},MATCH(UPPER(LEFT(TRIM(Raw_Data!F84),3)),{"ELE","HOM","CLO","GRO","BEA"},0)),"Uncategorised")</f>
        <v>Electronics</v>
      </c>
      <c r="G84" s="9" t="str">
        <f aca="false">IF(TRIM(Raw_Data!G84)="","Unknown",PROPER(TRIM(Raw_Data!G84)))</f>
        <v>Bluetooth Speaker</v>
      </c>
      <c r="H84" s="11" t="n">
        <f aca="false">IFERROR(ABS(VALUE(TRIM(Raw_Data!H84))),"")</f>
        <v>5</v>
      </c>
      <c r="I84" s="12" t="n">
        <f aca="false">IFERROR(VALUE(TRIM(SUBSTITUTE(SUBSTITUTE(SUBSTITUTE(SUBSTITUTE(TRIM(Raw_Data!I84),"PKR",""),"Rs.",""),"Rs",""),",",""))),"")</f>
        <v>4650</v>
      </c>
      <c r="J84" s="13" t="n">
        <f aca="false">IFERROR(IF(TRIM(Raw_Data!J84)="",0,IF(VALUE(TRIM(Raw_Data!J84))&gt;1,VALUE(TRIM(Raw_Data!J84))/100,VALUE(TRIM(Raw_Data!J84)))),0)</f>
        <v>0.1</v>
      </c>
      <c r="K84" s="9" t="str">
        <f aca="false">IF(TRIM(Raw_Data!K84)="","Unassigned",PROPER(TRIM(Raw_Data!K84)))</f>
        <v>Zoya Tariq</v>
      </c>
      <c r="L84" s="9" t="str">
        <f aca="false">IFERROR(INDEX({"Credit Card","Credit Card","Debit Card","Debit Card","Cash","PayPal"},MATCH(UPPER(LEFT(TRIM(Raw_Data!L84),2)),{"CR","CC","DE","DC","CA","PA"},0)),"Other")</f>
        <v>Credit Card</v>
      </c>
      <c r="M84" s="9" t="str">
        <f aca="false">IFERROR(INDEX({"Completed","Returned","Cancelled","Pending"},MATCH(UPPER(LEFT(TRIM(Raw_Data!M84),3)),{"COM","RET","CAN","PEN"},0)),"Unknown")</f>
        <v>Cancelled</v>
      </c>
      <c r="N84" s="14" t="n">
        <f aca="false">IF(OR(H84="",I84=""),"",H84*I84)</f>
        <v>23250</v>
      </c>
      <c r="O84" s="14" t="n">
        <f aca="false">IF(N84="","",N84*J84)</f>
        <v>2325</v>
      </c>
      <c r="P84" s="14" t="n">
        <f aca="false">IF(N84="","",N84-O84)</f>
        <v>20925</v>
      </c>
      <c r="Q84" s="15" t="n">
        <f aca="false">IF(B84="","",DATE(YEAR(B84),MONTH(B84),1))</f>
        <v>45658</v>
      </c>
      <c r="R84" s="16" t="str">
        <f aca="false">IF(A84="","Invalid - Exclude",IF(COUNTIF($A$2:A84,A84)&gt;1,"Duplicate - Exclude",IF(OR(B84="",H84="",I84=""),"Invalid - Exclude","Valid")))</f>
        <v>Valid</v>
      </c>
      <c r="S84" s="16" t="str">
        <f aca="false">IF(R84="Valid","",IF(R84="Duplicate - Exclude","Repeat of an earlier Order ID",IF(B84="","Date missing or unreadable",IF(H84="","Quantity missing or unreadable",IF(I84="","Unit price missing or unreadable","Order ID missing")))))</f>
        <v/>
      </c>
    </row>
    <row r="85" customFormat="false" ht="15" hidden="false" customHeight="true" outlineLevel="0" collapsed="false">
      <c r="A85" s="17" t="str">
        <f aca="false">UPPER(TRIM(Raw_Data!A85))</f>
        <v>ORD-1084</v>
      </c>
      <c r="B85" s="18" t="n">
        <f aca="false">IFERROR(IF(ISNUMBER(Raw_Data!B85),Raw_Data!B85,IF(ISNUMBER(FIND("/",Raw_Data!B85)),DATE(VALUE(RIGHT(TRIM(Raw_Data!B85),4)),VALUE(MID(TRIM(Raw_Data!B85),4,2)),VALUE(LEFT(TRIM(Raw_Data!B85),2))),IF(MID(TRIM(Raw_Data!B85),5,1)="-",DATE(VALUE(LEFT(TRIM(Raw_Data!B85),4)),VALUE(MID(TRIM(Raw_Data!B85),6,2)),VALUE(RIGHT(TRIM(Raw_Data!B85),2))),DATE(VALUE(RIGHT(TRIM(Raw_Data!B85),4)),MATCH(MID(TRIM(Raw_Data!B85),4,3),{"Jan","Feb","Mar","Apr","May","Jun","Jul","Aug","Sep","Oct","Nov","Dec"},0),VALUE(LEFT(TRIM(Raw_Data!B85),2)))))),"")</f>
        <v>45853</v>
      </c>
      <c r="C85" s="17" t="str">
        <f aca="false">IF(TRIM(Raw_Data!C85)="","Unknown",PROPER(TRIM(Raw_Data!C85)))</f>
        <v>Kashif Ansari</v>
      </c>
      <c r="D85" s="17" t="str">
        <f aca="false">IFERROR(INDEX({"Punjab","Sindh","KPK","Balochistan"},MATCH(UPPER(LEFT(TRIM(Raw_Data!D85),1)),{"P","S","K","B"},0)),IFERROR(INDEX(Data_Dictionary!$G$4:$G$16,MATCH(E85,Data_Dictionary!$F$4:$F$16,0)),"Unassigned"))</f>
        <v>Balochistan</v>
      </c>
      <c r="E85" s="17" t="str">
        <f aca="false">IF(TRIM(Raw_Data!E85)="","Unknown",PROPER(TRIM(Raw_Data!E85)))</f>
        <v>Quetta</v>
      </c>
      <c r="F85" s="17" t="str">
        <f aca="false">IFERROR(INDEX({"Electronics","Home &amp; Kitchen","Clothing","Groceries","Beauty"},MATCH(UPPER(LEFT(TRIM(Raw_Data!F85),3)),{"ELE","HOM","CLO","GRO","BEA"},0)),"Uncategorised")</f>
        <v>Clothing</v>
      </c>
      <c r="G85" s="17" t="str">
        <f aca="false">IF(TRIM(Raw_Data!G85)="","Unknown",PROPER(TRIM(Raw_Data!G85)))</f>
        <v>Lawn Suit 3 Piece</v>
      </c>
      <c r="H85" s="19" t="n">
        <f aca="false">IFERROR(ABS(VALUE(TRIM(Raw_Data!H85))),"")</f>
        <v>6</v>
      </c>
      <c r="I85" s="20" t="n">
        <f aca="false">IFERROR(VALUE(TRIM(SUBSTITUTE(SUBSTITUTE(SUBSTITUTE(SUBSTITUTE(TRIM(Raw_Data!I85),"PKR",""),"Rs.",""),"Rs",""),",",""))),"")</f>
        <v>6700</v>
      </c>
      <c r="J85" s="21" t="n">
        <f aca="false">IFERROR(IF(TRIM(Raw_Data!J85)="",0,IF(VALUE(TRIM(Raw_Data!J85))&gt;1,VALUE(TRIM(Raw_Data!J85))/100,VALUE(TRIM(Raw_Data!J85)))),0)</f>
        <v>0</v>
      </c>
      <c r="K85" s="17" t="str">
        <f aca="false">IF(TRIM(Raw_Data!K85)="","Unassigned",PROPER(TRIM(Raw_Data!K85)))</f>
        <v>Unassigned</v>
      </c>
      <c r="L85" s="17" t="str">
        <f aca="false">IFERROR(INDEX({"Credit Card","Credit Card","Debit Card","Debit Card","Cash","PayPal"},MATCH(UPPER(LEFT(TRIM(Raw_Data!L85),2)),{"CR","CC","DE","DC","CA","PA"},0)),"Other")</f>
        <v>Cash</v>
      </c>
      <c r="M85" s="17" t="str">
        <f aca="false">IFERROR(INDEX({"Completed","Returned","Cancelled","Pending"},MATCH(UPPER(LEFT(TRIM(Raw_Data!M85),3)),{"COM","RET","CAN","PEN"},0)),"Unknown")</f>
        <v>Pending</v>
      </c>
      <c r="N85" s="20" t="n">
        <f aca="false">IF(OR(H85="",I85=""),"",H85*I85)</f>
        <v>40200</v>
      </c>
      <c r="O85" s="20" t="n">
        <f aca="false">IF(N85="","",N85*J85)</f>
        <v>0</v>
      </c>
      <c r="P85" s="20" t="n">
        <f aca="false">IF(N85="","",N85-O85)</f>
        <v>40200</v>
      </c>
      <c r="Q85" s="22" t="n">
        <f aca="false">IF(B85="","",DATE(YEAR(B85),MONTH(B85),1))</f>
        <v>45839</v>
      </c>
      <c r="R85" s="17" t="str">
        <f aca="false">IF(A85="","Invalid - Exclude",IF(COUNTIF($A$2:A85,A85)&gt;1,"Duplicate - Exclude",IF(OR(B85="",H85="",I85=""),"Invalid - Exclude","Valid")))</f>
        <v>Valid</v>
      </c>
      <c r="S85" s="17" t="str">
        <f aca="false">IF(R85="Valid","",IF(R85="Duplicate - Exclude","Repeat of an earlier Order ID",IF(B85="","Date missing or unreadable",IF(H85="","Quantity missing or unreadable",IF(I85="","Unit price missing or unreadable","Order ID missing")))))</f>
        <v/>
      </c>
    </row>
    <row r="86" customFormat="false" ht="15" hidden="false" customHeight="true" outlineLevel="0" collapsed="false">
      <c r="A86" s="9" t="str">
        <f aca="false">UPPER(TRIM(Raw_Data!A86))</f>
        <v>ORD-1085</v>
      </c>
      <c r="B86" s="10" t="n">
        <f aca="false">IFERROR(IF(ISNUMBER(Raw_Data!B86),Raw_Data!B86,IF(ISNUMBER(FIND("/",Raw_Data!B86)),DATE(VALUE(RIGHT(TRIM(Raw_Data!B86),4)),VALUE(MID(TRIM(Raw_Data!B86),4,2)),VALUE(LEFT(TRIM(Raw_Data!B86),2))),IF(MID(TRIM(Raw_Data!B86),5,1)="-",DATE(VALUE(LEFT(TRIM(Raw_Data!B86),4)),VALUE(MID(TRIM(Raw_Data!B86),6,2)),VALUE(RIGHT(TRIM(Raw_Data!B86),2))),DATE(VALUE(RIGHT(TRIM(Raw_Data!B86),4)),MATCH(MID(TRIM(Raw_Data!B86),4,3),{"Jan","Feb","Mar","Apr","May","Jun","Jul","Aug","Sep","Oct","Nov","Dec"},0),VALUE(LEFT(TRIM(Raw_Data!B86),2)))))),"")</f>
        <v>45719</v>
      </c>
      <c r="C86" s="9" t="str">
        <f aca="false">IF(TRIM(Raw_Data!C86)="","Unknown",PROPER(TRIM(Raw_Data!C86)))</f>
        <v>Nida Siddiqui</v>
      </c>
      <c r="D86" s="9" t="str">
        <f aca="false">IFERROR(INDEX({"Punjab","Sindh","KPK","Balochistan"},MATCH(UPPER(LEFT(TRIM(Raw_Data!D86),1)),{"P","S","K","B"},0)),IFERROR(INDEX(Data_Dictionary!$G$4:$G$16,MATCH(E86,Data_Dictionary!$F$4:$F$16,0)),"Unassigned"))</f>
        <v>Punjab</v>
      </c>
      <c r="E86" s="9" t="str">
        <f aca="false">IF(TRIM(Raw_Data!E86)="","Unknown",PROPER(TRIM(Raw_Data!E86)))</f>
        <v>Multan</v>
      </c>
      <c r="F86" s="9" t="str">
        <f aca="false">IFERROR(INDEX({"Electronics","Home &amp; Kitchen","Clothing","Groceries","Beauty"},MATCH(UPPER(LEFT(TRIM(Raw_Data!F86),3)),{"ELE","HOM","CLO","GRO","BEA"},0)),"Uncategorised")</f>
        <v>Clothing</v>
      </c>
      <c r="G86" s="9" t="str">
        <f aca="false">IF(TRIM(Raw_Data!G86)="","Unknown",PROPER(TRIM(Raw_Data!G86)))</f>
        <v>Winter Jacket</v>
      </c>
      <c r="H86" s="11" t="n">
        <f aca="false">IFERROR(ABS(VALUE(TRIM(Raw_Data!H86))),"")</f>
        <v>2</v>
      </c>
      <c r="I86" s="12" t="n">
        <f aca="false">IFERROR(VALUE(TRIM(SUBSTITUTE(SUBSTITUTE(SUBSTITUTE(SUBSTITUTE(TRIM(Raw_Data!I86),"PKR",""),"Rs.",""),"Rs",""),",",""))),"")</f>
        <v>9900</v>
      </c>
      <c r="J86" s="13" t="n">
        <f aca="false">IFERROR(IF(TRIM(Raw_Data!J86)="",0,IF(VALUE(TRIM(Raw_Data!J86))&gt;1,VALUE(TRIM(Raw_Data!J86))/100,VALUE(TRIM(Raw_Data!J86)))),0)</f>
        <v>0.05</v>
      </c>
      <c r="K86" s="9" t="str">
        <f aca="false">IF(TRIM(Raw_Data!K86)="","Unassigned",PROPER(TRIM(Raw_Data!K86)))</f>
        <v>Nimra Aslam</v>
      </c>
      <c r="L86" s="9" t="str">
        <f aca="false">IFERROR(INDEX({"Credit Card","Credit Card","Debit Card","Debit Card","Cash","PayPal"},MATCH(UPPER(LEFT(TRIM(Raw_Data!L86),2)),{"CR","CC","DE","DC","CA","PA"},0)),"Other")</f>
        <v>Credit Card</v>
      </c>
      <c r="M86" s="9" t="str">
        <f aca="false">IFERROR(INDEX({"Completed","Returned","Cancelled","Pending"},MATCH(UPPER(LEFT(TRIM(Raw_Data!M86),3)),{"COM","RET","CAN","PEN"},0)),"Unknown")</f>
        <v>Completed</v>
      </c>
      <c r="N86" s="14" t="n">
        <f aca="false">IF(OR(H86="",I86=""),"",H86*I86)</f>
        <v>19800</v>
      </c>
      <c r="O86" s="14" t="n">
        <f aca="false">IF(N86="","",N86*J86)</f>
        <v>990</v>
      </c>
      <c r="P86" s="14" t="n">
        <f aca="false">IF(N86="","",N86-O86)</f>
        <v>18810</v>
      </c>
      <c r="Q86" s="15" t="n">
        <f aca="false">IF(B86="","",DATE(YEAR(B86),MONTH(B86),1))</f>
        <v>45717</v>
      </c>
      <c r="R86" s="16" t="str">
        <f aca="false">IF(A86="","Invalid - Exclude",IF(COUNTIF($A$2:A86,A86)&gt;1,"Duplicate - Exclude",IF(OR(B86="",H86="",I86=""),"Invalid - Exclude","Valid")))</f>
        <v>Valid</v>
      </c>
      <c r="S86" s="16" t="str">
        <f aca="false">IF(R86="Valid","",IF(R86="Duplicate - Exclude","Repeat of an earlier Order ID",IF(B86="","Date missing or unreadable",IF(H86="","Quantity missing or unreadable",IF(I86="","Unit price missing or unreadable","Order ID missing")))))</f>
        <v/>
      </c>
    </row>
    <row r="87" customFormat="false" ht="15" hidden="false" customHeight="true" outlineLevel="0" collapsed="false">
      <c r="A87" s="17" t="str">
        <f aca="false">UPPER(TRIM(Raw_Data!A87))</f>
        <v>ORD-1086</v>
      </c>
      <c r="B87" s="18" t="n">
        <f aca="false">IFERROR(IF(ISNUMBER(Raw_Data!B87),Raw_Data!B87,IF(ISNUMBER(FIND("/",Raw_Data!B87)),DATE(VALUE(RIGHT(TRIM(Raw_Data!B87),4)),VALUE(MID(TRIM(Raw_Data!B87),4,2)),VALUE(LEFT(TRIM(Raw_Data!B87),2))),IF(MID(TRIM(Raw_Data!B87),5,1)="-",DATE(VALUE(LEFT(TRIM(Raw_Data!B87),4)),VALUE(MID(TRIM(Raw_Data!B87),6,2)),VALUE(RIGHT(TRIM(Raw_Data!B87),2))),DATE(VALUE(RIGHT(TRIM(Raw_Data!B87),4)),MATCH(MID(TRIM(Raw_Data!B87),4,3),{"Jan","Feb","Mar","Apr","May","Jun","Jul","Aug","Sep","Oct","Nov","Dec"},0),VALUE(LEFT(TRIM(Raw_Data!B87),2)))))),"")</f>
        <v>45950</v>
      </c>
      <c r="C87" s="17" t="str">
        <f aca="false">IF(TRIM(Raw_Data!C87)="","Unknown",PROPER(TRIM(Raw_Data!C87)))</f>
        <v>Usman Chaudhry</v>
      </c>
      <c r="D87" s="17" t="str">
        <f aca="false">IFERROR(INDEX({"Punjab","Sindh","KPK","Balochistan"},MATCH(UPPER(LEFT(TRIM(Raw_Data!D87),1)),{"P","S","K","B"},0)),IFERROR(INDEX(Data_Dictionary!$G$4:$G$16,MATCH(E87,Data_Dictionary!$F$4:$F$16,0)),"Unassigned"))</f>
        <v>Punjab</v>
      </c>
      <c r="E87" s="17" t="str">
        <f aca="false">IF(TRIM(Raw_Data!E87)="","Unknown",PROPER(TRIM(Raw_Data!E87)))</f>
        <v>Lahore</v>
      </c>
      <c r="F87" s="17" t="str">
        <f aca="false">IFERROR(INDEX({"Electronics","Home &amp; Kitchen","Clothing","Groceries","Beauty"},MATCH(UPPER(LEFT(TRIM(Raw_Data!F87),3)),{"ELE","HOM","CLO","GRO","BEA"},0)),"Uncategorised")</f>
        <v>Home &amp; Kitchen</v>
      </c>
      <c r="G87" s="17" t="str">
        <f aca="false">IF(TRIM(Raw_Data!G87)="","Unknown",PROPER(TRIM(Raw_Data!G87)))</f>
        <v>Air Fryer</v>
      </c>
      <c r="H87" s="19" t="n">
        <f aca="false">IFERROR(ABS(VALUE(TRIM(Raw_Data!H87))),"")</f>
        <v>3</v>
      </c>
      <c r="I87" s="20" t="n">
        <f aca="false">IFERROR(VALUE(TRIM(SUBSTITUTE(SUBSTITUTE(SUBSTITUTE(SUBSTITUTE(TRIM(Raw_Data!I87),"PKR",""),"Rs.",""),"Rs",""),",",""))),"")</f>
        <v>18900</v>
      </c>
      <c r="J87" s="21" t="n">
        <f aca="false">IFERROR(IF(TRIM(Raw_Data!J87)="",0,IF(VALUE(TRIM(Raw_Data!J87))&gt;1,VALUE(TRIM(Raw_Data!J87))/100,VALUE(TRIM(Raw_Data!J87)))),0)</f>
        <v>0.1</v>
      </c>
      <c r="K87" s="17" t="str">
        <f aca="false">IF(TRIM(Raw_Data!K87)="","Unassigned",PROPER(TRIM(Raw_Data!K87)))</f>
        <v>Imran Shah</v>
      </c>
      <c r="L87" s="17" t="str">
        <f aca="false">IFERROR(INDEX({"Credit Card","Credit Card","Debit Card","Debit Card","Cash","PayPal"},MATCH(UPPER(LEFT(TRIM(Raw_Data!L87),2)),{"CR","CC","DE","DC","CA","PA"},0)),"Other")</f>
        <v>Credit Card</v>
      </c>
      <c r="M87" s="17" t="str">
        <f aca="false">IFERROR(INDEX({"Completed","Returned","Cancelled","Pending"},MATCH(UPPER(LEFT(TRIM(Raw_Data!M87),3)),{"COM","RET","CAN","PEN"},0)),"Unknown")</f>
        <v>Completed</v>
      </c>
      <c r="N87" s="20" t="n">
        <f aca="false">IF(OR(H87="",I87=""),"",H87*I87)</f>
        <v>56700</v>
      </c>
      <c r="O87" s="20" t="n">
        <f aca="false">IF(N87="","",N87*J87)</f>
        <v>5670</v>
      </c>
      <c r="P87" s="20" t="n">
        <f aca="false">IF(N87="","",N87-O87)</f>
        <v>51030</v>
      </c>
      <c r="Q87" s="22" t="n">
        <f aca="false">IF(B87="","",DATE(YEAR(B87),MONTH(B87),1))</f>
        <v>45931</v>
      </c>
      <c r="R87" s="17" t="str">
        <f aca="false">IF(A87="","Invalid - Exclude",IF(COUNTIF($A$2:A87,A87)&gt;1,"Duplicate - Exclude",IF(OR(B87="",H87="",I87=""),"Invalid - Exclude","Valid")))</f>
        <v>Valid</v>
      </c>
      <c r="S87" s="17" t="str">
        <f aca="false">IF(R87="Valid","",IF(R87="Duplicate - Exclude","Repeat of an earlier Order ID",IF(B87="","Date missing or unreadable",IF(H87="","Quantity missing or unreadable",IF(I87="","Unit price missing or unreadable","Order ID missing")))))</f>
        <v/>
      </c>
    </row>
    <row r="88" customFormat="false" ht="15" hidden="false" customHeight="true" outlineLevel="0" collapsed="false">
      <c r="A88" s="9" t="str">
        <f aca="false">UPPER(TRIM(Raw_Data!A88))</f>
        <v>ORD-1087</v>
      </c>
      <c r="B88" s="10" t="n">
        <f aca="false">IFERROR(IF(ISNUMBER(Raw_Data!B88),Raw_Data!B88,IF(ISNUMBER(FIND("/",Raw_Data!B88)),DATE(VALUE(RIGHT(TRIM(Raw_Data!B88),4)),VALUE(MID(TRIM(Raw_Data!B88),4,2)),VALUE(LEFT(TRIM(Raw_Data!B88),2))),IF(MID(TRIM(Raw_Data!B88),5,1)="-",DATE(VALUE(LEFT(TRIM(Raw_Data!B88),4)),VALUE(MID(TRIM(Raw_Data!B88),6,2)),VALUE(RIGHT(TRIM(Raw_Data!B88),2))),DATE(VALUE(RIGHT(TRIM(Raw_Data!B88),4)),MATCH(MID(TRIM(Raw_Data!B88),4,3),{"Jan","Feb","Mar","Apr","May","Jun","Jul","Aug","Sep","Oct","Nov","Dec"},0),VALUE(LEFT(TRIM(Raw_Data!B88),2)))))),"")</f>
        <v>45819</v>
      </c>
      <c r="C88" s="9" t="str">
        <f aca="false">IF(TRIM(Raw_Data!C88)="","Unknown",PROPER(TRIM(Raw_Data!C88)))</f>
        <v>Iqra Butt</v>
      </c>
      <c r="D88" s="9" t="str">
        <f aca="false">IFERROR(INDEX({"Punjab","Sindh","KPK","Balochistan"},MATCH(UPPER(LEFT(TRIM(Raw_Data!D88),1)),{"P","S","K","B"},0)),IFERROR(INDEX(Data_Dictionary!$G$4:$G$16,MATCH(E88,Data_Dictionary!$F$4:$F$16,0)),"Unassigned"))</f>
        <v>Punjab</v>
      </c>
      <c r="E88" s="9" t="str">
        <f aca="false">IF(TRIM(Raw_Data!E88)="","Unknown",PROPER(TRIM(Raw_Data!E88)))</f>
        <v>Rawalpindi</v>
      </c>
      <c r="F88" s="9" t="str">
        <f aca="false">IFERROR(INDEX({"Electronics","Home &amp; Kitchen","Clothing","Groceries","Beauty"},MATCH(UPPER(LEFT(TRIM(Raw_Data!F88),3)),{"ELE","HOM","CLO","GRO","BEA"},0)),"Uncategorised")</f>
        <v>Groceries</v>
      </c>
      <c r="G88" s="9" t="str">
        <f aca="false">IF(TRIM(Raw_Data!G88)="","Unknown",PROPER(TRIM(Raw_Data!G88)))</f>
        <v>Black Tea Pack</v>
      </c>
      <c r="H88" s="11" t="n">
        <f aca="false">IFERROR(ABS(VALUE(TRIM(Raw_Data!H88))),"")</f>
        <v>3</v>
      </c>
      <c r="I88" s="12" t="n">
        <f aca="false">IFERROR(VALUE(TRIM(SUBSTITUTE(SUBSTITUTE(SUBSTITUTE(SUBSTITUTE(TRIM(Raw_Data!I88),"PKR",""),"Rs.",""),"Rs",""),",",""))),"")</f>
        <v>1450</v>
      </c>
      <c r="J88" s="13" t="n">
        <f aca="false">IFERROR(IF(TRIM(Raw_Data!J88)="",0,IF(VALUE(TRIM(Raw_Data!J88))&gt;1,VALUE(TRIM(Raw_Data!J88))/100,VALUE(TRIM(Raw_Data!J88)))),0)</f>
        <v>0.15</v>
      </c>
      <c r="K88" s="9" t="str">
        <f aca="false">IF(TRIM(Raw_Data!K88)="","Unassigned",PROPER(TRIM(Raw_Data!K88)))</f>
        <v>Faisal Mehmood</v>
      </c>
      <c r="L88" s="9" t="str">
        <f aca="false">IFERROR(INDEX({"Credit Card","Credit Card","Debit Card","Debit Card","Cash","PayPal"},MATCH(UPPER(LEFT(TRIM(Raw_Data!L88),2)),{"CR","CC","DE","DC","CA","PA"},0)),"Other")</f>
        <v>PayPal</v>
      </c>
      <c r="M88" s="9" t="str">
        <f aca="false">IFERROR(INDEX({"Completed","Returned","Cancelled","Pending"},MATCH(UPPER(LEFT(TRIM(Raw_Data!M88),3)),{"COM","RET","CAN","PEN"},0)),"Unknown")</f>
        <v>Pending</v>
      </c>
      <c r="N88" s="14" t="n">
        <f aca="false">IF(OR(H88="",I88=""),"",H88*I88)</f>
        <v>4350</v>
      </c>
      <c r="O88" s="14" t="n">
        <f aca="false">IF(N88="","",N88*J88)</f>
        <v>652.5</v>
      </c>
      <c r="P88" s="14" t="n">
        <f aca="false">IF(N88="","",N88-O88)</f>
        <v>3697.5</v>
      </c>
      <c r="Q88" s="15" t="n">
        <f aca="false">IF(B88="","",DATE(YEAR(B88),MONTH(B88),1))</f>
        <v>45809</v>
      </c>
      <c r="R88" s="16" t="str">
        <f aca="false">IF(A88="","Invalid - Exclude",IF(COUNTIF($A$2:A88,A88)&gt;1,"Duplicate - Exclude",IF(OR(B88="",H88="",I88=""),"Invalid - Exclude","Valid")))</f>
        <v>Valid</v>
      </c>
      <c r="S88" s="16" t="str">
        <f aca="false">IF(R88="Valid","",IF(R88="Duplicate - Exclude","Repeat of an earlier Order ID",IF(B88="","Date missing or unreadable",IF(H88="","Quantity missing or unreadable",IF(I88="","Unit price missing or unreadable","Order ID missing")))))</f>
        <v/>
      </c>
    </row>
    <row r="89" customFormat="false" ht="15" hidden="false" customHeight="true" outlineLevel="0" collapsed="false">
      <c r="A89" s="17" t="str">
        <f aca="false">UPPER(TRIM(Raw_Data!A89))</f>
        <v>ORD-1088</v>
      </c>
      <c r="B89" s="18" t="n">
        <f aca="false">IFERROR(IF(ISNUMBER(Raw_Data!B89),Raw_Data!B89,IF(ISNUMBER(FIND("/",Raw_Data!B89)),DATE(VALUE(RIGHT(TRIM(Raw_Data!B89),4)),VALUE(MID(TRIM(Raw_Data!B89),4,2)),VALUE(LEFT(TRIM(Raw_Data!B89),2))),IF(MID(TRIM(Raw_Data!B89),5,1)="-",DATE(VALUE(LEFT(TRIM(Raw_Data!B89),4)),VALUE(MID(TRIM(Raw_Data!B89),6,2)),VALUE(RIGHT(TRIM(Raw_Data!B89),2))),DATE(VALUE(RIGHT(TRIM(Raw_Data!B89),4)),MATCH(MID(TRIM(Raw_Data!B89),4,3),{"Jan","Feb","Mar","Apr","May","Jun","Jul","Aug","Sep","Oct","Nov","Dec"},0),VALUE(LEFT(TRIM(Raw_Data!B89),2)))))),"")</f>
        <v>45665</v>
      </c>
      <c r="C89" s="17" t="str">
        <f aca="false">IF(TRIM(Raw_Data!C89)="","Unknown",PROPER(TRIM(Raw_Data!C89)))</f>
        <v>Hamza Malik</v>
      </c>
      <c r="D89" s="17" t="str">
        <f aca="false">IFERROR(INDEX({"Punjab","Sindh","KPK","Balochistan"},MATCH(UPPER(LEFT(TRIM(Raw_Data!D89),1)),{"P","S","K","B"},0)),IFERROR(INDEX(Data_Dictionary!$G$4:$G$16,MATCH(E89,Data_Dictionary!$F$4:$F$16,0)),"Unassigned"))</f>
        <v>Punjab</v>
      </c>
      <c r="E89" s="17" t="str">
        <f aca="false">IF(TRIM(Raw_Data!E89)="","Unknown",PROPER(TRIM(Raw_Data!E89)))</f>
        <v>Rawalpindi</v>
      </c>
      <c r="F89" s="17" t="str">
        <f aca="false">IFERROR(INDEX({"Electronics","Home &amp; Kitchen","Clothing","Groceries","Beauty"},MATCH(UPPER(LEFT(TRIM(Raw_Data!F89),3)),{"ELE","HOM","CLO","GRO","BEA"},0)),"Uncategorised")</f>
        <v>Groceries</v>
      </c>
      <c r="G89" s="17" t="str">
        <f aca="false">IF(TRIM(Raw_Data!G89)="","Unknown",PROPER(TRIM(Raw_Data!G89)))</f>
        <v>Refined Sugar 10 Kg</v>
      </c>
      <c r="H89" s="19" t="n">
        <f aca="false">IFERROR(ABS(VALUE(TRIM(Raw_Data!H89))),"")</f>
        <v>3</v>
      </c>
      <c r="I89" s="20" t="n">
        <f aca="false">IFERROR(VALUE(TRIM(SUBSTITUTE(SUBSTITUTE(SUBSTITUTE(SUBSTITUTE(TRIM(Raw_Data!I89),"PKR",""),"Rs.",""),"Rs",""),",",""))),"")</f>
        <v>1650</v>
      </c>
      <c r="J89" s="21" t="n">
        <f aca="false">IFERROR(IF(TRIM(Raw_Data!J89)="",0,IF(VALUE(TRIM(Raw_Data!J89))&gt;1,VALUE(TRIM(Raw_Data!J89))/100,VALUE(TRIM(Raw_Data!J89)))),0)</f>
        <v>0.1</v>
      </c>
      <c r="K89" s="17" t="str">
        <f aca="false">IF(TRIM(Raw_Data!K89)="","Unassigned",PROPER(TRIM(Raw_Data!K89)))</f>
        <v>Faisal Mehmood</v>
      </c>
      <c r="L89" s="17" t="str">
        <f aca="false">IFERROR(INDEX({"Credit Card","Credit Card","Debit Card","Debit Card","Cash","PayPal"},MATCH(UPPER(LEFT(TRIM(Raw_Data!L89),2)),{"CR","CC","DE","DC","CA","PA"},0)),"Other")</f>
        <v>Credit Card</v>
      </c>
      <c r="M89" s="17" t="str">
        <f aca="false">IFERROR(INDEX({"Completed","Returned","Cancelled","Pending"},MATCH(UPPER(LEFT(TRIM(Raw_Data!M89),3)),{"COM","RET","CAN","PEN"},0)),"Unknown")</f>
        <v>Completed</v>
      </c>
      <c r="N89" s="20" t="n">
        <f aca="false">IF(OR(H89="",I89=""),"",H89*I89)</f>
        <v>4950</v>
      </c>
      <c r="O89" s="20" t="n">
        <f aca="false">IF(N89="","",N89*J89)</f>
        <v>495</v>
      </c>
      <c r="P89" s="20" t="n">
        <f aca="false">IF(N89="","",N89-O89)</f>
        <v>4455</v>
      </c>
      <c r="Q89" s="22" t="n">
        <f aca="false">IF(B89="","",DATE(YEAR(B89),MONTH(B89),1))</f>
        <v>45658</v>
      </c>
      <c r="R89" s="17" t="str">
        <f aca="false">IF(A89="","Invalid - Exclude",IF(COUNTIF($A$2:A89,A89)&gt;1,"Duplicate - Exclude",IF(OR(B89="",H89="",I89=""),"Invalid - Exclude","Valid")))</f>
        <v>Valid</v>
      </c>
      <c r="S89" s="17" t="str">
        <f aca="false">IF(R89="Valid","",IF(R89="Duplicate - Exclude","Repeat of an earlier Order ID",IF(B89="","Date missing or unreadable",IF(H89="","Quantity missing or unreadable",IF(I89="","Unit price missing or unreadable","Order ID missing")))))</f>
        <v/>
      </c>
    </row>
    <row r="90" customFormat="false" ht="15" hidden="false" customHeight="true" outlineLevel="0" collapsed="false">
      <c r="A90" s="9" t="str">
        <f aca="false">UPPER(TRIM(Raw_Data!A90))</f>
        <v>ORD-1089</v>
      </c>
      <c r="B90" s="10" t="n">
        <f aca="false">IFERROR(IF(ISNUMBER(Raw_Data!B90),Raw_Data!B90,IF(ISNUMBER(FIND("/",Raw_Data!B90)),DATE(VALUE(RIGHT(TRIM(Raw_Data!B90),4)),VALUE(MID(TRIM(Raw_Data!B90),4,2)),VALUE(LEFT(TRIM(Raw_Data!B90),2))),IF(MID(TRIM(Raw_Data!B90),5,1)="-",DATE(VALUE(LEFT(TRIM(Raw_Data!B90),4)),VALUE(MID(TRIM(Raw_Data!B90),6,2)),VALUE(RIGHT(TRIM(Raw_Data!B90),2))),DATE(VALUE(RIGHT(TRIM(Raw_Data!B90),4)),MATCH(MID(TRIM(Raw_Data!B90),4,3),{"Jan","Feb","Mar","Apr","May","Jun","Jul","Aug","Sep","Oct","Nov","Dec"},0),VALUE(LEFT(TRIM(Raw_Data!B90),2)))))),"")</f>
        <v>45812</v>
      </c>
      <c r="C90" s="9" t="str">
        <f aca="false">IF(TRIM(Raw_Data!C90)="","Unknown",PROPER(TRIM(Raw_Data!C90)))</f>
        <v>Rabia Khan</v>
      </c>
      <c r="D90" s="9" t="str">
        <f aca="false">IFERROR(INDEX({"Punjab","Sindh","KPK","Balochistan"},MATCH(UPPER(LEFT(TRIM(Raw_Data!D90),1)),{"P","S","K","B"},0)),IFERROR(INDEX(Data_Dictionary!$G$4:$G$16,MATCH(E90,Data_Dictionary!$F$4:$F$16,0)),"Unassigned"))</f>
        <v>Punjab</v>
      </c>
      <c r="E90" s="9" t="str">
        <f aca="false">IF(TRIM(Raw_Data!E90)="","Unknown",PROPER(TRIM(Raw_Data!E90)))</f>
        <v>Multan</v>
      </c>
      <c r="F90" s="9" t="str">
        <f aca="false">IFERROR(INDEX({"Electronics","Home &amp; Kitchen","Clothing","Groceries","Beauty"},MATCH(UPPER(LEFT(TRIM(Raw_Data!F90),3)),{"ELE","HOM","CLO","GRO","BEA"},0)),"Uncategorised")</f>
        <v>Electronics</v>
      </c>
      <c r="G90" s="9" t="str">
        <f aca="false">IF(TRIM(Raw_Data!G90)="","Unknown",PROPER(TRIM(Raw_Data!G90)))</f>
        <v>Smart Television 43 Inch</v>
      </c>
      <c r="H90" s="11" t="str">
        <f aca="false">IFERROR(ABS(VALUE(TRIM(Raw_Data!H90))),"")</f>
        <v/>
      </c>
      <c r="I90" s="12" t="str">
        <f aca="false">IFERROR(VALUE(TRIM(SUBSTITUTE(SUBSTITUTE(SUBSTITUTE(SUBSTITUTE(TRIM(Raw_Data!I90),"PKR",""),"Rs.",""),"Rs",""),",",""))),"")</f>
        <v/>
      </c>
      <c r="J90" s="13" t="n">
        <f aca="false">IFERROR(IF(TRIM(Raw_Data!J90)="",0,IF(VALUE(TRIM(Raw_Data!J90))&gt;1,VALUE(TRIM(Raw_Data!J90))/100,VALUE(TRIM(Raw_Data!J90)))),0)</f>
        <v>0.2</v>
      </c>
      <c r="K90" s="9" t="str">
        <f aca="false">IF(TRIM(Raw_Data!K90)="","Unassigned",PROPER(TRIM(Raw_Data!K90)))</f>
        <v>Sadia Noor</v>
      </c>
      <c r="L90" s="9" t="str">
        <f aca="false">IFERROR(INDEX({"Credit Card","Credit Card","Debit Card","Debit Card","Cash","PayPal"},MATCH(UPPER(LEFT(TRIM(Raw_Data!L90),2)),{"CR","CC","DE","DC","CA","PA"},0)),"Other")</f>
        <v>Credit Card</v>
      </c>
      <c r="M90" s="9" t="str">
        <f aca="false">IFERROR(INDEX({"Completed","Returned","Cancelled","Pending"},MATCH(UPPER(LEFT(TRIM(Raw_Data!M90),3)),{"COM","RET","CAN","PEN"},0)),"Unknown")</f>
        <v>Returned</v>
      </c>
      <c r="N90" s="14" t="str">
        <f aca="false">IF(OR(H90="",I90=""),"",H90*I90)</f>
        <v/>
      </c>
      <c r="O90" s="14" t="str">
        <f aca="false">IF(N90="","",N90*J90)</f>
        <v/>
      </c>
      <c r="P90" s="14" t="str">
        <f aca="false">IF(N90="","",N90-O90)</f>
        <v/>
      </c>
      <c r="Q90" s="15" t="n">
        <f aca="false">IF(B90="","",DATE(YEAR(B90),MONTH(B90),1))</f>
        <v>45809</v>
      </c>
      <c r="R90" s="16" t="str">
        <f aca="false">IF(A90="","Invalid - Exclude",IF(COUNTIF($A$2:A90,A90)&gt;1,"Duplicate - Exclude",IF(OR(B90="",H90="",I90=""),"Invalid - Exclude","Valid")))</f>
        <v>Invalid - Exclude</v>
      </c>
      <c r="S90" s="16" t="str">
        <f aca="false">IF(R90="Valid","",IF(R90="Duplicate - Exclude","Repeat of an earlier Order ID",IF(B90="","Date missing or unreadable",IF(H90="","Quantity missing or unreadable",IF(I90="","Unit price missing or unreadable","Order ID missing")))))</f>
        <v>Quantity missing or unreadable</v>
      </c>
    </row>
    <row r="91" customFormat="false" ht="15" hidden="false" customHeight="true" outlineLevel="0" collapsed="false">
      <c r="A91" s="17" t="str">
        <f aca="false">UPPER(TRIM(Raw_Data!A91))</f>
        <v>ORD-1090</v>
      </c>
      <c r="B91" s="18" t="n">
        <f aca="false">IFERROR(IF(ISNUMBER(Raw_Data!B91),Raw_Data!B91,IF(ISNUMBER(FIND("/",Raw_Data!B91)),DATE(VALUE(RIGHT(TRIM(Raw_Data!B91),4)),VALUE(MID(TRIM(Raw_Data!B91),4,2)),VALUE(LEFT(TRIM(Raw_Data!B91),2))),IF(MID(TRIM(Raw_Data!B91),5,1)="-",DATE(VALUE(LEFT(TRIM(Raw_Data!B91),4)),VALUE(MID(TRIM(Raw_Data!B91),6,2)),VALUE(RIGHT(TRIM(Raw_Data!B91),2))),DATE(VALUE(RIGHT(TRIM(Raw_Data!B91),4)),MATCH(MID(TRIM(Raw_Data!B91),4,3),{"Jan","Feb","Mar","Apr","May","Jun","Jul","Aug","Sep","Oct","Nov","Dec"},0),VALUE(LEFT(TRIM(Raw_Data!B91),2)))))),"")</f>
        <v>45945</v>
      </c>
      <c r="C91" s="17" t="str">
        <f aca="false">IF(TRIM(Raw_Data!C91)="","Unknown",PROPER(TRIM(Raw_Data!C91)))</f>
        <v>Iqra Ansari</v>
      </c>
      <c r="D91" s="17" t="str">
        <f aca="false">IFERROR(INDEX({"Punjab","Sindh","KPK","Balochistan"},MATCH(UPPER(LEFT(TRIM(Raw_Data!D91),1)),{"P","S","K","B"},0)),IFERROR(INDEX(Data_Dictionary!$G$4:$G$16,MATCH(E91,Data_Dictionary!$F$4:$F$16,0)),"Unassigned"))</f>
        <v>Punjab</v>
      </c>
      <c r="E91" s="17" t="str">
        <f aca="false">IF(TRIM(Raw_Data!E91)="","Unknown",PROPER(TRIM(Raw_Data!E91)))</f>
        <v>Lahore</v>
      </c>
      <c r="F91" s="17" t="str">
        <f aca="false">IFERROR(INDEX({"Electronics","Home &amp; Kitchen","Clothing","Groceries","Beauty"},MATCH(UPPER(LEFT(TRIM(Raw_Data!F91),3)),{"ELE","HOM","CLO","GRO","BEA"},0)),"Uncategorised")</f>
        <v>Clothing</v>
      </c>
      <c r="G91" s="17" t="str">
        <f aca="false">IF(TRIM(Raw_Data!G91)="","Unknown",PROPER(TRIM(Raw_Data!G91)))</f>
        <v>Winter Jacket</v>
      </c>
      <c r="H91" s="19" t="n">
        <f aca="false">IFERROR(ABS(VALUE(TRIM(Raw_Data!H91))),"")</f>
        <v>2</v>
      </c>
      <c r="I91" s="20" t="n">
        <f aca="false">IFERROR(VALUE(TRIM(SUBSTITUTE(SUBSTITUTE(SUBSTITUTE(SUBSTITUTE(TRIM(Raw_Data!I91),"PKR",""),"Rs.",""),"Rs",""),",",""))),"")</f>
        <v>9950</v>
      </c>
      <c r="J91" s="21" t="n">
        <f aca="false">IFERROR(IF(TRIM(Raw_Data!J91)="",0,IF(VALUE(TRIM(Raw_Data!J91))&gt;1,VALUE(TRIM(Raw_Data!J91))/100,VALUE(TRIM(Raw_Data!J91)))),0)</f>
        <v>0.05</v>
      </c>
      <c r="K91" s="17" t="str">
        <f aca="false">IF(TRIM(Raw_Data!K91)="","Unassigned",PROPER(TRIM(Raw_Data!K91)))</f>
        <v>Waqar Ahmed</v>
      </c>
      <c r="L91" s="17" t="str">
        <f aca="false">IFERROR(INDEX({"Credit Card","Credit Card","Debit Card","Debit Card","Cash","PayPal"},MATCH(UPPER(LEFT(TRIM(Raw_Data!L91),2)),{"CR","CC","DE","DC","CA","PA"},0)),"Other")</f>
        <v>Credit Card</v>
      </c>
      <c r="M91" s="17" t="str">
        <f aca="false">IFERROR(INDEX({"Completed","Returned","Cancelled","Pending"},MATCH(UPPER(LEFT(TRIM(Raw_Data!M91),3)),{"COM","RET","CAN","PEN"},0)),"Unknown")</f>
        <v>Completed</v>
      </c>
      <c r="N91" s="20" t="n">
        <f aca="false">IF(OR(H91="",I91=""),"",H91*I91)</f>
        <v>19900</v>
      </c>
      <c r="O91" s="20" t="n">
        <f aca="false">IF(N91="","",N91*J91)</f>
        <v>995</v>
      </c>
      <c r="P91" s="20" t="n">
        <f aca="false">IF(N91="","",N91-O91)</f>
        <v>18905</v>
      </c>
      <c r="Q91" s="22" t="n">
        <f aca="false">IF(B91="","",DATE(YEAR(B91),MONTH(B91),1))</f>
        <v>45931</v>
      </c>
      <c r="R91" s="17" t="str">
        <f aca="false">IF(A91="","Invalid - Exclude",IF(COUNTIF($A$2:A91,A91)&gt;1,"Duplicate - Exclude",IF(OR(B91="",H91="",I91=""),"Invalid - Exclude","Valid")))</f>
        <v>Valid</v>
      </c>
      <c r="S91" s="17" t="str">
        <f aca="false">IF(R91="Valid","",IF(R91="Duplicate - Exclude","Repeat of an earlier Order ID",IF(B91="","Date missing or unreadable",IF(H91="","Quantity missing or unreadable",IF(I91="","Unit price missing or unreadable","Order ID missing")))))</f>
        <v/>
      </c>
    </row>
    <row r="92" customFormat="false" ht="15" hidden="false" customHeight="true" outlineLevel="0" collapsed="false">
      <c r="A92" s="9" t="str">
        <f aca="false">UPPER(TRIM(Raw_Data!A92))</f>
        <v>ORD-1091</v>
      </c>
      <c r="B92" s="10" t="n">
        <f aca="false">IFERROR(IF(ISNUMBER(Raw_Data!B92),Raw_Data!B92,IF(ISNUMBER(FIND("/",Raw_Data!B92)),DATE(VALUE(RIGHT(TRIM(Raw_Data!B92),4)),VALUE(MID(TRIM(Raw_Data!B92),4,2)),VALUE(LEFT(TRIM(Raw_Data!B92),2))),IF(MID(TRIM(Raw_Data!B92),5,1)="-",DATE(VALUE(LEFT(TRIM(Raw_Data!B92),4)),VALUE(MID(TRIM(Raw_Data!B92),6,2)),VALUE(RIGHT(TRIM(Raw_Data!B92),2))),DATE(VALUE(RIGHT(TRIM(Raw_Data!B92),4)),MATCH(MID(TRIM(Raw_Data!B92),4,3),{"Jan","Feb","Mar","Apr","May","Jun","Jul","Aug","Sep","Oct","Nov","Dec"},0),VALUE(LEFT(TRIM(Raw_Data!B92),2)))))),"")</f>
        <v>45859</v>
      </c>
      <c r="C92" s="9" t="str">
        <f aca="false">IF(TRIM(Raw_Data!C92)="","Unknown",PROPER(TRIM(Raw_Data!C92)))</f>
        <v>Hina Hussain</v>
      </c>
      <c r="D92" s="9" t="str">
        <f aca="false">IFERROR(INDEX({"Punjab","Sindh","KPK","Balochistan"},MATCH(UPPER(LEFT(TRIM(Raw_Data!D92),1)),{"P","S","K","B"},0)),IFERROR(INDEX(Data_Dictionary!$G$4:$G$16,MATCH(E92,Data_Dictionary!$F$4:$F$16,0)),"Unassigned"))</f>
        <v>Punjab</v>
      </c>
      <c r="E92" s="9" t="str">
        <f aca="false">IF(TRIM(Raw_Data!E92)="","Unknown",PROPER(TRIM(Raw_Data!E92)))</f>
        <v>Gujranwala</v>
      </c>
      <c r="F92" s="9" t="str">
        <f aca="false">IFERROR(INDEX({"Electronics","Home &amp; Kitchen","Clothing","Groceries","Beauty"},MATCH(UPPER(LEFT(TRIM(Raw_Data!F92),3)),{"ELE","HOM","CLO","GRO","BEA"},0)),"Uncategorised")</f>
        <v>Electronics</v>
      </c>
      <c r="G92" s="9" t="str">
        <f aca="false">IF(TRIM(Raw_Data!G92)="","Unknown",PROPER(TRIM(Raw_Data!G92)))</f>
        <v>Smart Television 43 Inch</v>
      </c>
      <c r="H92" s="11" t="n">
        <f aca="false">IFERROR(ABS(VALUE(TRIM(Raw_Data!H92))),"")</f>
        <v>3</v>
      </c>
      <c r="I92" s="12" t="n">
        <f aca="false">IFERROR(VALUE(TRIM(SUBSTITUTE(SUBSTITUTE(SUBSTITUTE(SUBSTITUTE(TRIM(Raw_Data!I92),"PKR",""),"Rs.",""),"Rs",""),",",""))),"")</f>
        <v>50600</v>
      </c>
      <c r="J92" s="13" t="n">
        <f aca="false">IFERROR(IF(TRIM(Raw_Data!J92)="",0,IF(VALUE(TRIM(Raw_Data!J92))&gt;1,VALUE(TRIM(Raw_Data!J92))/100,VALUE(TRIM(Raw_Data!J92)))),0)</f>
        <v>0.1</v>
      </c>
      <c r="K92" s="9" t="str">
        <f aca="false">IF(TRIM(Raw_Data!K92)="","Unassigned",PROPER(TRIM(Raw_Data!K92)))</f>
        <v>Unassigned</v>
      </c>
      <c r="L92" s="9" t="str">
        <f aca="false">IFERROR(INDEX({"Credit Card","Credit Card","Debit Card","Debit Card","Cash","PayPal"},MATCH(UPPER(LEFT(TRIM(Raw_Data!L92),2)),{"CR","CC","DE","DC","CA","PA"},0)),"Other")</f>
        <v>Credit Card</v>
      </c>
      <c r="M92" s="9" t="str">
        <f aca="false">IFERROR(INDEX({"Completed","Returned","Cancelled","Pending"},MATCH(UPPER(LEFT(TRIM(Raw_Data!M92),3)),{"COM","RET","CAN","PEN"},0)),"Unknown")</f>
        <v>Completed</v>
      </c>
      <c r="N92" s="14" t="n">
        <f aca="false">IF(OR(H92="",I92=""),"",H92*I92)</f>
        <v>151800</v>
      </c>
      <c r="O92" s="14" t="n">
        <f aca="false">IF(N92="","",N92*J92)</f>
        <v>15180</v>
      </c>
      <c r="P92" s="14" t="n">
        <f aca="false">IF(N92="","",N92-O92)</f>
        <v>136620</v>
      </c>
      <c r="Q92" s="15" t="n">
        <f aca="false">IF(B92="","",DATE(YEAR(B92),MONTH(B92),1))</f>
        <v>45839</v>
      </c>
      <c r="R92" s="16" t="str">
        <f aca="false">IF(A92="","Invalid - Exclude",IF(COUNTIF($A$2:A92,A92)&gt;1,"Duplicate - Exclude",IF(OR(B92="",H92="",I92=""),"Invalid - Exclude","Valid")))</f>
        <v>Valid</v>
      </c>
      <c r="S92" s="16" t="str">
        <f aca="false">IF(R92="Valid","",IF(R92="Duplicate - Exclude","Repeat of an earlier Order ID",IF(B92="","Date missing or unreadable",IF(H92="","Quantity missing or unreadable",IF(I92="","Unit price missing or unreadable","Order ID missing")))))</f>
        <v/>
      </c>
    </row>
    <row r="93" customFormat="false" ht="15" hidden="false" customHeight="true" outlineLevel="0" collapsed="false">
      <c r="A93" s="17" t="str">
        <f aca="false">UPPER(TRIM(Raw_Data!A93))</f>
        <v>ORD-1092</v>
      </c>
      <c r="B93" s="18" t="n">
        <f aca="false">IFERROR(IF(ISNUMBER(Raw_Data!B93),Raw_Data!B93,IF(ISNUMBER(FIND("/",Raw_Data!B93)),DATE(VALUE(RIGHT(TRIM(Raw_Data!B93),4)),VALUE(MID(TRIM(Raw_Data!B93),4,2)),VALUE(LEFT(TRIM(Raw_Data!B93),2))),IF(MID(TRIM(Raw_Data!B93),5,1)="-",DATE(VALUE(LEFT(TRIM(Raw_Data!B93),4)),VALUE(MID(TRIM(Raw_Data!B93),6,2)),VALUE(RIGHT(TRIM(Raw_Data!B93),2))),DATE(VALUE(RIGHT(TRIM(Raw_Data!B93),4)),MATCH(MID(TRIM(Raw_Data!B93),4,3),{"Jan","Feb","Mar","Apr","May","Jun","Jul","Aug","Sep","Oct","Nov","Dec"},0),VALUE(LEFT(TRIM(Raw_Data!B93),2)))))),"")</f>
        <v>45908</v>
      </c>
      <c r="C93" s="17" t="str">
        <f aca="false">IF(TRIM(Raw_Data!C93)="","Unknown",PROPER(TRIM(Raw_Data!C93)))</f>
        <v>Hassan Qureshi</v>
      </c>
      <c r="D93" s="17" t="str">
        <f aca="false">IFERROR(INDEX({"Punjab","Sindh","KPK","Balochistan"},MATCH(UPPER(LEFT(TRIM(Raw_Data!D93),1)),{"P","S","K","B"},0)),IFERROR(INDEX(Data_Dictionary!$G$4:$G$16,MATCH(E93,Data_Dictionary!$F$4:$F$16,0)),"Unassigned"))</f>
        <v>Sindh</v>
      </c>
      <c r="E93" s="17" t="str">
        <f aca="false">IF(TRIM(Raw_Data!E93)="","Unknown",PROPER(TRIM(Raw_Data!E93)))</f>
        <v>Sukkur</v>
      </c>
      <c r="F93" s="17" t="str">
        <f aca="false">IFERROR(INDEX({"Electronics","Home &amp; Kitchen","Clothing","Groceries","Beauty"},MATCH(UPPER(LEFT(TRIM(Raw_Data!F93),3)),{"ELE","HOM","CLO","GRO","BEA"},0)),"Uncategorised")</f>
        <v>Groceries</v>
      </c>
      <c r="G93" s="17" t="str">
        <f aca="false">IF(TRIM(Raw_Data!G93)="","Unknown",PROPER(TRIM(Raw_Data!G93)))</f>
        <v>Refined Sugar 10 Kg</v>
      </c>
      <c r="H93" s="19" t="n">
        <f aca="false">IFERROR(ABS(VALUE(TRIM(Raw_Data!H93))),"")</f>
        <v>6</v>
      </c>
      <c r="I93" s="20" t="str">
        <f aca="false">IFERROR(VALUE(TRIM(SUBSTITUTE(SUBSTITUTE(SUBSTITUTE(SUBSTITUTE(TRIM(Raw_Data!I93),"PKR",""),"Rs.",""),"Rs",""),",",""))),"")</f>
        <v/>
      </c>
      <c r="J93" s="21" t="n">
        <f aca="false">IFERROR(IF(TRIM(Raw_Data!J93)="",0,IF(VALUE(TRIM(Raw_Data!J93))&gt;1,VALUE(TRIM(Raw_Data!J93))/100,VALUE(TRIM(Raw_Data!J93)))),0)</f>
        <v>0</v>
      </c>
      <c r="K93" s="17" t="str">
        <f aca="false">IF(TRIM(Raw_Data!K93)="","Unassigned",PROPER(TRIM(Raw_Data!K93)))</f>
        <v>Faisal Mehmood</v>
      </c>
      <c r="L93" s="17" t="str">
        <f aca="false">IFERROR(INDEX({"Credit Card","Credit Card","Debit Card","Debit Card","Cash","PayPal"},MATCH(UPPER(LEFT(TRIM(Raw_Data!L93),2)),{"CR","CC","DE","DC","CA","PA"},0)),"Other")</f>
        <v>Credit Card</v>
      </c>
      <c r="M93" s="17" t="str">
        <f aca="false">IFERROR(INDEX({"Completed","Returned","Cancelled","Pending"},MATCH(UPPER(LEFT(TRIM(Raw_Data!M93),3)),{"COM","RET","CAN","PEN"},0)),"Unknown")</f>
        <v>Completed</v>
      </c>
      <c r="N93" s="20" t="str">
        <f aca="false">IF(OR(H93="",I93=""),"",H93*I93)</f>
        <v/>
      </c>
      <c r="O93" s="20" t="str">
        <f aca="false">IF(N93="","",N93*J93)</f>
        <v/>
      </c>
      <c r="P93" s="20" t="str">
        <f aca="false">IF(N93="","",N93-O93)</f>
        <v/>
      </c>
      <c r="Q93" s="22" t="n">
        <f aca="false">IF(B93="","",DATE(YEAR(B93),MONTH(B93),1))</f>
        <v>45901</v>
      </c>
      <c r="R93" s="17" t="str">
        <f aca="false">IF(A93="","Invalid - Exclude",IF(COUNTIF($A$2:A93,A93)&gt;1,"Duplicate - Exclude",IF(OR(B93="",H93="",I93=""),"Invalid - Exclude","Valid")))</f>
        <v>Invalid - Exclude</v>
      </c>
      <c r="S93" s="17" t="str">
        <f aca="false">IF(R93="Valid","",IF(R93="Duplicate - Exclude","Repeat of an earlier Order ID",IF(B93="","Date missing or unreadable",IF(H93="","Quantity missing or unreadable",IF(I93="","Unit price missing or unreadable","Order ID missing")))))</f>
        <v>Unit price missing or unreadable</v>
      </c>
    </row>
    <row r="94" customFormat="false" ht="15" hidden="false" customHeight="true" outlineLevel="0" collapsed="false">
      <c r="A94" s="9" t="str">
        <f aca="false">UPPER(TRIM(Raw_Data!A94))</f>
        <v>ORD-1093</v>
      </c>
      <c r="B94" s="10" t="n">
        <f aca="false">IFERROR(IF(ISNUMBER(Raw_Data!B94),Raw_Data!B94,IF(ISNUMBER(FIND("/",Raw_Data!B94)),DATE(VALUE(RIGHT(TRIM(Raw_Data!B94),4)),VALUE(MID(TRIM(Raw_Data!B94),4,2)),VALUE(LEFT(TRIM(Raw_Data!B94),2))),IF(MID(TRIM(Raw_Data!B94),5,1)="-",DATE(VALUE(LEFT(TRIM(Raw_Data!B94),4)),VALUE(MID(TRIM(Raw_Data!B94),6,2)),VALUE(RIGHT(TRIM(Raw_Data!B94),2))),DATE(VALUE(RIGHT(TRIM(Raw_Data!B94),4)),MATCH(MID(TRIM(Raw_Data!B94),4,3),{"Jan","Feb","Mar","Apr","May","Jun","Jul","Aug","Sep","Oct","Nov","Dec"},0),VALUE(LEFT(TRIM(Raw_Data!B94),2)))))),"")</f>
        <v>45841</v>
      </c>
      <c r="C94" s="9" t="str">
        <f aca="false">IF(TRIM(Raw_Data!C94)="","Unknown",PROPER(TRIM(Raw_Data!C94)))</f>
        <v>Bilal Hussain</v>
      </c>
      <c r="D94" s="9" t="str">
        <f aca="false">IFERROR(INDEX({"Punjab","Sindh","KPK","Balochistan"},MATCH(UPPER(LEFT(TRIM(Raw_Data!D94),1)),{"P","S","K","B"},0)),IFERROR(INDEX(Data_Dictionary!$G$4:$G$16,MATCH(E94,Data_Dictionary!$F$4:$F$16,0)),"Unassigned"))</f>
        <v>Sindh</v>
      </c>
      <c r="E94" s="9" t="str">
        <f aca="false">IF(TRIM(Raw_Data!E94)="","Unknown",PROPER(TRIM(Raw_Data!E94)))</f>
        <v>Karachi</v>
      </c>
      <c r="F94" s="9" t="str">
        <f aca="false">IFERROR(INDEX({"Electronics","Home &amp; Kitchen","Clothing","Groceries","Beauty"},MATCH(UPPER(LEFT(TRIM(Raw_Data!F94),3)),{"ELE","HOM","CLO","GRO","BEA"},0)),"Uncategorised")</f>
        <v>Clothing</v>
      </c>
      <c r="G94" s="9" t="str">
        <f aca="false">IF(TRIM(Raw_Data!G94)="","Unknown",PROPER(TRIM(Raw_Data!G94)))</f>
        <v>Winter Jacket</v>
      </c>
      <c r="H94" s="11" t="n">
        <f aca="false">IFERROR(ABS(VALUE(TRIM(Raw_Data!H94))),"")</f>
        <v>3</v>
      </c>
      <c r="I94" s="12" t="n">
        <f aca="false">IFERROR(VALUE(TRIM(SUBSTITUTE(SUBSTITUTE(SUBSTITUTE(SUBSTITUTE(TRIM(Raw_Data!I94),"PKR",""),"Rs.",""),"Rs",""),",",""))),"")</f>
        <v>9600</v>
      </c>
      <c r="J94" s="13" t="n">
        <f aca="false">IFERROR(IF(TRIM(Raw_Data!J94)="",0,IF(VALUE(TRIM(Raw_Data!J94))&gt;1,VALUE(TRIM(Raw_Data!J94))/100,VALUE(TRIM(Raw_Data!J94)))),0)</f>
        <v>0.1</v>
      </c>
      <c r="K94" s="9" t="str">
        <f aca="false">IF(TRIM(Raw_Data!K94)="","Unassigned",PROPER(TRIM(Raw_Data!K94)))</f>
        <v>Zoya Tariq</v>
      </c>
      <c r="L94" s="9" t="str">
        <f aca="false">IFERROR(INDEX({"Credit Card","Credit Card","Debit Card","Debit Card","Cash","PayPal"},MATCH(UPPER(LEFT(TRIM(Raw_Data!L94),2)),{"CR","CC","DE","DC","CA","PA"},0)),"Other")</f>
        <v>Credit Card</v>
      </c>
      <c r="M94" s="9" t="str">
        <f aca="false">IFERROR(INDEX({"Completed","Returned","Cancelled","Pending"},MATCH(UPPER(LEFT(TRIM(Raw_Data!M94),3)),{"COM","RET","CAN","PEN"},0)),"Unknown")</f>
        <v>Completed</v>
      </c>
      <c r="N94" s="14" t="n">
        <f aca="false">IF(OR(H94="",I94=""),"",H94*I94)</f>
        <v>28800</v>
      </c>
      <c r="O94" s="14" t="n">
        <f aca="false">IF(N94="","",N94*J94)</f>
        <v>2880</v>
      </c>
      <c r="P94" s="14" t="n">
        <f aca="false">IF(N94="","",N94-O94)</f>
        <v>25920</v>
      </c>
      <c r="Q94" s="15" t="n">
        <f aca="false">IF(B94="","",DATE(YEAR(B94),MONTH(B94),1))</f>
        <v>45839</v>
      </c>
      <c r="R94" s="16" t="str">
        <f aca="false">IF(A94="","Invalid - Exclude",IF(COUNTIF($A$2:A94,A94)&gt;1,"Duplicate - Exclude",IF(OR(B94="",H94="",I94=""),"Invalid - Exclude","Valid")))</f>
        <v>Valid</v>
      </c>
      <c r="S94" s="16" t="str">
        <f aca="false">IF(R94="Valid","",IF(R94="Duplicate - Exclude","Repeat of an earlier Order ID",IF(B94="","Date missing or unreadable",IF(H94="","Quantity missing or unreadable",IF(I94="","Unit price missing or unreadable","Order ID missing")))))</f>
        <v/>
      </c>
    </row>
    <row r="95" customFormat="false" ht="15" hidden="false" customHeight="true" outlineLevel="0" collapsed="false">
      <c r="A95" s="17" t="str">
        <f aca="false">UPPER(TRIM(Raw_Data!A95))</f>
        <v>ORD-1094</v>
      </c>
      <c r="B95" s="18" t="n">
        <f aca="false">IFERROR(IF(ISNUMBER(Raw_Data!B95),Raw_Data!B95,IF(ISNUMBER(FIND("/",Raw_Data!B95)),DATE(VALUE(RIGHT(TRIM(Raw_Data!B95),4)),VALUE(MID(TRIM(Raw_Data!B95),4,2)),VALUE(LEFT(TRIM(Raw_Data!B95),2))),IF(MID(TRIM(Raw_Data!B95),5,1)="-",DATE(VALUE(LEFT(TRIM(Raw_Data!B95),4)),VALUE(MID(TRIM(Raw_Data!B95),6,2)),VALUE(RIGHT(TRIM(Raw_Data!B95),2))),DATE(VALUE(RIGHT(TRIM(Raw_Data!B95),4)),MATCH(MID(TRIM(Raw_Data!B95),4,3),{"Jan","Feb","Mar","Apr","May","Jun","Jul","Aug","Sep","Oct","Nov","Dec"},0),VALUE(LEFT(TRIM(Raw_Data!B95),2)))))),"")</f>
        <v>45993</v>
      </c>
      <c r="C95" s="17" t="str">
        <f aca="false">IF(TRIM(Raw_Data!C95)="","Unknown",PROPER(TRIM(Raw_Data!C95)))</f>
        <v>Noor Sheikh</v>
      </c>
      <c r="D95" s="17" t="str">
        <f aca="false">IFERROR(INDEX({"Punjab","Sindh","KPK","Balochistan"},MATCH(UPPER(LEFT(TRIM(Raw_Data!D95),1)),{"P","S","K","B"},0)),IFERROR(INDEX(Data_Dictionary!$G$4:$G$16,MATCH(E95,Data_Dictionary!$F$4:$F$16,0)),"Unassigned"))</f>
        <v>Punjab</v>
      </c>
      <c r="E95" s="17" t="str">
        <f aca="false">IF(TRIM(Raw_Data!E95)="","Unknown",PROPER(TRIM(Raw_Data!E95)))</f>
        <v>Faisalabad</v>
      </c>
      <c r="F95" s="17" t="str">
        <f aca="false">IFERROR(INDEX({"Electronics","Home &amp; Kitchen","Clothing","Groceries","Beauty"},MATCH(UPPER(LEFT(TRIM(Raw_Data!F95),3)),{"ELE","HOM","CLO","GRO","BEA"},0)),"Uncategorised")</f>
        <v>Clothing</v>
      </c>
      <c r="G95" s="17" t="str">
        <f aca="false">IF(TRIM(Raw_Data!G95)="","Unknown",PROPER(TRIM(Raw_Data!G95)))</f>
        <v>Winter Jacket</v>
      </c>
      <c r="H95" s="19" t="n">
        <f aca="false">IFERROR(ABS(VALUE(TRIM(Raw_Data!H95))),"")</f>
        <v>3</v>
      </c>
      <c r="I95" s="20" t="n">
        <f aca="false">IFERROR(VALUE(TRIM(SUBSTITUTE(SUBSTITUTE(SUBSTITUTE(SUBSTITUTE(TRIM(Raw_Data!I95),"PKR",""),"Rs.",""),"Rs",""),",",""))),"")</f>
        <v>10100</v>
      </c>
      <c r="J95" s="21" t="n">
        <f aca="false">IFERROR(IF(TRIM(Raw_Data!J95)="",0,IF(VALUE(TRIM(Raw_Data!J95))&gt;1,VALUE(TRIM(Raw_Data!J95))/100,VALUE(TRIM(Raw_Data!J95)))),0)</f>
        <v>0.1</v>
      </c>
      <c r="K95" s="17" t="str">
        <f aca="false">IF(TRIM(Raw_Data!K95)="","Unassigned",PROPER(TRIM(Raw_Data!K95)))</f>
        <v>Nimra Aslam</v>
      </c>
      <c r="L95" s="17" t="str">
        <f aca="false">IFERROR(INDEX({"Credit Card","Credit Card","Debit Card","Debit Card","Cash","PayPal"},MATCH(UPPER(LEFT(TRIM(Raw_Data!L95),2)),{"CR","CC","DE","DC","CA","PA"},0)),"Other")</f>
        <v>PayPal</v>
      </c>
      <c r="M95" s="17" t="str">
        <f aca="false">IFERROR(INDEX({"Completed","Returned","Cancelled","Pending"},MATCH(UPPER(LEFT(TRIM(Raw_Data!M95),3)),{"COM","RET","CAN","PEN"},0)),"Unknown")</f>
        <v>Returned</v>
      </c>
      <c r="N95" s="20" t="n">
        <f aca="false">IF(OR(H95="",I95=""),"",H95*I95)</f>
        <v>30300</v>
      </c>
      <c r="O95" s="20" t="n">
        <f aca="false">IF(N95="","",N95*J95)</f>
        <v>3030</v>
      </c>
      <c r="P95" s="20" t="n">
        <f aca="false">IF(N95="","",N95-O95)</f>
        <v>27270</v>
      </c>
      <c r="Q95" s="22" t="n">
        <f aca="false">IF(B95="","",DATE(YEAR(B95),MONTH(B95),1))</f>
        <v>45992</v>
      </c>
      <c r="R95" s="17" t="str">
        <f aca="false">IF(A95="","Invalid - Exclude",IF(COUNTIF($A$2:A95,A95)&gt;1,"Duplicate - Exclude",IF(OR(B95="",H95="",I95=""),"Invalid - Exclude","Valid")))</f>
        <v>Valid</v>
      </c>
      <c r="S95" s="17" t="str">
        <f aca="false">IF(R95="Valid","",IF(R95="Duplicate - Exclude","Repeat of an earlier Order ID",IF(B95="","Date missing or unreadable",IF(H95="","Quantity missing or unreadable",IF(I95="","Unit price missing or unreadable","Order ID missing")))))</f>
        <v/>
      </c>
    </row>
    <row r="96" customFormat="false" ht="15" hidden="false" customHeight="true" outlineLevel="0" collapsed="false">
      <c r="A96" s="9" t="str">
        <f aca="false">UPPER(TRIM(Raw_Data!A96))</f>
        <v>ORD-1095</v>
      </c>
      <c r="B96" s="10" t="n">
        <f aca="false">IFERROR(IF(ISNUMBER(Raw_Data!B96),Raw_Data!B96,IF(ISNUMBER(FIND("/",Raw_Data!B96)),DATE(VALUE(RIGHT(TRIM(Raw_Data!B96),4)),VALUE(MID(TRIM(Raw_Data!B96),4,2)),VALUE(LEFT(TRIM(Raw_Data!B96),2))),IF(MID(TRIM(Raw_Data!B96),5,1)="-",DATE(VALUE(LEFT(TRIM(Raw_Data!B96),4)),VALUE(MID(TRIM(Raw_Data!B96),6,2)),VALUE(RIGHT(TRIM(Raw_Data!B96),2))),DATE(VALUE(RIGHT(TRIM(Raw_Data!B96),4)),MATCH(MID(TRIM(Raw_Data!B96),4,3),{"Jan","Feb","Mar","Apr","May","Jun","Jul","Aug","Sep","Oct","Nov","Dec"},0),VALUE(LEFT(TRIM(Raw_Data!B96),2)))))),"")</f>
        <v>46022</v>
      </c>
      <c r="C96" s="9" t="str">
        <f aca="false">IF(TRIM(Raw_Data!C96)="","Unknown",PROPER(TRIM(Raw_Data!C96)))</f>
        <v>Fatima Mirza</v>
      </c>
      <c r="D96" s="9" t="str">
        <f aca="false">IFERROR(INDEX({"Punjab","Sindh","KPK","Balochistan"},MATCH(UPPER(LEFT(TRIM(Raw_Data!D96),1)),{"P","S","K","B"},0)),IFERROR(INDEX(Data_Dictionary!$G$4:$G$16,MATCH(E96,Data_Dictionary!$F$4:$F$16,0)),"Unassigned"))</f>
        <v>Punjab</v>
      </c>
      <c r="E96" s="9" t="str">
        <f aca="false">IF(TRIM(Raw_Data!E96)="","Unknown",PROPER(TRIM(Raw_Data!E96)))</f>
        <v>Multan</v>
      </c>
      <c r="F96" s="9" t="str">
        <f aca="false">IFERROR(INDEX({"Electronics","Home &amp; Kitchen","Clothing","Groceries","Beauty"},MATCH(UPPER(LEFT(TRIM(Raw_Data!F96),3)),{"ELE","HOM","CLO","GRO","BEA"},0)),"Uncategorised")</f>
        <v>Beauty</v>
      </c>
      <c r="G96" s="9" t="str">
        <f aca="false">IF(TRIM(Raw_Data!G96)="","Unknown",PROPER(TRIM(Raw_Data!G96)))</f>
        <v>Face Wash</v>
      </c>
      <c r="H96" s="11" t="n">
        <f aca="false">IFERROR(ABS(VALUE(TRIM(Raw_Data!H96))),"")</f>
        <v>5</v>
      </c>
      <c r="I96" s="12" t="n">
        <f aca="false">IFERROR(VALUE(TRIM(SUBSTITUTE(SUBSTITUTE(SUBSTITUTE(SUBSTITUTE(TRIM(Raw_Data!I96),"PKR",""),"Rs.",""),"Rs",""),",",""))),"")</f>
        <v>850</v>
      </c>
      <c r="J96" s="13" t="n">
        <f aca="false">IFERROR(IF(TRIM(Raw_Data!J96)="",0,IF(VALUE(TRIM(Raw_Data!J96))&gt;1,VALUE(TRIM(Raw_Data!J96))/100,VALUE(TRIM(Raw_Data!J96)))),0)</f>
        <v>0</v>
      </c>
      <c r="K96" s="9" t="str">
        <f aca="false">IF(TRIM(Raw_Data!K96)="","Unassigned",PROPER(TRIM(Raw_Data!K96)))</f>
        <v>Waqar Ahmed</v>
      </c>
      <c r="L96" s="9" t="str">
        <f aca="false">IFERROR(INDEX({"Credit Card","Credit Card","Debit Card","Debit Card","Cash","PayPal"},MATCH(UPPER(LEFT(TRIM(Raw_Data!L96),2)),{"CR","CC","DE","DC","CA","PA"},0)),"Other")</f>
        <v>Debit Card</v>
      </c>
      <c r="M96" s="9" t="str">
        <f aca="false">IFERROR(INDEX({"Completed","Returned","Cancelled","Pending"},MATCH(UPPER(LEFT(TRIM(Raw_Data!M96),3)),{"COM","RET","CAN","PEN"},0)),"Unknown")</f>
        <v>Completed</v>
      </c>
      <c r="N96" s="14" t="n">
        <f aca="false">IF(OR(H96="",I96=""),"",H96*I96)</f>
        <v>4250</v>
      </c>
      <c r="O96" s="14" t="n">
        <f aca="false">IF(N96="","",N96*J96)</f>
        <v>0</v>
      </c>
      <c r="P96" s="14" t="n">
        <f aca="false">IF(N96="","",N96-O96)</f>
        <v>4250</v>
      </c>
      <c r="Q96" s="15" t="n">
        <f aca="false">IF(B96="","",DATE(YEAR(B96),MONTH(B96),1))</f>
        <v>45992</v>
      </c>
      <c r="R96" s="16" t="str">
        <f aca="false">IF(A96="","Invalid - Exclude",IF(COUNTIF($A$2:A96,A96)&gt;1,"Duplicate - Exclude",IF(OR(B96="",H96="",I96=""),"Invalid - Exclude","Valid")))</f>
        <v>Valid</v>
      </c>
      <c r="S96" s="16" t="str">
        <f aca="false">IF(R96="Valid","",IF(R96="Duplicate - Exclude","Repeat of an earlier Order ID",IF(B96="","Date missing or unreadable",IF(H96="","Quantity missing or unreadable",IF(I96="","Unit price missing or unreadable","Order ID missing")))))</f>
        <v/>
      </c>
    </row>
    <row r="97" customFormat="false" ht="15" hidden="false" customHeight="true" outlineLevel="0" collapsed="false">
      <c r="A97" s="17" t="str">
        <f aca="false">UPPER(TRIM(Raw_Data!A97))</f>
        <v>ORD-1096</v>
      </c>
      <c r="B97" s="18" t="n">
        <f aca="false">IFERROR(IF(ISNUMBER(Raw_Data!B97),Raw_Data!B97,IF(ISNUMBER(FIND("/",Raw_Data!B97)),DATE(VALUE(RIGHT(TRIM(Raw_Data!B97),4)),VALUE(MID(TRIM(Raw_Data!B97),4,2)),VALUE(LEFT(TRIM(Raw_Data!B97),2))),IF(MID(TRIM(Raw_Data!B97),5,1)="-",DATE(VALUE(LEFT(TRIM(Raw_Data!B97),4)),VALUE(MID(TRIM(Raw_Data!B97),6,2)),VALUE(RIGHT(TRIM(Raw_Data!B97),2))),DATE(VALUE(RIGHT(TRIM(Raw_Data!B97),4)),MATCH(MID(TRIM(Raw_Data!B97),4,3),{"Jan","Feb","Mar","Apr","May","Jun","Jul","Aug","Sep","Oct","Nov","Dec"},0),VALUE(LEFT(TRIM(Raw_Data!B97),2)))))),"")</f>
        <v>45912</v>
      </c>
      <c r="C97" s="17" t="str">
        <f aca="false">IF(TRIM(Raw_Data!C97)="","Unknown",PROPER(TRIM(Raw_Data!C97)))</f>
        <v>Hamza Hussain</v>
      </c>
      <c r="D97" s="17" t="str">
        <f aca="false">IFERROR(INDEX({"Punjab","Sindh","KPK","Balochistan"},MATCH(UPPER(LEFT(TRIM(Raw_Data!D97),1)),{"P","S","K","B"},0)),IFERROR(INDEX(Data_Dictionary!$G$4:$G$16,MATCH(E97,Data_Dictionary!$F$4:$F$16,0)),"Unassigned"))</f>
        <v>Punjab</v>
      </c>
      <c r="E97" s="17" t="str">
        <f aca="false">IF(TRIM(Raw_Data!E97)="","Unknown",PROPER(TRIM(Raw_Data!E97)))</f>
        <v>Gujranwala</v>
      </c>
      <c r="F97" s="17" t="str">
        <f aca="false">IFERROR(INDEX({"Electronics","Home &amp; Kitchen","Clothing","Groceries","Beauty"},MATCH(UPPER(LEFT(TRIM(Raw_Data!F97),3)),{"ELE","HOM","CLO","GRO","BEA"},0)),"Uncategorised")</f>
        <v>Clothing</v>
      </c>
      <c r="G97" s="17" t="str">
        <f aca="false">IF(TRIM(Raw_Data!G97)="","Unknown",PROPER(TRIM(Raw_Data!G97)))</f>
        <v>Winter Jacket</v>
      </c>
      <c r="H97" s="19" t="n">
        <f aca="false">IFERROR(ABS(VALUE(TRIM(Raw_Data!H97))),"")</f>
        <v>1</v>
      </c>
      <c r="I97" s="20" t="n">
        <f aca="false">IFERROR(VALUE(TRIM(SUBSTITUTE(SUBSTITUTE(SUBSTITUTE(SUBSTITUTE(TRIM(Raw_Data!I97),"PKR",""),"Rs.",""),"Rs",""),",",""))),"")</f>
        <v>9900</v>
      </c>
      <c r="J97" s="21" t="n">
        <f aca="false">IFERROR(IF(TRIM(Raw_Data!J97)="",0,IF(VALUE(TRIM(Raw_Data!J97))&gt;1,VALUE(TRIM(Raw_Data!J97))/100,VALUE(TRIM(Raw_Data!J97)))),0)</f>
        <v>0.05</v>
      </c>
      <c r="K97" s="17" t="str">
        <f aca="false">IF(TRIM(Raw_Data!K97)="","Unassigned",PROPER(TRIM(Raw_Data!K97)))</f>
        <v>Sadia Noor</v>
      </c>
      <c r="L97" s="17" t="str">
        <f aca="false">IFERROR(INDEX({"Credit Card","Credit Card","Debit Card","Debit Card","Cash","PayPal"},MATCH(UPPER(LEFT(TRIM(Raw_Data!L97),2)),{"CR","CC","DE","DC","CA","PA"},0)),"Other")</f>
        <v>Cash</v>
      </c>
      <c r="M97" s="17" t="str">
        <f aca="false">IFERROR(INDEX({"Completed","Returned","Cancelled","Pending"},MATCH(UPPER(LEFT(TRIM(Raw_Data!M97),3)),{"COM","RET","CAN","PEN"},0)),"Unknown")</f>
        <v>Completed</v>
      </c>
      <c r="N97" s="20" t="n">
        <f aca="false">IF(OR(H97="",I97=""),"",H97*I97)</f>
        <v>9900</v>
      </c>
      <c r="O97" s="20" t="n">
        <f aca="false">IF(N97="","",N97*J97)</f>
        <v>495</v>
      </c>
      <c r="P97" s="20" t="n">
        <f aca="false">IF(N97="","",N97-O97)</f>
        <v>9405</v>
      </c>
      <c r="Q97" s="22" t="n">
        <f aca="false">IF(B97="","",DATE(YEAR(B97),MONTH(B97),1))</f>
        <v>45901</v>
      </c>
      <c r="R97" s="17" t="str">
        <f aca="false">IF(A97="","Invalid - Exclude",IF(COUNTIF($A$2:A97,A97)&gt;1,"Duplicate - Exclude",IF(OR(B97="",H97="",I97=""),"Invalid - Exclude","Valid")))</f>
        <v>Valid</v>
      </c>
      <c r="S97" s="17" t="str">
        <f aca="false">IF(R97="Valid","",IF(R97="Duplicate - Exclude","Repeat of an earlier Order ID",IF(B97="","Date missing or unreadable",IF(H97="","Quantity missing or unreadable",IF(I97="","Unit price missing or unreadable","Order ID missing")))))</f>
        <v/>
      </c>
    </row>
    <row r="98" customFormat="false" ht="15" hidden="false" customHeight="true" outlineLevel="0" collapsed="false">
      <c r="A98" s="9" t="str">
        <f aca="false">UPPER(TRIM(Raw_Data!A98))</f>
        <v>ORD-1097</v>
      </c>
      <c r="B98" s="10" t="n">
        <f aca="false">IFERROR(IF(ISNUMBER(Raw_Data!B98),Raw_Data!B98,IF(ISNUMBER(FIND("/",Raw_Data!B98)),DATE(VALUE(RIGHT(TRIM(Raw_Data!B98),4)),VALUE(MID(TRIM(Raw_Data!B98),4,2)),VALUE(LEFT(TRIM(Raw_Data!B98),2))),IF(MID(TRIM(Raw_Data!B98),5,1)="-",DATE(VALUE(LEFT(TRIM(Raw_Data!B98),4)),VALUE(MID(TRIM(Raw_Data!B98),6,2)),VALUE(RIGHT(TRIM(Raw_Data!B98),2))),DATE(VALUE(RIGHT(TRIM(Raw_Data!B98),4)),MATCH(MID(TRIM(Raw_Data!B98),4,3),{"Jan","Feb","Mar","Apr","May","Jun","Jul","Aug","Sep","Oct","Nov","Dec"},0),VALUE(LEFT(TRIM(Raw_Data!B98),2)))))),"")</f>
        <v>45731</v>
      </c>
      <c r="C98" s="9" t="str">
        <f aca="false">IF(TRIM(Raw_Data!C98)="","Unknown",PROPER(TRIM(Raw_Data!C98)))</f>
        <v>Ahmed Hussain</v>
      </c>
      <c r="D98" s="9" t="str">
        <f aca="false">IFERROR(INDEX({"Punjab","Sindh","KPK","Balochistan"},MATCH(UPPER(LEFT(TRIM(Raw_Data!D98),1)),{"P","S","K","B"},0)),IFERROR(INDEX(Data_Dictionary!$G$4:$G$16,MATCH(E98,Data_Dictionary!$F$4:$F$16,0)),"Unassigned"))</f>
        <v>Punjab</v>
      </c>
      <c r="E98" s="9" t="str">
        <f aca="false">IF(TRIM(Raw_Data!E98)="","Unknown",PROPER(TRIM(Raw_Data!E98)))</f>
        <v>Rawalpindi</v>
      </c>
      <c r="F98" s="9" t="str">
        <f aca="false">IFERROR(INDEX({"Electronics","Home &amp; Kitchen","Clothing","Groceries","Beauty"},MATCH(UPPER(LEFT(TRIM(Raw_Data!F98),3)),{"ELE","HOM","CLO","GRO","BEA"},0)),"Uncategorised")</f>
        <v>Electronics</v>
      </c>
      <c r="G98" s="9" t="str">
        <f aca="false">IF(TRIM(Raw_Data!G98)="","Unknown",PROPER(TRIM(Raw_Data!G98)))</f>
        <v>Bluetooth Speaker</v>
      </c>
      <c r="H98" s="11" t="n">
        <f aca="false">IFERROR(ABS(VALUE(TRIM(Raw_Data!H98))),"")</f>
        <v>6</v>
      </c>
      <c r="I98" s="12" t="n">
        <f aca="false">IFERROR(VALUE(TRIM(SUBSTITUTE(SUBSTITUTE(SUBSTITUTE(SUBSTITUTE(TRIM(Raw_Data!I98),"PKR",""),"Rs.",""),"Rs",""),",",""))),"")</f>
        <v>4550</v>
      </c>
      <c r="J98" s="13" t="n">
        <f aca="false">IFERROR(IF(TRIM(Raw_Data!J98)="",0,IF(VALUE(TRIM(Raw_Data!J98))&gt;1,VALUE(TRIM(Raw_Data!J98))/100,VALUE(TRIM(Raw_Data!J98)))),0)</f>
        <v>0.2</v>
      </c>
      <c r="K98" s="9" t="str">
        <f aca="false">IF(TRIM(Raw_Data!K98)="","Unassigned",PROPER(TRIM(Raw_Data!K98)))</f>
        <v>Zoya Tariq</v>
      </c>
      <c r="L98" s="9" t="str">
        <f aca="false">IFERROR(INDEX({"Credit Card","Credit Card","Debit Card","Debit Card","Cash","PayPal"},MATCH(UPPER(LEFT(TRIM(Raw_Data!L98),2)),{"CR","CC","DE","DC","CA","PA"},0)),"Other")</f>
        <v>Credit Card</v>
      </c>
      <c r="M98" s="9" t="str">
        <f aca="false">IFERROR(INDEX({"Completed","Returned","Cancelled","Pending"},MATCH(UPPER(LEFT(TRIM(Raw_Data!M98),3)),{"COM","RET","CAN","PEN"},0)),"Unknown")</f>
        <v>Completed</v>
      </c>
      <c r="N98" s="14" t="n">
        <f aca="false">IF(OR(H98="",I98=""),"",H98*I98)</f>
        <v>27300</v>
      </c>
      <c r="O98" s="14" t="n">
        <f aca="false">IF(N98="","",N98*J98)</f>
        <v>5460</v>
      </c>
      <c r="P98" s="14" t="n">
        <f aca="false">IF(N98="","",N98-O98)</f>
        <v>21840</v>
      </c>
      <c r="Q98" s="15" t="n">
        <f aca="false">IF(B98="","",DATE(YEAR(B98),MONTH(B98),1))</f>
        <v>45717</v>
      </c>
      <c r="R98" s="16" t="str">
        <f aca="false">IF(A98="","Invalid - Exclude",IF(COUNTIF($A$2:A98,A98)&gt;1,"Duplicate - Exclude",IF(OR(B98="",H98="",I98=""),"Invalid - Exclude","Valid")))</f>
        <v>Valid</v>
      </c>
      <c r="S98" s="16" t="str">
        <f aca="false">IF(R98="Valid","",IF(R98="Duplicate - Exclude","Repeat of an earlier Order ID",IF(B98="","Date missing or unreadable",IF(H98="","Quantity missing or unreadable",IF(I98="","Unit price missing or unreadable","Order ID missing")))))</f>
        <v/>
      </c>
    </row>
    <row r="99" customFormat="false" ht="15" hidden="false" customHeight="true" outlineLevel="0" collapsed="false">
      <c r="A99" s="17" t="str">
        <f aca="false">UPPER(TRIM(Raw_Data!A99))</f>
        <v>ORD-1098</v>
      </c>
      <c r="B99" s="18" t="n">
        <f aca="false">IFERROR(IF(ISNUMBER(Raw_Data!B99),Raw_Data!B99,IF(ISNUMBER(FIND("/",Raw_Data!B99)),DATE(VALUE(RIGHT(TRIM(Raw_Data!B99),4)),VALUE(MID(TRIM(Raw_Data!B99),4,2)),VALUE(LEFT(TRIM(Raw_Data!B99),2))),IF(MID(TRIM(Raw_Data!B99),5,1)="-",DATE(VALUE(LEFT(TRIM(Raw_Data!B99),4)),VALUE(MID(TRIM(Raw_Data!B99),6,2)),VALUE(RIGHT(TRIM(Raw_Data!B99),2))),DATE(VALUE(RIGHT(TRIM(Raw_Data!B99),4)),MATCH(MID(TRIM(Raw_Data!B99),4,3),{"Jan","Feb","Mar","Apr","May","Jun","Jul","Aug","Sep","Oct","Nov","Dec"},0),VALUE(LEFT(TRIM(Raw_Data!B99),2)))))),"")</f>
        <v>45833</v>
      </c>
      <c r="C99" s="17" t="str">
        <f aca="false">IF(TRIM(Raw_Data!C99)="","Unknown",PROPER(TRIM(Raw_Data!C99)))</f>
        <v>Sana Raza</v>
      </c>
      <c r="D99" s="17" t="str">
        <f aca="false">IFERROR(INDEX({"Punjab","Sindh","KPK","Balochistan"},MATCH(UPPER(LEFT(TRIM(Raw_Data!D99),1)),{"P","S","K","B"},0)),IFERROR(INDEX(Data_Dictionary!$G$4:$G$16,MATCH(E99,Data_Dictionary!$F$4:$F$16,0)),"Unassigned"))</f>
        <v>Punjab</v>
      </c>
      <c r="E99" s="17" t="str">
        <f aca="false">IF(TRIM(Raw_Data!E99)="","Unknown",PROPER(TRIM(Raw_Data!E99)))</f>
        <v>Lahore</v>
      </c>
      <c r="F99" s="17" t="str">
        <f aca="false">IFERROR(INDEX({"Electronics","Home &amp; Kitchen","Clothing","Groceries","Beauty"},MATCH(UPPER(LEFT(TRIM(Raw_Data!F99),3)),{"ELE","HOM","CLO","GRO","BEA"},0)),"Uncategorised")</f>
        <v>Electronics</v>
      </c>
      <c r="G99" s="17" t="str">
        <f aca="false">IF(TRIM(Raw_Data!G99)="","Unknown",PROPER(TRIM(Raw_Data!G99)))</f>
        <v>Wireless Earbuds</v>
      </c>
      <c r="H99" s="19" t="n">
        <f aca="false">IFERROR(ABS(VALUE(TRIM(Raw_Data!H99))),"")</f>
        <v>3</v>
      </c>
      <c r="I99" s="20" t="n">
        <f aca="false">IFERROR(VALUE(TRIM(SUBSTITUTE(SUBSTITUTE(SUBSTITUTE(SUBSTITUTE(TRIM(Raw_Data!I99),"PKR",""),"Rs.",""),"Rs",""),",",""))),"")</f>
        <v>6800</v>
      </c>
      <c r="J99" s="21" t="n">
        <f aca="false">IFERROR(IF(TRIM(Raw_Data!J99)="",0,IF(VALUE(TRIM(Raw_Data!J99))&gt;1,VALUE(TRIM(Raw_Data!J99))/100,VALUE(TRIM(Raw_Data!J99)))),0)</f>
        <v>0.1</v>
      </c>
      <c r="K99" s="17" t="str">
        <f aca="false">IF(TRIM(Raw_Data!K99)="","Unassigned",PROPER(TRIM(Raw_Data!K99)))</f>
        <v>Sadia Noor</v>
      </c>
      <c r="L99" s="17" t="str">
        <f aca="false">IFERROR(INDEX({"Credit Card","Credit Card","Debit Card","Debit Card","Cash","PayPal"},MATCH(UPPER(LEFT(TRIM(Raw_Data!L99),2)),{"CR","CC","DE","DC","CA","PA"},0)),"Other")</f>
        <v>PayPal</v>
      </c>
      <c r="M99" s="17" t="str">
        <f aca="false">IFERROR(INDEX({"Completed","Returned","Cancelled","Pending"},MATCH(UPPER(LEFT(TRIM(Raw_Data!M99),3)),{"COM","RET","CAN","PEN"},0)),"Unknown")</f>
        <v>Completed</v>
      </c>
      <c r="N99" s="20" t="n">
        <f aca="false">IF(OR(H99="",I99=""),"",H99*I99)</f>
        <v>20400</v>
      </c>
      <c r="O99" s="20" t="n">
        <f aca="false">IF(N99="","",N99*J99)</f>
        <v>2040</v>
      </c>
      <c r="P99" s="20" t="n">
        <f aca="false">IF(N99="","",N99-O99)</f>
        <v>18360</v>
      </c>
      <c r="Q99" s="22" t="n">
        <f aca="false">IF(B99="","",DATE(YEAR(B99),MONTH(B99),1))</f>
        <v>45809</v>
      </c>
      <c r="R99" s="17" t="str">
        <f aca="false">IF(A99="","Invalid - Exclude",IF(COUNTIF($A$2:A99,A99)&gt;1,"Duplicate - Exclude",IF(OR(B99="",H99="",I99=""),"Invalid - Exclude","Valid")))</f>
        <v>Valid</v>
      </c>
      <c r="S99" s="17" t="str">
        <f aca="false">IF(R99="Valid","",IF(R99="Duplicate - Exclude","Repeat of an earlier Order ID",IF(B99="","Date missing or unreadable",IF(H99="","Quantity missing or unreadable",IF(I99="","Unit price missing or unreadable","Order ID missing")))))</f>
        <v/>
      </c>
    </row>
    <row r="100" customFormat="false" ht="15" hidden="false" customHeight="true" outlineLevel="0" collapsed="false">
      <c r="A100" s="9" t="str">
        <f aca="false">UPPER(TRIM(Raw_Data!A100))</f>
        <v>ORD-1099</v>
      </c>
      <c r="B100" s="10" t="n">
        <f aca="false">IFERROR(IF(ISNUMBER(Raw_Data!B100),Raw_Data!B100,IF(ISNUMBER(FIND("/",Raw_Data!B100)),DATE(VALUE(RIGHT(TRIM(Raw_Data!B100),4)),VALUE(MID(TRIM(Raw_Data!B100),4,2)),VALUE(LEFT(TRIM(Raw_Data!B100),2))),IF(MID(TRIM(Raw_Data!B100),5,1)="-",DATE(VALUE(LEFT(TRIM(Raw_Data!B100),4)),VALUE(MID(TRIM(Raw_Data!B100),6,2)),VALUE(RIGHT(TRIM(Raw_Data!B100),2))),DATE(VALUE(RIGHT(TRIM(Raw_Data!B100),4)),MATCH(MID(TRIM(Raw_Data!B100),4,3),{"Jan","Feb","Mar","Apr","May","Jun","Jul","Aug","Sep","Oct","Nov","Dec"},0),VALUE(LEFT(TRIM(Raw_Data!B100),2)))))),"")</f>
        <v>45949</v>
      </c>
      <c r="C100" s="9" t="str">
        <f aca="false">IF(TRIM(Raw_Data!C100)="","Unknown",PROPER(TRIM(Raw_Data!C100)))</f>
        <v>Ayesha Sheikh</v>
      </c>
      <c r="D100" s="9" t="str">
        <f aca="false">IFERROR(INDEX({"Punjab","Sindh","KPK","Balochistan"},MATCH(UPPER(LEFT(TRIM(Raw_Data!D100),1)),{"P","S","K","B"},0)),IFERROR(INDEX(Data_Dictionary!$G$4:$G$16,MATCH(E100,Data_Dictionary!$F$4:$F$16,0)),"Unassigned"))</f>
        <v>Punjab</v>
      </c>
      <c r="E100" s="9" t="str">
        <f aca="false">IF(TRIM(Raw_Data!E100)="","Unknown",PROPER(TRIM(Raw_Data!E100)))</f>
        <v>Rawalpindi</v>
      </c>
      <c r="F100" s="9" t="str">
        <f aca="false">IFERROR(INDEX({"Electronics","Home &amp; Kitchen","Clothing","Groceries","Beauty"},MATCH(UPPER(LEFT(TRIM(Raw_Data!F100),3)),{"ELE","HOM","CLO","GRO","BEA"},0)),"Uncategorised")</f>
        <v>Home &amp; Kitchen</v>
      </c>
      <c r="G100" s="9" t="str">
        <f aca="false">IF(TRIM(Raw_Data!G100)="","Unknown",PROPER(TRIM(Raw_Data!G100)))</f>
        <v>Bedsheet Set</v>
      </c>
      <c r="H100" s="11" t="n">
        <f aca="false">IFERROR(ABS(VALUE(TRIM(Raw_Data!H100))),"")</f>
        <v>3</v>
      </c>
      <c r="I100" s="12" t="n">
        <f aca="false">IFERROR(VALUE(TRIM(SUBSTITUTE(SUBSTITUTE(SUBSTITUTE(SUBSTITUTE(TRIM(Raw_Data!I100),"PKR",""),"Rs.",""),"Rs",""),",",""))),"")</f>
        <v>5400</v>
      </c>
      <c r="J100" s="13" t="n">
        <f aca="false">IFERROR(IF(TRIM(Raw_Data!J100)="",0,IF(VALUE(TRIM(Raw_Data!J100))&gt;1,VALUE(TRIM(Raw_Data!J100))/100,VALUE(TRIM(Raw_Data!J100)))),0)</f>
        <v>0</v>
      </c>
      <c r="K100" s="9" t="str">
        <f aca="false">IF(TRIM(Raw_Data!K100)="","Unassigned",PROPER(TRIM(Raw_Data!K100)))</f>
        <v>Nimra Aslam</v>
      </c>
      <c r="L100" s="9" t="str">
        <f aca="false">IFERROR(INDEX({"Credit Card","Credit Card","Debit Card","Debit Card","Cash","PayPal"},MATCH(UPPER(LEFT(TRIM(Raw_Data!L100),2)),{"CR","CC","DE","DC","CA","PA"},0)),"Other")</f>
        <v>Cash</v>
      </c>
      <c r="M100" s="9" t="str">
        <f aca="false">IFERROR(INDEX({"Completed","Returned","Cancelled","Pending"},MATCH(UPPER(LEFT(TRIM(Raw_Data!M100),3)),{"COM","RET","CAN","PEN"},0)),"Unknown")</f>
        <v>Completed</v>
      </c>
      <c r="N100" s="14" t="n">
        <f aca="false">IF(OR(H100="",I100=""),"",H100*I100)</f>
        <v>16200</v>
      </c>
      <c r="O100" s="14" t="n">
        <f aca="false">IF(N100="","",N100*J100)</f>
        <v>0</v>
      </c>
      <c r="P100" s="14" t="n">
        <f aca="false">IF(N100="","",N100-O100)</f>
        <v>16200</v>
      </c>
      <c r="Q100" s="15" t="n">
        <f aca="false">IF(B100="","",DATE(YEAR(B100),MONTH(B100),1))</f>
        <v>45931</v>
      </c>
      <c r="R100" s="16" t="str">
        <f aca="false">IF(A100="","Invalid - Exclude",IF(COUNTIF($A$2:A100,A100)&gt;1,"Duplicate - Exclude",IF(OR(B100="",H100="",I100=""),"Invalid - Exclude","Valid")))</f>
        <v>Valid</v>
      </c>
      <c r="S100" s="16" t="str">
        <f aca="false">IF(R100="Valid","",IF(R100="Duplicate - Exclude","Repeat of an earlier Order ID",IF(B100="","Date missing or unreadable",IF(H100="","Quantity missing or unreadable",IF(I100="","Unit price missing or unreadable","Order ID missing")))))</f>
        <v/>
      </c>
    </row>
    <row r="101" customFormat="false" ht="15" hidden="false" customHeight="true" outlineLevel="0" collapsed="false">
      <c r="A101" s="17" t="str">
        <f aca="false">UPPER(TRIM(Raw_Data!A101))</f>
        <v>ORD-1100</v>
      </c>
      <c r="B101" s="18" t="n">
        <f aca="false">IFERROR(IF(ISNUMBER(Raw_Data!B101),Raw_Data!B101,IF(ISNUMBER(FIND("/",Raw_Data!B101)),DATE(VALUE(RIGHT(TRIM(Raw_Data!B101),4)),VALUE(MID(TRIM(Raw_Data!B101),4,2)),VALUE(LEFT(TRIM(Raw_Data!B101),2))),IF(MID(TRIM(Raw_Data!B101),5,1)="-",DATE(VALUE(LEFT(TRIM(Raw_Data!B101),4)),VALUE(MID(TRIM(Raw_Data!B101),6,2)),VALUE(RIGHT(TRIM(Raw_Data!B101),2))),DATE(VALUE(RIGHT(TRIM(Raw_Data!B101),4)),MATCH(MID(TRIM(Raw_Data!B101),4,3),{"Jan","Feb","Mar","Apr","May","Jun","Jul","Aug","Sep","Oct","Nov","Dec"},0),VALUE(LEFT(TRIM(Raw_Data!B101),2)))))),"")</f>
        <v>45698</v>
      </c>
      <c r="C101" s="17" t="str">
        <f aca="false">IF(TRIM(Raw_Data!C101)="","Unknown",PROPER(TRIM(Raw_Data!C101)))</f>
        <v>Hina Qureshi</v>
      </c>
      <c r="D101" s="17" t="str">
        <f aca="false">IFERROR(INDEX({"Punjab","Sindh","KPK","Balochistan"},MATCH(UPPER(LEFT(TRIM(Raw_Data!D101),1)),{"P","S","K","B"},0)),IFERROR(INDEX(Data_Dictionary!$G$4:$G$16,MATCH(E101,Data_Dictionary!$F$4:$F$16,0)),"Unassigned"))</f>
        <v>KPK</v>
      </c>
      <c r="E101" s="17" t="str">
        <f aca="false">IF(TRIM(Raw_Data!E101)="","Unknown",PROPER(TRIM(Raw_Data!E101)))</f>
        <v>Mardan</v>
      </c>
      <c r="F101" s="17" t="str">
        <f aca="false">IFERROR(INDEX({"Electronics","Home &amp; Kitchen","Clothing","Groceries","Beauty"},MATCH(UPPER(LEFT(TRIM(Raw_Data!F101),3)),{"ELE","HOM","CLO","GRO","BEA"},0)),"Uncategorised")</f>
        <v>Groceries</v>
      </c>
      <c r="G101" s="17" t="str">
        <f aca="false">IF(TRIM(Raw_Data!G101)="","Unknown",PROPER(TRIM(Raw_Data!G101)))</f>
        <v>Cooking Oil 5 Litre</v>
      </c>
      <c r="H101" s="19" t="n">
        <f aca="false">IFERROR(ABS(VALUE(TRIM(Raw_Data!H101))),"")</f>
        <v>8</v>
      </c>
      <c r="I101" s="20" t="n">
        <f aca="false">IFERROR(VALUE(TRIM(SUBSTITUTE(SUBSTITUTE(SUBSTITUTE(SUBSTITUTE(TRIM(Raw_Data!I101),"PKR",""),"Rs.",""),"Rs",""),",",""))),"")</f>
        <v>2250</v>
      </c>
      <c r="J101" s="21" t="n">
        <f aca="false">IFERROR(IF(TRIM(Raw_Data!J101)="",0,IF(VALUE(TRIM(Raw_Data!J101))&gt;1,VALUE(TRIM(Raw_Data!J101))/100,VALUE(TRIM(Raw_Data!J101)))),0)</f>
        <v>0.1</v>
      </c>
      <c r="K101" s="17" t="str">
        <f aca="false">IF(TRIM(Raw_Data!K101)="","Unassigned",PROPER(TRIM(Raw_Data!K101)))</f>
        <v>Faisal Mehmood</v>
      </c>
      <c r="L101" s="17" t="str">
        <f aca="false">IFERROR(INDEX({"Credit Card","Credit Card","Debit Card","Debit Card","Cash","PayPal"},MATCH(UPPER(LEFT(TRIM(Raw_Data!L101),2)),{"CR","CC","DE","DC","CA","PA"},0)),"Other")</f>
        <v>Credit Card</v>
      </c>
      <c r="M101" s="17" t="str">
        <f aca="false">IFERROR(INDEX({"Completed","Returned","Cancelled","Pending"},MATCH(UPPER(LEFT(TRIM(Raw_Data!M101),3)),{"COM","RET","CAN","PEN"},0)),"Unknown")</f>
        <v>Completed</v>
      </c>
      <c r="N101" s="20" t="n">
        <f aca="false">IF(OR(H101="",I101=""),"",H101*I101)</f>
        <v>18000</v>
      </c>
      <c r="O101" s="20" t="n">
        <f aca="false">IF(N101="","",N101*J101)</f>
        <v>1800</v>
      </c>
      <c r="P101" s="20" t="n">
        <f aca="false">IF(N101="","",N101-O101)</f>
        <v>16200</v>
      </c>
      <c r="Q101" s="22" t="n">
        <f aca="false">IF(B101="","",DATE(YEAR(B101),MONTH(B101),1))</f>
        <v>45689</v>
      </c>
      <c r="R101" s="17" t="str">
        <f aca="false">IF(A101="","Invalid - Exclude",IF(COUNTIF($A$2:A101,A101)&gt;1,"Duplicate - Exclude",IF(OR(B101="",H101="",I101=""),"Invalid - Exclude","Valid")))</f>
        <v>Valid</v>
      </c>
      <c r="S101" s="17" t="str">
        <f aca="false">IF(R101="Valid","",IF(R101="Duplicate - Exclude","Repeat of an earlier Order ID",IF(B101="","Date missing or unreadable",IF(H101="","Quantity missing or unreadable",IF(I101="","Unit price missing or unreadable","Order ID missing")))))</f>
        <v/>
      </c>
    </row>
    <row r="102" customFormat="false" ht="15" hidden="false" customHeight="true" outlineLevel="0" collapsed="false">
      <c r="A102" s="9" t="str">
        <f aca="false">UPPER(TRIM(Raw_Data!A102))</f>
        <v>ORD-1101</v>
      </c>
      <c r="B102" s="10" t="n">
        <f aca="false">IFERROR(IF(ISNUMBER(Raw_Data!B102),Raw_Data!B102,IF(ISNUMBER(FIND("/",Raw_Data!B102)),DATE(VALUE(RIGHT(TRIM(Raw_Data!B102),4)),VALUE(MID(TRIM(Raw_Data!B102),4,2)),VALUE(LEFT(TRIM(Raw_Data!B102),2))),IF(MID(TRIM(Raw_Data!B102),5,1)="-",DATE(VALUE(LEFT(TRIM(Raw_Data!B102),4)),VALUE(MID(TRIM(Raw_Data!B102),6,2)),VALUE(RIGHT(TRIM(Raw_Data!B102),2))),DATE(VALUE(RIGHT(TRIM(Raw_Data!B102),4)),MATCH(MID(TRIM(Raw_Data!B102),4,3),{"Jan","Feb","Mar","Apr","May","Jun","Jul","Aug","Sep","Oct","Nov","Dec"},0),VALUE(LEFT(TRIM(Raw_Data!B102),2)))))),"")</f>
        <v>45957</v>
      </c>
      <c r="C102" s="9" t="str">
        <f aca="false">IF(TRIM(Raw_Data!C102)="","Unknown",PROPER(TRIM(Raw_Data!C102)))</f>
        <v>Bilal Hussain</v>
      </c>
      <c r="D102" s="9" t="str">
        <f aca="false">IFERROR(INDEX({"Punjab","Sindh","KPK","Balochistan"},MATCH(UPPER(LEFT(TRIM(Raw_Data!D102),1)),{"P","S","K","B"},0)),IFERROR(INDEX(Data_Dictionary!$G$4:$G$16,MATCH(E102,Data_Dictionary!$F$4:$F$16,0)),"Unassigned"))</f>
        <v>Punjab</v>
      </c>
      <c r="E102" s="9" t="str">
        <f aca="false">IF(TRIM(Raw_Data!E102)="","Unknown",PROPER(TRIM(Raw_Data!E102)))</f>
        <v>Rawalpindi</v>
      </c>
      <c r="F102" s="9" t="str">
        <f aca="false">IFERROR(INDEX({"Electronics","Home &amp; Kitchen","Clothing","Groceries","Beauty"},MATCH(UPPER(LEFT(TRIM(Raw_Data!F102),3)),{"ELE","HOM","CLO","GRO","BEA"},0)),"Uncategorised")</f>
        <v>Groceries</v>
      </c>
      <c r="G102" s="9" t="str">
        <f aca="false">IF(TRIM(Raw_Data!G102)="","Unknown",PROPER(TRIM(Raw_Data!G102)))</f>
        <v>Black Tea Pack</v>
      </c>
      <c r="H102" s="11" t="n">
        <f aca="false">IFERROR(ABS(VALUE(TRIM(Raw_Data!H102))),"")</f>
        <v>3</v>
      </c>
      <c r="I102" s="12" t="n">
        <f aca="false">IFERROR(VALUE(TRIM(SUBSTITUTE(SUBSTITUTE(SUBSTITUTE(SUBSTITUTE(TRIM(Raw_Data!I102),"PKR",""),"Rs.",""),"Rs",""),",",""))),"")</f>
        <v>1500</v>
      </c>
      <c r="J102" s="13" t="n">
        <f aca="false">IFERROR(IF(TRIM(Raw_Data!J102)="",0,IF(VALUE(TRIM(Raw_Data!J102))&gt;1,VALUE(TRIM(Raw_Data!J102))/100,VALUE(TRIM(Raw_Data!J102)))),0)</f>
        <v>0</v>
      </c>
      <c r="K102" s="9" t="str">
        <f aca="false">IF(TRIM(Raw_Data!K102)="","Unassigned",PROPER(TRIM(Raw_Data!K102)))</f>
        <v>Nimra Aslam</v>
      </c>
      <c r="L102" s="9" t="str">
        <f aca="false">IFERROR(INDEX({"Credit Card","Credit Card","Debit Card","Debit Card","Cash","PayPal"},MATCH(UPPER(LEFT(TRIM(Raw_Data!L102),2)),{"CR","CC","DE","DC","CA","PA"},0)),"Other")</f>
        <v>Cash</v>
      </c>
      <c r="M102" s="9" t="str">
        <f aca="false">IFERROR(INDEX({"Completed","Returned","Cancelled","Pending"},MATCH(UPPER(LEFT(TRIM(Raw_Data!M102),3)),{"COM","RET","CAN","PEN"},0)),"Unknown")</f>
        <v>Completed</v>
      </c>
      <c r="N102" s="14" t="n">
        <f aca="false">IF(OR(H102="",I102=""),"",H102*I102)</f>
        <v>4500</v>
      </c>
      <c r="O102" s="14" t="n">
        <f aca="false">IF(N102="","",N102*J102)</f>
        <v>0</v>
      </c>
      <c r="P102" s="14" t="n">
        <f aca="false">IF(N102="","",N102-O102)</f>
        <v>4500</v>
      </c>
      <c r="Q102" s="15" t="n">
        <f aca="false">IF(B102="","",DATE(YEAR(B102),MONTH(B102),1))</f>
        <v>45931</v>
      </c>
      <c r="R102" s="16" t="str">
        <f aca="false">IF(A102="","Invalid - Exclude",IF(COUNTIF($A$2:A102,A102)&gt;1,"Duplicate - Exclude",IF(OR(B102="",H102="",I102=""),"Invalid - Exclude","Valid")))</f>
        <v>Valid</v>
      </c>
      <c r="S102" s="16" t="str">
        <f aca="false">IF(R102="Valid","",IF(R102="Duplicate - Exclude","Repeat of an earlier Order ID",IF(B102="","Date missing or unreadable",IF(H102="","Quantity missing or unreadable",IF(I102="","Unit price missing or unreadable","Order ID missing")))))</f>
        <v/>
      </c>
    </row>
    <row r="103" customFormat="false" ht="15" hidden="false" customHeight="true" outlineLevel="0" collapsed="false">
      <c r="A103" s="17" t="str">
        <f aca="false">UPPER(TRIM(Raw_Data!A103))</f>
        <v>ORD-1102</v>
      </c>
      <c r="B103" s="18" t="n">
        <f aca="false">IFERROR(IF(ISNUMBER(Raw_Data!B103),Raw_Data!B103,IF(ISNUMBER(FIND("/",Raw_Data!B103)),DATE(VALUE(RIGHT(TRIM(Raw_Data!B103),4)),VALUE(MID(TRIM(Raw_Data!B103),4,2)),VALUE(LEFT(TRIM(Raw_Data!B103),2))),IF(MID(TRIM(Raw_Data!B103),5,1)="-",DATE(VALUE(LEFT(TRIM(Raw_Data!B103),4)),VALUE(MID(TRIM(Raw_Data!B103),6,2)),VALUE(RIGHT(TRIM(Raw_Data!B103),2))),DATE(VALUE(RIGHT(TRIM(Raw_Data!B103),4)),MATCH(MID(TRIM(Raw_Data!B103),4,3),{"Jan","Feb","Mar","Apr","May","Jun","Jul","Aug","Sep","Oct","Nov","Dec"},0),VALUE(LEFT(TRIM(Raw_Data!B103),2)))))),"")</f>
        <v>45859</v>
      </c>
      <c r="C103" s="17" t="str">
        <f aca="false">IF(TRIM(Raw_Data!C103)="","Unknown",PROPER(TRIM(Raw_Data!C103)))</f>
        <v>Bilal Hussain</v>
      </c>
      <c r="D103" s="17" t="str">
        <f aca="false">IFERROR(INDEX({"Punjab","Sindh","KPK","Balochistan"},MATCH(UPPER(LEFT(TRIM(Raw_Data!D103),1)),{"P","S","K","B"},0)),IFERROR(INDEX(Data_Dictionary!$G$4:$G$16,MATCH(E103,Data_Dictionary!$F$4:$F$16,0)),"Unassigned"))</f>
        <v>Punjab</v>
      </c>
      <c r="E103" s="17" t="str">
        <f aca="false">IF(TRIM(Raw_Data!E103)="","Unknown",PROPER(TRIM(Raw_Data!E103)))</f>
        <v>Lahore</v>
      </c>
      <c r="F103" s="17" t="str">
        <f aca="false">IFERROR(INDEX({"Electronics","Home &amp; Kitchen","Clothing","Groceries","Beauty"},MATCH(UPPER(LEFT(TRIM(Raw_Data!F103),3)),{"ELE","HOM","CLO","GRO","BEA"},0)),"Uncategorised")</f>
        <v>Groceries</v>
      </c>
      <c r="G103" s="17" t="str">
        <f aca="false">IF(TRIM(Raw_Data!G103)="","Unknown",PROPER(TRIM(Raw_Data!G103)))</f>
        <v>Refined Sugar 10 Kg</v>
      </c>
      <c r="H103" s="19" t="n">
        <f aca="false">IFERROR(ABS(VALUE(TRIM(Raw_Data!H103))),"")</f>
        <v>1</v>
      </c>
      <c r="I103" s="20" t="n">
        <f aca="false">IFERROR(VALUE(TRIM(SUBSTITUTE(SUBSTITUTE(SUBSTITUTE(SUBSTITUTE(TRIM(Raw_Data!I103),"PKR",""),"Rs.",""),"Rs",""),",",""))),"")</f>
        <v>1650</v>
      </c>
      <c r="J103" s="21" t="n">
        <f aca="false">IFERROR(IF(TRIM(Raw_Data!J103)="",0,IF(VALUE(TRIM(Raw_Data!J103))&gt;1,VALUE(TRIM(Raw_Data!J103))/100,VALUE(TRIM(Raw_Data!J103)))),0)</f>
        <v>0</v>
      </c>
      <c r="K103" s="17" t="str">
        <f aca="false">IF(TRIM(Raw_Data!K103)="","Unassigned",PROPER(TRIM(Raw_Data!K103)))</f>
        <v>Imran Shah</v>
      </c>
      <c r="L103" s="17" t="str">
        <f aca="false">IFERROR(INDEX({"Credit Card","Credit Card","Debit Card","Debit Card","Cash","PayPal"},MATCH(UPPER(LEFT(TRIM(Raw_Data!L103),2)),{"CR","CC","DE","DC","CA","PA"},0)),"Other")</f>
        <v>Debit Card</v>
      </c>
      <c r="M103" s="17" t="str">
        <f aca="false">IFERROR(INDEX({"Completed","Returned","Cancelled","Pending"},MATCH(UPPER(LEFT(TRIM(Raw_Data!M103),3)),{"COM","RET","CAN","PEN"},0)),"Unknown")</f>
        <v>Completed</v>
      </c>
      <c r="N103" s="20" t="n">
        <f aca="false">IF(OR(H103="",I103=""),"",H103*I103)</f>
        <v>1650</v>
      </c>
      <c r="O103" s="20" t="n">
        <f aca="false">IF(N103="","",N103*J103)</f>
        <v>0</v>
      </c>
      <c r="P103" s="20" t="n">
        <f aca="false">IF(N103="","",N103-O103)</f>
        <v>1650</v>
      </c>
      <c r="Q103" s="22" t="n">
        <f aca="false">IF(B103="","",DATE(YEAR(B103),MONTH(B103),1))</f>
        <v>45839</v>
      </c>
      <c r="R103" s="17" t="str">
        <f aca="false">IF(A103="","Invalid - Exclude",IF(COUNTIF($A$2:A103,A103)&gt;1,"Duplicate - Exclude",IF(OR(B103="",H103="",I103=""),"Invalid - Exclude","Valid")))</f>
        <v>Valid</v>
      </c>
      <c r="S103" s="17" t="str">
        <f aca="false">IF(R103="Valid","",IF(R103="Duplicate - Exclude","Repeat of an earlier Order ID",IF(B103="","Date missing or unreadable",IF(H103="","Quantity missing or unreadable",IF(I103="","Unit price missing or unreadable","Order ID missing")))))</f>
        <v/>
      </c>
    </row>
    <row r="104" customFormat="false" ht="15" hidden="false" customHeight="true" outlineLevel="0" collapsed="false">
      <c r="A104" s="9" t="str">
        <f aca="false">UPPER(TRIM(Raw_Data!A104))</f>
        <v>ORD-1103</v>
      </c>
      <c r="B104" s="10" t="n">
        <f aca="false">IFERROR(IF(ISNUMBER(Raw_Data!B104),Raw_Data!B104,IF(ISNUMBER(FIND("/",Raw_Data!B104)),DATE(VALUE(RIGHT(TRIM(Raw_Data!B104),4)),VALUE(MID(TRIM(Raw_Data!B104),4,2)),VALUE(LEFT(TRIM(Raw_Data!B104),2))),IF(MID(TRIM(Raw_Data!B104),5,1)="-",DATE(VALUE(LEFT(TRIM(Raw_Data!B104),4)),VALUE(MID(TRIM(Raw_Data!B104),6,2)),VALUE(RIGHT(TRIM(Raw_Data!B104),2))),DATE(VALUE(RIGHT(TRIM(Raw_Data!B104),4)),MATCH(MID(TRIM(Raw_Data!B104),4,3),{"Jan","Feb","Mar","Apr","May","Jun","Jul","Aug","Sep","Oct","Nov","Dec"},0),VALUE(LEFT(TRIM(Raw_Data!B104),2)))))),"")</f>
        <v>45851</v>
      </c>
      <c r="C104" s="9" t="str">
        <f aca="false">IF(TRIM(Raw_Data!C104)="","Unknown",PROPER(TRIM(Raw_Data!C104)))</f>
        <v>Kashif Malik</v>
      </c>
      <c r="D104" s="9" t="str">
        <f aca="false">IFERROR(INDEX({"Punjab","Sindh","KPK","Balochistan"},MATCH(UPPER(LEFT(TRIM(Raw_Data!D104),1)),{"P","S","K","B"},0)),IFERROR(INDEX(Data_Dictionary!$G$4:$G$16,MATCH(E104,Data_Dictionary!$F$4:$F$16,0)),"Unassigned"))</f>
        <v>KPK</v>
      </c>
      <c r="E104" s="9" t="str">
        <f aca="false">IF(TRIM(Raw_Data!E104)="","Unknown",PROPER(TRIM(Raw_Data!E104)))</f>
        <v>Peshawar</v>
      </c>
      <c r="F104" s="9" t="str">
        <f aca="false">IFERROR(INDEX({"Electronics","Home &amp; Kitchen","Clothing","Groceries","Beauty"},MATCH(UPPER(LEFT(TRIM(Raw_Data!F104),3)),{"ELE","HOM","CLO","GRO","BEA"},0)),"Uncategorised")</f>
        <v>Electronics</v>
      </c>
      <c r="G104" s="9" t="str">
        <f aca="false">IF(TRIM(Raw_Data!G104)="","Unknown",PROPER(TRIM(Raw_Data!G104)))</f>
        <v>Smart Watch</v>
      </c>
      <c r="H104" s="11" t="n">
        <f aca="false">IFERROR(ABS(VALUE(TRIM(Raw_Data!H104))),"")</f>
        <v>3</v>
      </c>
      <c r="I104" s="12" t="n">
        <f aca="false">IFERROR(VALUE(TRIM(SUBSTITUTE(SUBSTITUTE(SUBSTITUTE(SUBSTITUTE(TRIM(Raw_Data!I104),"PKR",""),"Rs.",""),"Rs",""),",",""))),"")</f>
        <v>9650</v>
      </c>
      <c r="J104" s="13" t="n">
        <f aca="false">IFERROR(IF(TRIM(Raw_Data!J104)="",0,IF(VALUE(TRIM(Raw_Data!J104))&gt;1,VALUE(TRIM(Raw_Data!J104))/100,VALUE(TRIM(Raw_Data!J104)))),0)</f>
        <v>0.2</v>
      </c>
      <c r="K104" s="9" t="str">
        <f aca="false">IF(TRIM(Raw_Data!K104)="","Unassigned",PROPER(TRIM(Raw_Data!K104)))</f>
        <v>Zoya Tariq</v>
      </c>
      <c r="L104" s="9" t="str">
        <f aca="false">IFERROR(INDEX({"Credit Card","Credit Card","Debit Card","Debit Card","Cash","PayPal"},MATCH(UPPER(LEFT(TRIM(Raw_Data!L104),2)),{"CR","CC","DE","DC","CA","PA"},0)),"Other")</f>
        <v>PayPal</v>
      </c>
      <c r="M104" s="9" t="str">
        <f aca="false">IFERROR(INDEX({"Completed","Returned","Cancelled","Pending"},MATCH(UPPER(LEFT(TRIM(Raw_Data!M104),3)),{"COM","RET","CAN","PEN"},0)),"Unknown")</f>
        <v>Completed</v>
      </c>
      <c r="N104" s="14" t="n">
        <f aca="false">IF(OR(H104="",I104=""),"",H104*I104)</f>
        <v>28950</v>
      </c>
      <c r="O104" s="14" t="n">
        <f aca="false">IF(N104="","",N104*J104)</f>
        <v>5790</v>
      </c>
      <c r="P104" s="14" t="n">
        <f aca="false">IF(N104="","",N104-O104)</f>
        <v>23160</v>
      </c>
      <c r="Q104" s="15" t="n">
        <f aca="false">IF(B104="","",DATE(YEAR(B104),MONTH(B104),1))</f>
        <v>45839</v>
      </c>
      <c r="R104" s="16" t="str">
        <f aca="false">IF(A104="","Invalid - Exclude",IF(COUNTIF($A$2:A104,A104)&gt;1,"Duplicate - Exclude",IF(OR(B104="",H104="",I104=""),"Invalid - Exclude","Valid")))</f>
        <v>Valid</v>
      </c>
      <c r="S104" s="16" t="str">
        <f aca="false">IF(R104="Valid","",IF(R104="Duplicate - Exclude","Repeat of an earlier Order ID",IF(B104="","Date missing or unreadable",IF(H104="","Quantity missing or unreadable",IF(I104="","Unit price missing or unreadable","Order ID missing")))))</f>
        <v/>
      </c>
    </row>
    <row r="105" customFormat="false" ht="15" hidden="false" customHeight="true" outlineLevel="0" collapsed="false">
      <c r="A105" s="17" t="str">
        <f aca="false">UPPER(TRIM(Raw_Data!A105))</f>
        <v>ORD-1104</v>
      </c>
      <c r="B105" s="18" t="n">
        <f aca="false">IFERROR(IF(ISNUMBER(Raw_Data!B105),Raw_Data!B105,IF(ISNUMBER(FIND("/",Raw_Data!B105)),DATE(VALUE(RIGHT(TRIM(Raw_Data!B105),4)),VALUE(MID(TRIM(Raw_Data!B105),4,2)),VALUE(LEFT(TRIM(Raw_Data!B105),2))),IF(MID(TRIM(Raw_Data!B105),5,1)="-",DATE(VALUE(LEFT(TRIM(Raw_Data!B105),4)),VALUE(MID(TRIM(Raw_Data!B105),6,2)),VALUE(RIGHT(TRIM(Raw_Data!B105),2))),DATE(VALUE(RIGHT(TRIM(Raw_Data!B105),4)),MATCH(MID(TRIM(Raw_Data!B105),4,3),{"Jan","Feb","Mar","Apr","May","Jun","Jul","Aug","Sep","Oct","Nov","Dec"},0),VALUE(LEFT(TRIM(Raw_Data!B105),2)))))),"")</f>
        <v>45902</v>
      </c>
      <c r="C105" s="17" t="str">
        <f aca="false">IF(TRIM(Raw_Data!C105)="","Unknown",PROPER(TRIM(Raw_Data!C105)))</f>
        <v>Fatima Khan</v>
      </c>
      <c r="D105" s="17" t="str">
        <f aca="false">IFERROR(INDEX({"Punjab","Sindh","KPK","Balochistan"},MATCH(UPPER(LEFT(TRIM(Raw_Data!D105),1)),{"P","S","K","B"},0)),IFERROR(INDEX(Data_Dictionary!$G$4:$G$16,MATCH(E105,Data_Dictionary!$F$4:$F$16,0)),"Unassigned"))</f>
        <v>Punjab</v>
      </c>
      <c r="E105" s="17" t="str">
        <f aca="false">IF(TRIM(Raw_Data!E105)="","Unknown",PROPER(TRIM(Raw_Data!E105)))</f>
        <v>Multan</v>
      </c>
      <c r="F105" s="17" t="str">
        <f aca="false">IFERROR(INDEX({"Electronics","Home &amp; Kitchen","Clothing","Groceries","Beauty"},MATCH(UPPER(LEFT(TRIM(Raw_Data!F105),3)),{"ELE","HOM","CLO","GRO","BEA"},0)),"Uncategorised")</f>
        <v>Clothing</v>
      </c>
      <c r="G105" s="17" t="str">
        <f aca="false">IF(TRIM(Raw_Data!G105)="","Unknown",PROPER(TRIM(Raw_Data!G105)))</f>
        <v>Running Shoes</v>
      </c>
      <c r="H105" s="19" t="n">
        <f aca="false">IFERROR(ABS(VALUE(TRIM(Raw_Data!H105))),"")</f>
        <v>1</v>
      </c>
      <c r="I105" s="20" t="n">
        <f aca="false">IFERROR(VALUE(TRIM(SUBSTITUTE(SUBSTITUTE(SUBSTITUTE(SUBSTITUTE(TRIM(Raw_Data!I105),"PKR",""),"Rs.",""),"Rs",""),",",""))),"")</f>
        <v>7700</v>
      </c>
      <c r="J105" s="21" t="n">
        <f aca="false">IFERROR(IF(TRIM(Raw_Data!J105)="",0,IF(VALUE(TRIM(Raw_Data!J105))&gt;1,VALUE(TRIM(Raw_Data!J105))/100,VALUE(TRIM(Raw_Data!J105)))),0)</f>
        <v>0</v>
      </c>
      <c r="K105" s="17" t="str">
        <f aca="false">IF(TRIM(Raw_Data!K105)="","Unassigned",PROPER(TRIM(Raw_Data!K105)))</f>
        <v>Nimra Aslam</v>
      </c>
      <c r="L105" s="17" t="str">
        <f aca="false">IFERROR(INDEX({"Credit Card","Credit Card","Debit Card","Debit Card","Cash","PayPal"},MATCH(UPPER(LEFT(TRIM(Raw_Data!L105),2)),{"CR","CC","DE","DC","CA","PA"},0)),"Other")</f>
        <v>PayPal</v>
      </c>
      <c r="M105" s="17" t="str">
        <f aca="false">IFERROR(INDEX({"Completed","Returned","Cancelled","Pending"},MATCH(UPPER(LEFT(TRIM(Raw_Data!M105),3)),{"COM","RET","CAN","PEN"},0)),"Unknown")</f>
        <v>Pending</v>
      </c>
      <c r="N105" s="20" t="n">
        <f aca="false">IF(OR(H105="",I105=""),"",H105*I105)</f>
        <v>7700</v>
      </c>
      <c r="O105" s="20" t="n">
        <f aca="false">IF(N105="","",N105*J105)</f>
        <v>0</v>
      </c>
      <c r="P105" s="20" t="n">
        <f aca="false">IF(N105="","",N105-O105)</f>
        <v>7700</v>
      </c>
      <c r="Q105" s="22" t="n">
        <f aca="false">IF(B105="","",DATE(YEAR(B105),MONTH(B105),1))</f>
        <v>45901</v>
      </c>
      <c r="R105" s="17" t="str">
        <f aca="false">IF(A105="","Invalid - Exclude",IF(COUNTIF($A$2:A105,A105)&gt;1,"Duplicate - Exclude",IF(OR(B105="",H105="",I105=""),"Invalid - Exclude","Valid")))</f>
        <v>Valid</v>
      </c>
      <c r="S105" s="17" t="str">
        <f aca="false">IF(R105="Valid","",IF(R105="Duplicate - Exclude","Repeat of an earlier Order ID",IF(B105="","Date missing or unreadable",IF(H105="","Quantity missing or unreadable",IF(I105="","Unit price missing or unreadable","Order ID missing")))))</f>
        <v/>
      </c>
    </row>
    <row r="106" customFormat="false" ht="15" hidden="false" customHeight="true" outlineLevel="0" collapsed="false">
      <c r="A106" s="9" t="str">
        <f aca="false">UPPER(TRIM(Raw_Data!A106))</f>
        <v>ORD-1105</v>
      </c>
      <c r="B106" s="10" t="n">
        <f aca="false">IFERROR(IF(ISNUMBER(Raw_Data!B106),Raw_Data!B106,IF(ISNUMBER(FIND("/",Raw_Data!B106)),DATE(VALUE(RIGHT(TRIM(Raw_Data!B106),4)),VALUE(MID(TRIM(Raw_Data!B106),4,2)),VALUE(LEFT(TRIM(Raw_Data!B106),2))),IF(MID(TRIM(Raw_Data!B106),5,1)="-",DATE(VALUE(LEFT(TRIM(Raw_Data!B106),4)),VALUE(MID(TRIM(Raw_Data!B106),6,2)),VALUE(RIGHT(TRIM(Raw_Data!B106),2))),DATE(VALUE(RIGHT(TRIM(Raw_Data!B106),4)),MATCH(MID(TRIM(Raw_Data!B106),4,3),{"Jan","Feb","Mar","Apr","May","Jun","Jul","Aug","Sep","Oct","Nov","Dec"},0),VALUE(LEFT(TRIM(Raw_Data!B106),2)))))),"")</f>
        <v>45817</v>
      </c>
      <c r="C106" s="9" t="str">
        <f aca="false">IF(TRIM(Raw_Data!C106)="","Unknown",PROPER(TRIM(Raw_Data!C106)))</f>
        <v>Iqra Sheikh</v>
      </c>
      <c r="D106" s="9" t="str">
        <f aca="false">IFERROR(INDEX({"Punjab","Sindh","KPK","Balochistan"},MATCH(UPPER(LEFT(TRIM(Raw_Data!D106),1)),{"P","S","K","B"},0)),IFERROR(INDEX(Data_Dictionary!$G$4:$G$16,MATCH(E106,Data_Dictionary!$F$4:$F$16,0)),"Unassigned"))</f>
        <v>Sindh</v>
      </c>
      <c r="E106" s="9" t="str">
        <f aca="false">IF(TRIM(Raw_Data!E106)="","Unknown",PROPER(TRIM(Raw_Data!E106)))</f>
        <v>Hyderabad</v>
      </c>
      <c r="F106" s="9" t="str">
        <f aca="false">IFERROR(INDEX({"Electronics","Home &amp; Kitchen","Clothing","Groceries","Beauty"},MATCH(UPPER(LEFT(TRIM(Raw_Data!F106),3)),{"ELE","HOM","CLO","GRO","BEA"},0)),"Uncategorised")</f>
        <v>Electronics</v>
      </c>
      <c r="G106" s="9" t="str">
        <f aca="false">IF(TRIM(Raw_Data!G106)="","Unknown",PROPER(TRIM(Raw_Data!G106)))</f>
        <v>Wireless Earbuds</v>
      </c>
      <c r="H106" s="11" t="n">
        <f aca="false">IFERROR(ABS(VALUE(TRIM(Raw_Data!H106))),"")</f>
        <v>2</v>
      </c>
      <c r="I106" s="12" t="n">
        <f aca="false">IFERROR(VALUE(TRIM(SUBSTITUTE(SUBSTITUTE(SUBSTITUTE(SUBSTITUTE(TRIM(Raw_Data!I106),"PKR",""),"Rs.",""),"Rs",""),",",""))),"")</f>
        <v>6300</v>
      </c>
      <c r="J106" s="13" t="n">
        <f aca="false">IFERROR(IF(TRIM(Raw_Data!J106)="",0,IF(VALUE(TRIM(Raw_Data!J106))&gt;1,VALUE(TRIM(Raw_Data!J106))/100,VALUE(TRIM(Raw_Data!J106)))),0)</f>
        <v>0</v>
      </c>
      <c r="K106" s="9" t="str">
        <f aca="false">IF(TRIM(Raw_Data!K106)="","Unassigned",PROPER(TRIM(Raw_Data!K106)))</f>
        <v>Waqar Ahmed</v>
      </c>
      <c r="L106" s="9" t="str">
        <f aca="false">IFERROR(INDEX({"Credit Card","Credit Card","Debit Card","Debit Card","Cash","PayPal"},MATCH(UPPER(LEFT(TRIM(Raw_Data!L106),2)),{"CR","CC","DE","DC","CA","PA"},0)),"Other")</f>
        <v>Cash</v>
      </c>
      <c r="M106" s="9" t="str">
        <f aca="false">IFERROR(INDEX({"Completed","Returned","Cancelled","Pending"},MATCH(UPPER(LEFT(TRIM(Raw_Data!M106),3)),{"COM","RET","CAN","PEN"},0)),"Unknown")</f>
        <v>Completed</v>
      </c>
      <c r="N106" s="14" t="n">
        <f aca="false">IF(OR(H106="",I106=""),"",H106*I106)</f>
        <v>12600</v>
      </c>
      <c r="O106" s="14" t="n">
        <f aca="false">IF(N106="","",N106*J106)</f>
        <v>0</v>
      </c>
      <c r="P106" s="14" t="n">
        <f aca="false">IF(N106="","",N106-O106)</f>
        <v>12600</v>
      </c>
      <c r="Q106" s="15" t="n">
        <f aca="false">IF(B106="","",DATE(YEAR(B106),MONTH(B106),1))</f>
        <v>45809</v>
      </c>
      <c r="R106" s="16" t="str">
        <f aca="false">IF(A106="","Invalid - Exclude",IF(COUNTIF($A$2:A106,A106)&gt;1,"Duplicate - Exclude",IF(OR(B106="",H106="",I106=""),"Invalid - Exclude","Valid")))</f>
        <v>Valid</v>
      </c>
      <c r="S106" s="16" t="str">
        <f aca="false">IF(R106="Valid","",IF(R106="Duplicate - Exclude","Repeat of an earlier Order ID",IF(B106="","Date missing or unreadable",IF(H106="","Quantity missing or unreadable",IF(I106="","Unit price missing or unreadable","Order ID missing")))))</f>
        <v/>
      </c>
    </row>
    <row r="107" customFormat="false" ht="15" hidden="false" customHeight="true" outlineLevel="0" collapsed="false">
      <c r="A107" s="17" t="str">
        <f aca="false">UPPER(TRIM(Raw_Data!A107))</f>
        <v>ORD-1106</v>
      </c>
      <c r="B107" s="18" t="n">
        <f aca="false">IFERROR(IF(ISNUMBER(Raw_Data!B107),Raw_Data!B107,IF(ISNUMBER(FIND("/",Raw_Data!B107)),DATE(VALUE(RIGHT(TRIM(Raw_Data!B107),4)),VALUE(MID(TRIM(Raw_Data!B107),4,2)),VALUE(LEFT(TRIM(Raw_Data!B107),2))),IF(MID(TRIM(Raw_Data!B107),5,1)="-",DATE(VALUE(LEFT(TRIM(Raw_Data!B107),4)),VALUE(MID(TRIM(Raw_Data!B107),6,2)),VALUE(RIGHT(TRIM(Raw_Data!B107),2))),DATE(VALUE(RIGHT(TRIM(Raw_Data!B107),4)),MATCH(MID(TRIM(Raw_Data!B107),4,3),{"Jan","Feb","Mar","Apr","May","Jun","Jul","Aug","Sep","Oct","Nov","Dec"},0),VALUE(LEFT(TRIM(Raw_Data!B107),2)))))),"")</f>
        <v>45683</v>
      </c>
      <c r="C107" s="17" t="str">
        <f aca="false">IF(TRIM(Raw_Data!C107)="","Unknown",PROPER(TRIM(Raw_Data!C107)))</f>
        <v>Iqra Ansari</v>
      </c>
      <c r="D107" s="17" t="str">
        <f aca="false">IFERROR(INDEX({"Punjab","Sindh","KPK","Balochistan"},MATCH(UPPER(LEFT(TRIM(Raw_Data!D107),1)),{"P","S","K","B"},0)),IFERROR(INDEX(Data_Dictionary!$G$4:$G$16,MATCH(E107,Data_Dictionary!$F$4:$F$16,0)),"Unassigned"))</f>
        <v>Punjab</v>
      </c>
      <c r="E107" s="17" t="str">
        <f aca="false">IF(TRIM(Raw_Data!E107)="","Unknown",PROPER(TRIM(Raw_Data!E107)))</f>
        <v>Rawalpindi</v>
      </c>
      <c r="F107" s="17" t="str">
        <f aca="false">IFERROR(INDEX({"Electronics","Home &amp; Kitchen","Clothing","Groceries","Beauty"},MATCH(UPPER(LEFT(TRIM(Raw_Data!F107),3)),{"ELE","HOM","CLO","GRO","BEA"},0)),"Uncategorised")</f>
        <v>Groceries</v>
      </c>
      <c r="G107" s="17" t="str">
        <f aca="false">IF(TRIM(Raw_Data!G107)="","Unknown",PROPER(TRIM(Raw_Data!G107)))</f>
        <v>Basmati Rice 5 Kg</v>
      </c>
      <c r="H107" s="19" t="n">
        <f aca="false">IFERROR(ABS(VALUE(TRIM(Raw_Data!H107))),"")</f>
        <v>2</v>
      </c>
      <c r="I107" s="20" t="n">
        <f aca="false">IFERROR(VALUE(TRIM(SUBSTITUTE(SUBSTITUTE(SUBSTITUTE(SUBSTITUTE(TRIM(Raw_Data!I107),"PKR",""),"Rs.",""),"Rs",""),",",""))),"")</f>
        <v>2650</v>
      </c>
      <c r="J107" s="21" t="n">
        <f aca="false">IFERROR(IF(TRIM(Raw_Data!J107)="",0,IF(VALUE(TRIM(Raw_Data!J107))&gt;1,VALUE(TRIM(Raw_Data!J107))/100,VALUE(TRIM(Raw_Data!J107)))),0)</f>
        <v>0</v>
      </c>
      <c r="K107" s="17" t="str">
        <f aca="false">IF(TRIM(Raw_Data!K107)="","Unassigned",PROPER(TRIM(Raw_Data!K107)))</f>
        <v>Nimra Aslam</v>
      </c>
      <c r="L107" s="17" t="str">
        <f aca="false">IFERROR(INDEX({"Credit Card","Credit Card","Debit Card","Debit Card","Cash","PayPal"},MATCH(UPPER(LEFT(TRIM(Raw_Data!L107),2)),{"CR","CC","DE","DC","CA","PA"},0)),"Other")</f>
        <v>PayPal</v>
      </c>
      <c r="M107" s="17" t="str">
        <f aca="false">IFERROR(INDEX({"Completed","Returned","Cancelled","Pending"},MATCH(UPPER(LEFT(TRIM(Raw_Data!M107),3)),{"COM","RET","CAN","PEN"},0)),"Unknown")</f>
        <v>Completed</v>
      </c>
      <c r="N107" s="20" t="n">
        <f aca="false">IF(OR(H107="",I107=""),"",H107*I107)</f>
        <v>5300</v>
      </c>
      <c r="O107" s="20" t="n">
        <f aca="false">IF(N107="","",N107*J107)</f>
        <v>0</v>
      </c>
      <c r="P107" s="20" t="n">
        <f aca="false">IF(N107="","",N107-O107)</f>
        <v>5300</v>
      </c>
      <c r="Q107" s="22" t="n">
        <f aca="false">IF(B107="","",DATE(YEAR(B107),MONTH(B107),1))</f>
        <v>45658</v>
      </c>
      <c r="R107" s="17" t="str">
        <f aca="false">IF(A107="","Invalid - Exclude",IF(COUNTIF($A$2:A107,A107)&gt;1,"Duplicate - Exclude",IF(OR(B107="",H107="",I107=""),"Invalid - Exclude","Valid")))</f>
        <v>Valid</v>
      </c>
      <c r="S107" s="17" t="str">
        <f aca="false">IF(R107="Valid","",IF(R107="Duplicate - Exclude","Repeat of an earlier Order ID",IF(B107="","Date missing or unreadable",IF(H107="","Quantity missing or unreadable",IF(I107="","Unit price missing or unreadable","Order ID missing")))))</f>
        <v/>
      </c>
    </row>
    <row r="108" customFormat="false" ht="15" hidden="false" customHeight="true" outlineLevel="0" collapsed="false">
      <c r="A108" s="9" t="str">
        <f aca="false">UPPER(TRIM(Raw_Data!A108))</f>
        <v>ORD-1107</v>
      </c>
      <c r="B108" s="10" t="n">
        <f aca="false">IFERROR(IF(ISNUMBER(Raw_Data!B108),Raw_Data!B108,IF(ISNUMBER(FIND("/",Raw_Data!B108)),DATE(VALUE(RIGHT(TRIM(Raw_Data!B108),4)),VALUE(MID(TRIM(Raw_Data!B108),4,2)),VALUE(LEFT(TRIM(Raw_Data!B108),2))),IF(MID(TRIM(Raw_Data!B108),5,1)="-",DATE(VALUE(LEFT(TRIM(Raw_Data!B108),4)),VALUE(MID(TRIM(Raw_Data!B108),6,2)),VALUE(RIGHT(TRIM(Raw_Data!B108),2))),DATE(VALUE(RIGHT(TRIM(Raw_Data!B108),4)),MATCH(MID(TRIM(Raw_Data!B108),4,3),{"Jan","Feb","Mar","Apr","May","Jun","Jul","Aug","Sep","Oct","Nov","Dec"},0),VALUE(LEFT(TRIM(Raw_Data!B108),2)))))),"")</f>
        <v>45887</v>
      </c>
      <c r="C108" s="9" t="str">
        <f aca="false">IF(TRIM(Raw_Data!C108)="","Unknown",PROPER(TRIM(Raw_Data!C108)))</f>
        <v>Hassan Butt</v>
      </c>
      <c r="D108" s="9" t="str">
        <f aca="false">IFERROR(INDEX({"Punjab","Sindh","KPK","Balochistan"},MATCH(UPPER(LEFT(TRIM(Raw_Data!D108),1)),{"P","S","K","B"},0)),IFERROR(INDEX(Data_Dictionary!$G$4:$G$16,MATCH(E108,Data_Dictionary!$F$4:$F$16,0)),"Unassigned"))</f>
        <v>Punjab</v>
      </c>
      <c r="E108" s="9" t="str">
        <f aca="false">IF(TRIM(Raw_Data!E108)="","Unknown",PROPER(TRIM(Raw_Data!E108)))</f>
        <v>Lahore</v>
      </c>
      <c r="F108" s="9" t="str">
        <f aca="false">IFERROR(INDEX({"Electronics","Home &amp; Kitchen","Clothing","Groceries","Beauty"},MATCH(UPPER(LEFT(TRIM(Raw_Data!F108),3)),{"ELE","HOM","CLO","GRO","BEA"},0)),"Uncategorised")</f>
        <v>Groceries</v>
      </c>
      <c r="G108" s="9" t="str">
        <f aca="false">IF(TRIM(Raw_Data!G108)="","Unknown",PROPER(TRIM(Raw_Data!G108)))</f>
        <v>Cooking Oil 5 Litre</v>
      </c>
      <c r="H108" s="11" t="n">
        <f aca="false">IFERROR(ABS(VALUE(TRIM(Raw_Data!H108))),"")</f>
        <v>8</v>
      </c>
      <c r="I108" s="12" t="n">
        <f aca="false">IFERROR(VALUE(TRIM(SUBSTITUTE(SUBSTITUTE(SUBSTITUTE(SUBSTITUTE(TRIM(Raw_Data!I108),"PKR",""),"Rs.",""),"Rs",""),",",""))),"")</f>
        <v>2200</v>
      </c>
      <c r="J108" s="13" t="n">
        <f aca="false">IFERROR(IF(TRIM(Raw_Data!J108)="",0,IF(VALUE(TRIM(Raw_Data!J108))&gt;1,VALUE(TRIM(Raw_Data!J108))/100,VALUE(TRIM(Raw_Data!J108)))),0)</f>
        <v>0</v>
      </c>
      <c r="K108" s="9" t="str">
        <f aca="false">IF(TRIM(Raw_Data!K108)="","Unassigned",PROPER(TRIM(Raw_Data!K108)))</f>
        <v>Zoya Tariq</v>
      </c>
      <c r="L108" s="9" t="str">
        <f aca="false">IFERROR(INDEX({"Credit Card","Credit Card","Debit Card","Debit Card","Cash","PayPal"},MATCH(UPPER(LEFT(TRIM(Raw_Data!L108),2)),{"CR","CC","DE","DC","CA","PA"},0)),"Other")</f>
        <v>PayPal</v>
      </c>
      <c r="M108" s="9" t="str">
        <f aca="false">IFERROR(INDEX({"Completed","Returned","Cancelled","Pending"},MATCH(UPPER(LEFT(TRIM(Raw_Data!M108),3)),{"COM","RET","CAN","PEN"},0)),"Unknown")</f>
        <v>Completed</v>
      </c>
      <c r="N108" s="14" t="n">
        <f aca="false">IF(OR(H108="",I108=""),"",H108*I108)</f>
        <v>17600</v>
      </c>
      <c r="O108" s="14" t="n">
        <f aca="false">IF(N108="","",N108*J108)</f>
        <v>0</v>
      </c>
      <c r="P108" s="14" t="n">
        <f aca="false">IF(N108="","",N108-O108)</f>
        <v>17600</v>
      </c>
      <c r="Q108" s="15" t="n">
        <f aca="false">IF(B108="","",DATE(YEAR(B108),MONTH(B108),1))</f>
        <v>45870</v>
      </c>
      <c r="R108" s="16" t="str">
        <f aca="false">IF(A108="","Invalid - Exclude",IF(COUNTIF($A$2:A108,A108)&gt;1,"Duplicate - Exclude",IF(OR(B108="",H108="",I108=""),"Invalid - Exclude","Valid")))</f>
        <v>Valid</v>
      </c>
      <c r="S108" s="16" t="str">
        <f aca="false">IF(R108="Valid","",IF(R108="Duplicate - Exclude","Repeat of an earlier Order ID",IF(B108="","Date missing or unreadable",IF(H108="","Quantity missing or unreadable",IF(I108="","Unit price missing or unreadable","Order ID missing")))))</f>
        <v/>
      </c>
    </row>
    <row r="109" customFormat="false" ht="15" hidden="false" customHeight="true" outlineLevel="0" collapsed="false">
      <c r="A109" s="17" t="str">
        <f aca="false">UPPER(TRIM(Raw_Data!A109))</f>
        <v>ORD-1108</v>
      </c>
      <c r="B109" s="18" t="n">
        <f aca="false">IFERROR(IF(ISNUMBER(Raw_Data!B109),Raw_Data!B109,IF(ISNUMBER(FIND("/",Raw_Data!B109)),DATE(VALUE(RIGHT(TRIM(Raw_Data!B109),4)),VALUE(MID(TRIM(Raw_Data!B109),4,2)),VALUE(LEFT(TRIM(Raw_Data!B109),2))),IF(MID(TRIM(Raw_Data!B109),5,1)="-",DATE(VALUE(LEFT(TRIM(Raw_Data!B109),4)),VALUE(MID(TRIM(Raw_Data!B109),6,2)),VALUE(RIGHT(TRIM(Raw_Data!B109),2))),DATE(VALUE(RIGHT(TRIM(Raw_Data!B109),4)),MATCH(MID(TRIM(Raw_Data!B109),4,3),{"Jan","Feb","Mar","Apr","May","Jun","Jul","Aug","Sep","Oct","Nov","Dec"},0),VALUE(LEFT(TRIM(Raw_Data!B109),2)))))),"")</f>
        <v>45951</v>
      </c>
      <c r="C109" s="17" t="str">
        <f aca="false">IF(TRIM(Raw_Data!C109)="","Unknown",PROPER(TRIM(Raw_Data!C109)))</f>
        <v>Ayesha Sheikh</v>
      </c>
      <c r="D109" s="17" t="str">
        <f aca="false">IFERROR(INDEX({"Punjab","Sindh","KPK","Balochistan"},MATCH(UPPER(LEFT(TRIM(Raw_Data!D109),1)),{"P","S","K","B"},0)),IFERROR(INDEX(Data_Dictionary!$G$4:$G$16,MATCH(E109,Data_Dictionary!$F$4:$F$16,0)),"Unassigned"))</f>
        <v>Punjab</v>
      </c>
      <c r="E109" s="17" t="str">
        <f aca="false">IF(TRIM(Raw_Data!E109)="","Unknown",PROPER(TRIM(Raw_Data!E109)))</f>
        <v>Lahore</v>
      </c>
      <c r="F109" s="17" t="str">
        <f aca="false">IFERROR(INDEX({"Electronics","Home &amp; Kitchen","Clothing","Groceries","Beauty"},MATCH(UPPER(LEFT(TRIM(Raw_Data!F109),3)),{"ELE","HOM","CLO","GRO","BEA"},0)),"Uncategorised")</f>
        <v>Clothing</v>
      </c>
      <c r="G109" s="17" t="str">
        <f aca="false">IF(TRIM(Raw_Data!G109)="","Unknown",PROPER(TRIM(Raw_Data!G109)))</f>
        <v>Lawn Suit 3 Piece</v>
      </c>
      <c r="H109" s="19" t="n">
        <f aca="false">IFERROR(ABS(VALUE(TRIM(Raw_Data!H109))),"")</f>
        <v>3</v>
      </c>
      <c r="I109" s="20" t="n">
        <f aca="false">IFERROR(VALUE(TRIM(SUBSTITUTE(SUBSTITUTE(SUBSTITUTE(SUBSTITUTE(TRIM(Raw_Data!I109),"PKR",""),"Rs.",""),"Rs",""),",",""))),"")</f>
        <v>7100</v>
      </c>
      <c r="J109" s="21" t="n">
        <f aca="false">IFERROR(IF(TRIM(Raw_Data!J109)="",0,IF(VALUE(TRIM(Raw_Data!J109))&gt;1,VALUE(TRIM(Raw_Data!J109))/100,VALUE(TRIM(Raw_Data!J109)))),0)</f>
        <v>0.1</v>
      </c>
      <c r="K109" s="17" t="str">
        <f aca="false">IF(TRIM(Raw_Data!K109)="","Unassigned",PROPER(TRIM(Raw_Data!K109)))</f>
        <v>Zoya Tariq</v>
      </c>
      <c r="L109" s="17" t="str">
        <f aca="false">IFERROR(INDEX({"Credit Card","Credit Card","Debit Card","Debit Card","Cash","PayPal"},MATCH(UPPER(LEFT(TRIM(Raw_Data!L109),2)),{"CR","CC","DE","DC","CA","PA"},0)),"Other")</f>
        <v>Cash</v>
      </c>
      <c r="M109" s="17" t="str">
        <f aca="false">IFERROR(INDEX({"Completed","Returned","Cancelled","Pending"},MATCH(UPPER(LEFT(TRIM(Raw_Data!M109),3)),{"COM","RET","CAN","PEN"},0)),"Unknown")</f>
        <v>Completed</v>
      </c>
      <c r="N109" s="20" t="n">
        <f aca="false">IF(OR(H109="",I109=""),"",H109*I109)</f>
        <v>21300</v>
      </c>
      <c r="O109" s="20" t="n">
        <f aca="false">IF(N109="","",N109*J109)</f>
        <v>2130</v>
      </c>
      <c r="P109" s="20" t="n">
        <f aca="false">IF(N109="","",N109-O109)</f>
        <v>19170</v>
      </c>
      <c r="Q109" s="22" t="n">
        <f aca="false">IF(B109="","",DATE(YEAR(B109),MONTH(B109),1))</f>
        <v>45931</v>
      </c>
      <c r="R109" s="17" t="str">
        <f aca="false">IF(A109="","Invalid - Exclude",IF(COUNTIF($A$2:A109,A109)&gt;1,"Duplicate - Exclude",IF(OR(B109="",H109="",I109=""),"Invalid - Exclude","Valid")))</f>
        <v>Valid</v>
      </c>
      <c r="S109" s="17" t="str">
        <f aca="false">IF(R109="Valid","",IF(R109="Duplicate - Exclude","Repeat of an earlier Order ID",IF(B109="","Date missing or unreadable",IF(H109="","Quantity missing or unreadable",IF(I109="","Unit price missing or unreadable","Order ID missing")))))</f>
        <v/>
      </c>
    </row>
    <row r="110" customFormat="false" ht="15" hidden="false" customHeight="true" outlineLevel="0" collapsed="false">
      <c r="A110" s="9" t="str">
        <f aca="false">UPPER(TRIM(Raw_Data!A110))</f>
        <v>ORD-1109</v>
      </c>
      <c r="B110" s="10" t="n">
        <f aca="false">IFERROR(IF(ISNUMBER(Raw_Data!B110),Raw_Data!B110,IF(ISNUMBER(FIND("/",Raw_Data!B110)),DATE(VALUE(RIGHT(TRIM(Raw_Data!B110),4)),VALUE(MID(TRIM(Raw_Data!B110),4,2)),VALUE(LEFT(TRIM(Raw_Data!B110),2))),IF(MID(TRIM(Raw_Data!B110),5,1)="-",DATE(VALUE(LEFT(TRIM(Raw_Data!B110),4)),VALUE(MID(TRIM(Raw_Data!B110),6,2)),VALUE(RIGHT(TRIM(Raw_Data!B110),2))),DATE(VALUE(RIGHT(TRIM(Raw_Data!B110),4)),MATCH(MID(TRIM(Raw_Data!B110),4,3),{"Jan","Feb","Mar","Apr","May","Jun","Jul","Aug","Sep","Oct","Nov","Dec"},0),VALUE(LEFT(TRIM(Raw_Data!B110),2)))))),"")</f>
        <v>45801</v>
      </c>
      <c r="C110" s="9" t="str">
        <f aca="false">IF(TRIM(Raw_Data!C110)="","Unknown",PROPER(TRIM(Raw_Data!C110)))</f>
        <v>Kashif Butt</v>
      </c>
      <c r="D110" s="9" t="str">
        <f aca="false">IFERROR(INDEX({"Punjab","Sindh","KPK","Balochistan"},MATCH(UPPER(LEFT(TRIM(Raw_Data!D110),1)),{"P","S","K","B"},0)),IFERROR(INDEX(Data_Dictionary!$G$4:$G$16,MATCH(E110,Data_Dictionary!$F$4:$F$16,0)),"Unassigned"))</f>
        <v>Punjab</v>
      </c>
      <c r="E110" s="9" t="str">
        <f aca="false">IF(TRIM(Raw_Data!E110)="","Unknown",PROPER(TRIM(Raw_Data!E110)))</f>
        <v>Lahore</v>
      </c>
      <c r="F110" s="9" t="str">
        <f aca="false">IFERROR(INDEX({"Electronics","Home &amp; Kitchen","Clothing","Groceries","Beauty"},MATCH(UPPER(LEFT(TRIM(Raw_Data!F110),3)),{"ELE","HOM","CLO","GRO","BEA"},0)),"Uncategorised")</f>
        <v>Groceries</v>
      </c>
      <c r="G110" s="9" t="str">
        <f aca="false">IF(TRIM(Raw_Data!G110)="","Unknown",PROPER(TRIM(Raw_Data!G110)))</f>
        <v>Cooking Oil 5 Litre</v>
      </c>
      <c r="H110" s="11" t="n">
        <f aca="false">IFERROR(ABS(VALUE(TRIM(Raw_Data!H110))),"")</f>
        <v>4</v>
      </c>
      <c r="I110" s="12" t="n">
        <f aca="false">IFERROR(VALUE(TRIM(SUBSTITUTE(SUBSTITUTE(SUBSTITUTE(SUBSTITUTE(TRIM(Raw_Data!I110),"PKR",""),"Rs.",""),"Rs",""),",",""))),"")</f>
        <v>2200</v>
      </c>
      <c r="J110" s="13" t="n">
        <f aca="false">IFERROR(IF(TRIM(Raw_Data!J110)="",0,IF(VALUE(TRIM(Raw_Data!J110))&gt;1,VALUE(TRIM(Raw_Data!J110))/100,VALUE(TRIM(Raw_Data!J110)))),0)</f>
        <v>0.1</v>
      </c>
      <c r="K110" s="9" t="str">
        <f aca="false">IF(TRIM(Raw_Data!K110)="","Unassigned",PROPER(TRIM(Raw_Data!K110)))</f>
        <v>Sadia Noor</v>
      </c>
      <c r="L110" s="9" t="str">
        <f aca="false">IFERROR(INDEX({"Credit Card","Credit Card","Debit Card","Debit Card","Cash","PayPal"},MATCH(UPPER(LEFT(TRIM(Raw_Data!L110),2)),{"CR","CC","DE","DC","CA","PA"},0)),"Other")</f>
        <v>Debit Card</v>
      </c>
      <c r="M110" s="9" t="str">
        <f aca="false">IFERROR(INDEX({"Completed","Returned","Cancelled","Pending"},MATCH(UPPER(LEFT(TRIM(Raw_Data!M110),3)),{"COM","RET","CAN","PEN"},0)),"Unknown")</f>
        <v>Completed</v>
      </c>
      <c r="N110" s="14" t="n">
        <f aca="false">IF(OR(H110="",I110=""),"",H110*I110)</f>
        <v>8800</v>
      </c>
      <c r="O110" s="14" t="n">
        <f aca="false">IF(N110="","",N110*J110)</f>
        <v>880</v>
      </c>
      <c r="P110" s="14" t="n">
        <f aca="false">IF(N110="","",N110-O110)</f>
        <v>7920</v>
      </c>
      <c r="Q110" s="15" t="n">
        <f aca="false">IF(B110="","",DATE(YEAR(B110),MONTH(B110),1))</f>
        <v>45778</v>
      </c>
      <c r="R110" s="16" t="str">
        <f aca="false">IF(A110="","Invalid - Exclude",IF(COUNTIF($A$2:A110,A110)&gt;1,"Duplicate - Exclude",IF(OR(B110="",H110="",I110=""),"Invalid - Exclude","Valid")))</f>
        <v>Valid</v>
      </c>
      <c r="S110" s="16" t="str">
        <f aca="false">IF(R110="Valid","",IF(R110="Duplicate - Exclude","Repeat of an earlier Order ID",IF(B110="","Date missing or unreadable",IF(H110="","Quantity missing or unreadable",IF(I110="","Unit price missing or unreadable","Order ID missing")))))</f>
        <v/>
      </c>
    </row>
    <row r="111" customFormat="false" ht="15" hidden="false" customHeight="true" outlineLevel="0" collapsed="false">
      <c r="A111" s="17" t="str">
        <f aca="false">UPPER(TRIM(Raw_Data!A111))</f>
        <v>ORD-1110</v>
      </c>
      <c r="B111" s="18" t="n">
        <f aca="false">IFERROR(IF(ISNUMBER(Raw_Data!B111),Raw_Data!B111,IF(ISNUMBER(FIND("/",Raw_Data!B111)),DATE(VALUE(RIGHT(TRIM(Raw_Data!B111),4)),VALUE(MID(TRIM(Raw_Data!B111),4,2)),VALUE(LEFT(TRIM(Raw_Data!B111),2))),IF(MID(TRIM(Raw_Data!B111),5,1)="-",DATE(VALUE(LEFT(TRIM(Raw_Data!B111),4)),VALUE(MID(TRIM(Raw_Data!B111),6,2)),VALUE(RIGHT(TRIM(Raw_Data!B111),2))),DATE(VALUE(RIGHT(TRIM(Raw_Data!B111),4)),MATCH(MID(TRIM(Raw_Data!B111),4,3),{"Jan","Feb","Mar","Apr","May","Jun","Jul","Aug","Sep","Oct","Nov","Dec"},0),VALUE(LEFT(TRIM(Raw_Data!B111),2)))))),"")</f>
        <v>45756</v>
      </c>
      <c r="C111" s="17" t="str">
        <f aca="false">IF(TRIM(Raw_Data!C111)="","Unknown",PROPER(TRIM(Raw_Data!C111)))</f>
        <v>Fatima Mirza</v>
      </c>
      <c r="D111" s="17" t="str">
        <f aca="false">IFERROR(INDEX({"Punjab","Sindh","KPK","Balochistan"},MATCH(UPPER(LEFT(TRIM(Raw_Data!D111),1)),{"P","S","K","B"},0)),IFERROR(INDEX(Data_Dictionary!$G$4:$G$16,MATCH(E111,Data_Dictionary!$F$4:$F$16,0)),"Unassigned"))</f>
        <v>Sindh</v>
      </c>
      <c r="E111" s="17" t="str">
        <f aca="false">IF(TRIM(Raw_Data!E111)="","Unknown",PROPER(TRIM(Raw_Data!E111)))</f>
        <v>Karachi</v>
      </c>
      <c r="F111" s="17" t="str">
        <f aca="false">IFERROR(INDEX({"Electronics","Home &amp; Kitchen","Clothing","Groceries","Beauty"},MATCH(UPPER(LEFT(TRIM(Raw_Data!F111),3)),{"ELE","HOM","CLO","GRO","BEA"},0)),"Uncategorised")</f>
        <v>Home &amp; Kitchen</v>
      </c>
      <c r="G111" s="17" t="str">
        <f aca="false">IF(TRIM(Raw_Data!G111)="","Unknown",PROPER(TRIM(Raw_Data!G111)))</f>
        <v>Air Fryer</v>
      </c>
      <c r="H111" s="19" t="n">
        <f aca="false">IFERROR(ABS(VALUE(TRIM(Raw_Data!H111))),"")</f>
        <v>2</v>
      </c>
      <c r="I111" s="20" t="n">
        <f aca="false">IFERROR(VALUE(TRIM(SUBSTITUTE(SUBSTITUTE(SUBSTITUTE(SUBSTITUTE(TRIM(Raw_Data!I111),"PKR",""),"Rs.",""),"Rs",""),",",""))),"")</f>
        <v>19250</v>
      </c>
      <c r="J111" s="21" t="n">
        <f aca="false">IFERROR(IF(TRIM(Raw_Data!J111)="",0,IF(VALUE(TRIM(Raw_Data!J111))&gt;1,VALUE(TRIM(Raw_Data!J111))/100,VALUE(TRIM(Raw_Data!J111)))),0)</f>
        <v>0</v>
      </c>
      <c r="K111" s="17" t="str">
        <f aca="false">IF(TRIM(Raw_Data!K111)="","Unassigned",PROPER(TRIM(Raw_Data!K111)))</f>
        <v>Imran Shah</v>
      </c>
      <c r="L111" s="17" t="str">
        <f aca="false">IFERROR(INDEX({"Credit Card","Credit Card","Debit Card","Debit Card","Cash","PayPal"},MATCH(UPPER(LEFT(TRIM(Raw_Data!L111),2)),{"CR","CC","DE","DC","CA","PA"},0)),"Other")</f>
        <v>Cash</v>
      </c>
      <c r="M111" s="17" t="str">
        <f aca="false">IFERROR(INDEX({"Completed","Returned","Cancelled","Pending"},MATCH(UPPER(LEFT(TRIM(Raw_Data!M111),3)),{"COM","RET","CAN","PEN"},0)),"Unknown")</f>
        <v>Completed</v>
      </c>
      <c r="N111" s="20" t="n">
        <f aca="false">IF(OR(H111="",I111=""),"",H111*I111)</f>
        <v>38500</v>
      </c>
      <c r="O111" s="20" t="n">
        <f aca="false">IF(N111="","",N111*J111)</f>
        <v>0</v>
      </c>
      <c r="P111" s="20" t="n">
        <f aca="false">IF(N111="","",N111-O111)</f>
        <v>38500</v>
      </c>
      <c r="Q111" s="22" t="n">
        <f aca="false">IF(B111="","",DATE(YEAR(B111),MONTH(B111),1))</f>
        <v>45748</v>
      </c>
      <c r="R111" s="17" t="str">
        <f aca="false">IF(A111="","Invalid - Exclude",IF(COUNTIF($A$2:A111,A111)&gt;1,"Duplicate - Exclude",IF(OR(B111="",H111="",I111=""),"Invalid - Exclude","Valid")))</f>
        <v>Valid</v>
      </c>
      <c r="S111" s="17" t="str">
        <f aca="false">IF(R111="Valid","",IF(R111="Duplicate - Exclude","Repeat of an earlier Order ID",IF(B111="","Date missing or unreadable",IF(H111="","Quantity missing or unreadable",IF(I111="","Unit price missing or unreadable","Order ID missing")))))</f>
        <v/>
      </c>
    </row>
    <row r="112" customFormat="false" ht="15" hidden="false" customHeight="true" outlineLevel="0" collapsed="false">
      <c r="A112" s="9" t="str">
        <f aca="false">UPPER(TRIM(Raw_Data!A112))</f>
        <v>ORD-1111</v>
      </c>
      <c r="B112" s="10" t="n">
        <f aca="false">IFERROR(IF(ISNUMBER(Raw_Data!B112),Raw_Data!B112,IF(ISNUMBER(FIND("/",Raw_Data!B112)),DATE(VALUE(RIGHT(TRIM(Raw_Data!B112),4)),VALUE(MID(TRIM(Raw_Data!B112),4,2)),VALUE(LEFT(TRIM(Raw_Data!B112),2))),IF(MID(TRIM(Raw_Data!B112),5,1)="-",DATE(VALUE(LEFT(TRIM(Raw_Data!B112),4)),VALUE(MID(TRIM(Raw_Data!B112),6,2)),VALUE(RIGHT(TRIM(Raw_Data!B112),2))),DATE(VALUE(RIGHT(TRIM(Raw_Data!B112),4)),MATCH(MID(TRIM(Raw_Data!B112),4,3),{"Jan","Feb","Mar","Apr","May","Jun","Jul","Aug","Sep","Oct","Nov","Dec"},0),VALUE(LEFT(TRIM(Raw_Data!B112),2)))))),"")</f>
        <v>45993</v>
      </c>
      <c r="C112" s="9" t="str">
        <f aca="false">IF(TRIM(Raw_Data!C112)="","Unknown",PROPER(TRIM(Raw_Data!C112)))</f>
        <v>Maryam Hussain</v>
      </c>
      <c r="D112" s="9" t="str">
        <f aca="false">IFERROR(INDEX({"Punjab","Sindh","KPK","Balochistan"},MATCH(UPPER(LEFT(TRIM(Raw_Data!D112),1)),{"P","S","K","B"},0)),IFERROR(INDEX(Data_Dictionary!$G$4:$G$16,MATCH(E112,Data_Dictionary!$F$4:$F$16,0)),"Unassigned"))</f>
        <v>KPK</v>
      </c>
      <c r="E112" s="9" t="str">
        <f aca="false">IF(TRIM(Raw_Data!E112)="","Unknown",PROPER(TRIM(Raw_Data!E112)))</f>
        <v>Peshawar</v>
      </c>
      <c r="F112" s="9" t="str">
        <f aca="false">IFERROR(INDEX({"Electronics","Home &amp; Kitchen","Clothing","Groceries","Beauty"},MATCH(UPPER(LEFT(TRIM(Raw_Data!F112),3)),{"ELE","HOM","CLO","GRO","BEA"},0)),"Uncategorised")</f>
        <v>Clothing</v>
      </c>
      <c r="G112" s="9" t="str">
        <f aca="false">IF(TRIM(Raw_Data!G112)="","Unknown",PROPER(TRIM(Raw_Data!G112)))</f>
        <v>Running Shoes</v>
      </c>
      <c r="H112" s="11" t="n">
        <f aca="false">IFERROR(ABS(VALUE(TRIM(Raw_Data!H112))),"")</f>
        <v>2</v>
      </c>
      <c r="I112" s="12" t="n">
        <f aca="false">IFERROR(VALUE(TRIM(SUBSTITUTE(SUBSTITUTE(SUBSTITUTE(SUBSTITUTE(TRIM(Raw_Data!I112),"PKR",""),"Rs.",""),"Rs",""),",",""))),"")</f>
        <v>7700</v>
      </c>
      <c r="J112" s="13" t="n">
        <f aca="false">IFERROR(IF(TRIM(Raw_Data!J112)="",0,IF(VALUE(TRIM(Raw_Data!J112))&gt;1,VALUE(TRIM(Raw_Data!J112))/100,VALUE(TRIM(Raw_Data!J112)))),0)</f>
        <v>0.05</v>
      </c>
      <c r="K112" s="9" t="str">
        <f aca="false">IF(TRIM(Raw_Data!K112)="","Unassigned",PROPER(TRIM(Raw_Data!K112)))</f>
        <v>Faisal Mehmood</v>
      </c>
      <c r="L112" s="9" t="str">
        <f aca="false">IFERROR(INDEX({"Credit Card","Credit Card","Debit Card","Debit Card","Cash","PayPal"},MATCH(UPPER(LEFT(TRIM(Raw_Data!L112),2)),{"CR","CC","DE","DC","CA","PA"},0)),"Other")</f>
        <v>Cash</v>
      </c>
      <c r="M112" s="9" t="str">
        <f aca="false">IFERROR(INDEX({"Completed","Returned","Cancelled","Pending"},MATCH(UPPER(LEFT(TRIM(Raw_Data!M112),3)),{"COM","RET","CAN","PEN"},0)),"Unknown")</f>
        <v>Pending</v>
      </c>
      <c r="N112" s="14" t="n">
        <f aca="false">IF(OR(H112="",I112=""),"",H112*I112)</f>
        <v>15400</v>
      </c>
      <c r="O112" s="14" t="n">
        <f aca="false">IF(N112="","",N112*J112)</f>
        <v>770</v>
      </c>
      <c r="P112" s="14" t="n">
        <f aca="false">IF(N112="","",N112-O112)</f>
        <v>14630</v>
      </c>
      <c r="Q112" s="15" t="n">
        <f aca="false">IF(B112="","",DATE(YEAR(B112),MONTH(B112),1))</f>
        <v>45992</v>
      </c>
      <c r="R112" s="16" t="str">
        <f aca="false">IF(A112="","Invalid - Exclude",IF(COUNTIF($A$2:A112,A112)&gt;1,"Duplicate - Exclude",IF(OR(B112="",H112="",I112=""),"Invalid - Exclude","Valid")))</f>
        <v>Valid</v>
      </c>
      <c r="S112" s="16" t="str">
        <f aca="false">IF(R112="Valid","",IF(R112="Duplicate - Exclude","Repeat of an earlier Order ID",IF(B112="","Date missing or unreadable",IF(H112="","Quantity missing or unreadable",IF(I112="","Unit price missing or unreadable","Order ID missing")))))</f>
        <v/>
      </c>
    </row>
    <row r="113" customFormat="false" ht="15" hidden="false" customHeight="true" outlineLevel="0" collapsed="false">
      <c r="A113" s="17" t="str">
        <f aca="false">UPPER(TRIM(Raw_Data!A113))</f>
        <v>ORD-1112</v>
      </c>
      <c r="B113" s="18" t="n">
        <f aca="false">IFERROR(IF(ISNUMBER(Raw_Data!B113),Raw_Data!B113,IF(ISNUMBER(FIND("/",Raw_Data!B113)),DATE(VALUE(RIGHT(TRIM(Raw_Data!B113),4)),VALUE(MID(TRIM(Raw_Data!B113),4,2)),VALUE(LEFT(TRIM(Raw_Data!B113),2))),IF(MID(TRIM(Raw_Data!B113),5,1)="-",DATE(VALUE(LEFT(TRIM(Raw_Data!B113),4)),VALUE(MID(TRIM(Raw_Data!B113),6,2)),VALUE(RIGHT(TRIM(Raw_Data!B113),2))),DATE(VALUE(RIGHT(TRIM(Raw_Data!B113),4)),MATCH(MID(TRIM(Raw_Data!B113),4,3),{"Jan","Feb","Mar","Apr","May","Jun","Jul","Aug","Sep","Oct","Nov","Dec"},0),VALUE(LEFT(TRIM(Raw_Data!B113),2)))))),"")</f>
        <v>45699</v>
      </c>
      <c r="C113" s="17" t="str">
        <f aca="false">IF(TRIM(Raw_Data!C113)="","Unknown",PROPER(TRIM(Raw_Data!C113)))</f>
        <v>Ali Butt</v>
      </c>
      <c r="D113" s="17" t="str">
        <f aca="false">IFERROR(INDEX({"Punjab","Sindh","KPK","Balochistan"},MATCH(UPPER(LEFT(TRIM(Raw_Data!D113),1)),{"P","S","K","B"},0)),IFERROR(INDEX(Data_Dictionary!$G$4:$G$16,MATCH(E113,Data_Dictionary!$F$4:$F$16,0)),"Unassigned"))</f>
        <v>Balochistan</v>
      </c>
      <c r="E113" s="17" t="str">
        <f aca="false">IF(TRIM(Raw_Data!E113)="","Unknown",PROPER(TRIM(Raw_Data!E113)))</f>
        <v>Gwadar</v>
      </c>
      <c r="F113" s="17" t="str">
        <f aca="false">IFERROR(INDEX({"Electronics","Home &amp; Kitchen","Clothing","Groceries","Beauty"},MATCH(UPPER(LEFT(TRIM(Raw_Data!F113),3)),{"ELE","HOM","CLO","GRO","BEA"},0)),"Uncategorised")</f>
        <v>Home &amp; Kitchen</v>
      </c>
      <c r="G113" s="17" t="str">
        <f aca="false">IF(TRIM(Raw_Data!G113)="","Unknown",PROPER(TRIM(Raw_Data!G113)))</f>
        <v>Air Fryer</v>
      </c>
      <c r="H113" s="19" t="n">
        <f aca="false">IFERROR(ABS(VALUE(TRIM(Raw_Data!H113))),"")</f>
        <v>4</v>
      </c>
      <c r="I113" s="20" t="n">
        <f aca="false">IFERROR(VALUE(TRIM(SUBSTITUTE(SUBSTITUTE(SUBSTITUTE(SUBSTITUTE(TRIM(Raw_Data!I113),"PKR",""),"Rs.",""),"Rs",""),",",""))),"")</f>
        <v>18950</v>
      </c>
      <c r="J113" s="21" t="n">
        <f aca="false">IFERROR(IF(TRIM(Raw_Data!J113)="",0,IF(VALUE(TRIM(Raw_Data!J113))&gt;1,VALUE(TRIM(Raw_Data!J113))/100,VALUE(TRIM(Raw_Data!J113)))),0)</f>
        <v>0.1</v>
      </c>
      <c r="K113" s="17" t="str">
        <f aca="false">IF(TRIM(Raw_Data!K113)="","Unassigned",PROPER(TRIM(Raw_Data!K113)))</f>
        <v>Waqar Ahmed</v>
      </c>
      <c r="L113" s="17" t="str">
        <f aca="false">IFERROR(INDEX({"Credit Card","Credit Card","Debit Card","Debit Card","Cash","PayPal"},MATCH(UPPER(LEFT(TRIM(Raw_Data!L113),2)),{"CR","CC","DE","DC","CA","PA"},0)),"Other")</f>
        <v>Cash</v>
      </c>
      <c r="M113" s="17" t="str">
        <f aca="false">IFERROR(INDEX({"Completed","Returned","Cancelled","Pending"},MATCH(UPPER(LEFT(TRIM(Raw_Data!M113),3)),{"COM","RET","CAN","PEN"},0)),"Unknown")</f>
        <v>Pending</v>
      </c>
      <c r="N113" s="20" t="n">
        <f aca="false">IF(OR(H113="",I113=""),"",H113*I113)</f>
        <v>75800</v>
      </c>
      <c r="O113" s="20" t="n">
        <f aca="false">IF(N113="","",N113*J113)</f>
        <v>7580</v>
      </c>
      <c r="P113" s="20" t="n">
        <f aca="false">IF(N113="","",N113-O113)</f>
        <v>68220</v>
      </c>
      <c r="Q113" s="22" t="n">
        <f aca="false">IF(B113="","",DATE(YEAR(B113),MONTH(B113),1))</f>
        <v>45689</v>
      </c>
      <c r="R113" s="17" t="str">
        <f aca="false">IF(A113="","Invalid - Exclude",IF(COUNTIF($A$2:A113,A113)&gt;1,"Duplicate - Exclude",IF(OR(B113="",H113="",I113=""),"Invalid - Exclude","Valid")))</f>
        <v>Valid</v>
      </c>
      <c r="S113" s="17" t="str">
        <f aca="false">IF(R113="Valid","",IF(R113="Duplicate - Exclude","Repeat of an earlier Order ID",IF(B113="","Date missing or unreadable",IF(H113="","Quantity missing or unreadable",IF(I113="","Unit price missing or unreadable","Order ID missing")))))</f>
        <v/>
      </c>
    </row>
    <row r="114" customFormat="false" ht="15" hidden="false" customHeight="true" outlineLevel="0" collapsed="false">
      <c r="A114" s="9" t="str">
        <f aca="false">UPPER(TRIM(Raw_Data!A114))</f>
        <v>ORD-1113</v>
      </c>
      <c r="B114" s="10" t="n">
        <f aca="false">IFERROR(IF(ISNUMBER(Raw_Data!B114),Raw_Data!B114,IF(ISNUMBER(FIND("/",Raw_Data!B114)),DATE(VALUE(RIGHT(TRIM(Raw_Data!B114),4)),VALUE(MID(TRIM(Raw_Data!B114),4,2)),VALUE(LEFT(TRIM(Raw_Data!B114),2))),IF(MID(TRIM(Raw_Data!B114),5,1)="-",DATE(VALUE(LEFT(TRIM(Raw_Data!B114),4)),VALUE(MID(TRIM(Raw_Data!B114),6,2)),VALUE(RIGHT(TRIM(Raw_Data!B114),2))),DATE(VALUE(RIGHT(TRIM(Raw_Data!B114),4)),MATCH(MID(TRIM(Raw_Data!B114),4,3),{"Jan","Feb","Mar","Apr","May","Jun","Jul","Aug","Sep","Oct","Nov","Dec"},0),VALUE(LEFT(TRIM(Raw_Data!B114),2)))))),"")</f>
        <v>45720</v>
      </c>
      <c r="C114" s="9" t="str">
        <f aca="false">IF(TRIM(Raw_Data!C114)="","Unknown",PROPER(TRIM(Raw_Data!C114)))</f>
        <v>Fatima Mirza</v>
      </c>
      <c r="D114" s="9" t="str">
        <f aca="false">IFERROR(INDEX({"Punjab","Sindh","KPK","Balochistan"},MATCH(UPPER(LEFT(TRIM(Raw_Data!D114),1)),{"P","S","K","B"},0)),IFERROR(INDEX(Data_Dictionary!$G$4:$G$16,MATCH(E114,Data_Dictionary!$F$4:$F$16,0)),"Unassigned"))</f>
        <v>Punjab</v>
      </c>
      <c r="E114" s="9" t="str">
        <f aca="false">IF(TRIM(Raw_Data!E114)="","Unknown",PROPER(TRIM(Raw_Data!E114)))</f>
        <v>Lahore</v>
      </c>
      <c r="F114" s="9" t="str">
        <f aca="false">IFERROR(INDEX({"Electronics","Home &amp; Kitchen","Clothing","Groceries","Beauty"},MATCH(UPPER(LEFT(TRIM(Raw_Data!F114),3)),{"ELE","HOM","CLO","GRO","BEA"},0)),"Uncategorised")</f>
        <v>Clothing</v>
      </c>
      <c r="G114" s="9" t="str">
        <f aca="false">IF(TRIM(Raw_Data!G114)="","Unknown",PROPER(TRIM(Raw_Data!G114)))</f>
        <v>Lawn Suit 3 Piece</v>
      </c>
      <c r="H114" s="11" t="n">
        <f aca="false">IFERROR(ABS(VALUE(TRIM(Raw_Data!H114))),"")</f>
        <v>4</v>
      </c>
      <c r="I114" s="12" t="n">
        <f aca="false">IFERROR(VALUE(TRIM(SUBSTITUTE(SUBSTITUTE(SUBSTITUTE(SUBSTITUTE(TRIM(Raw_Data!I114),"PKR",""),"Rs.",""),"Rs",""),",",""))),"")</f>
        <v>6900</v>
      </c>
      <c r="J114" s="13" t="n">
        <f aca="false">IFERROR(IF(TRIM(Raw_Data!J114)="",0,IF(VALUE(TRIM(Raw_Data!J114))&gt;1,VALUE(TRIM(Raw_Data!J114))/100,VALUE(TRIM(Raw_Data!J114)))),0)</f>
        <v>0.15</v>
      </c>
      <c r="K114" s="9" t="str">
        <f aca="false">IF(TRIM(Raw_Data!K114)="","Unassigned",PROPER(TRIM(Raw_Data!K114)))</f>
        <v>Nimra Aslam</v>
      </c>
      <c r="L114" s="9" t="str">
        <f aca="false">IFERROR(INDEX({"Credit Card","Credit Card","Debit Card","Debit Card","Cash","PayPal"},MATCH(UPPER(LEFT(TRIM(Raw_Data!L114),2)),{"CR","CC","DE","DC","CA","PA"},0)),"Other")</f>
        <v>PayPal</v>
      </c>
      <c r="M114" s="9" t="str">
        <f aca="false">IFERROR(INDEX({"Completed","Returned","Cancelled","Pending"},MATCH(UPPER(LEFT(TRIM(Raw_Data!M114),3)),{"COM","RET","CAN","PEN"},0)),"Unknown")</f>
        <v>Completed</v>
      </c>
      <c r="N114" s="14" t="n">
        <f aca="false">IF(OR(H114="",I114=""),"",H114*I114)</f>
        <v>27600</v>
      </c>
      <c r="O114" s="14" t="n">
        <f aca="false">IF(N114="","",N114*J114)</f>
        <v>4140</v>
      </c>
      <c r="P114" s="14" t="n">
        <f aca="false">IF(N114="","",N114-O114)</f>
        <v>23460</v>
      </c>
      <c r="Q114" s="15" t="n">
        <f aca="false">IF(B114="","",DATE(YEAR(B114),MONTH(B114),1))</f>
        <v>45717</v>
      </c>
      <c r="R114" s="16" t="str">
        <f aca="false">IF(A114="","Invalid - Exclude",IF(COUNTIF($A$2:A114,A114)&gt;1,"Duplicate - Exclude",IF(OR(B114="",H114="",I114=""),"Invalid - Exclude","Valid")))</f>
        <v>Valid</v>
      </c>
      <c r="S114" s="16" t="str">
        <f aca="false">IF(R114="Valid","",IF(R114="Duplicate - Exclude","Repeat of an earlier Order ID",IF(B114="","Date missing or unreadable",IF(H114="","Quantity missing or unreadable",IF(I114="","Unit price missing or unreadable","Order ID missing")))))</f>
        <v/>
      </c>
    </row>
    <row r="115" customFormat="false" ht="15" hidden="false" customHeight="true" outlineLevel="0" collapsed="false">
      <c r="A115" s="17" t="str">
        <f aca="false">UPPER(TRIM(Raw_Data!A115))</f>
        <v>ORD-1114</v>
      </c>
      <c r="B115" s="18" t="str">
        <f aca="false">IFERROR(IF(ISNUMBER(Raw_Data!B115),Raw_Data!B115,IF(ISNUMBER(FIND("/",Raw_Data!B115)),DATE(VALUE(RIGHT(TRIM(Raw_Data!B115),4)),VALUE(MID(TRIM(Raw_Data!B115),4,2)),VALUE(LEFT(TRIM(Raw_Data!B115),2))),IF(MID(TRIM(Raw_Data!B115),5,1)="-",DATE(VALUE(LEFT(TRIM(Raw_Data!B115),4)),VALUE(MID(TRIM(Raw_Data!B115),6,2)),VALUE(RIGHT(TRIM(Raw_Data!B115),2))),DATE(VALUE(RIGHT(TRIM(Raw_Data!B115),4)),MATCH(MID(TRIM(Raw_Data!B115),4,3),{"Jan","Feb","Mar","Apr","May","Jun","Jul","Aug","Sep","Oct","Nov","Dec"},0),VALUE(LEFT(TRIM(Raw_Data!B115),2)))))),"")</f>
        <v/>
      </c>
      <c r="C115" s="17" t="str">
        <f aca="false">IF(TRIM(Raw_Data!C115)="","Unknown",PROPER(TRIM(Raw_Data!C115)))</f>
        <v>Kashif Ansari</v>
      </c>
      <c r="D115" s="17" t="str">
        <f aca="false">IFERROR(INDEX({"Punjab","Sindh","KPK","Balochistan"},MATCH(UPPER(LEFT(TRIM(Raw_Data!D115),1)),{"P","S","K","B"},0)),IFERROR(INDEX(Data_Dictionary!$G$4:$G$16,MATCH(E115,Data_Dictionary!$F$4:$F$16,0)),"Unassigned"))</f>
        <v>Punjab</v>
      </c>
      <c r="E115" s="17" t="str">
        <f aca="false">IF(TRIM(Raw_Data!E115)="","Unknown",PROPER(TRIM(Raw_Data!E115)))</f>
        <v>Lahore</v>
      </c>
      <c r="F115" s="17" t="str">
        <f aca="false">IFERROR(INDEX({"Electronics","Home &amp; Kitchen","Clothing","Groceries","Beauty"},MATCH(UPPER(LEFT(TRIM(Raw_Data!F115),3)),{"ELE","HOM","CLO","GRO","BEA"},0)),"Uncategorised")</f>
        <v>Electronics</v>
      </c>
      <c r="G115" s="17" t="str">
        <f aca="false">IF(TRIM(Raw_Data!G115)="","Unknown",PROPER(TRIM(Raw_Data!G115)))</f>
        <v>Smart Watch</v>
      </c>
      <c r="H115" s="19" t="n">
        <f aca="false">IFERROR(ABS(VALUE(TRIM(Raw_Data!H115))),"")</f>
        <v>1</v>
      </c>
      <c r="I115" s="20" t="n">
        <f aca="false">IFERROR(VALUE(TRIM(SUBSTITUTE(SUBSTITUTE(SUBSTITUTE(SUBSTITUTE(TRIM(Raw_Data!I115),"PKR",""),"Rs.",""),"Rs",""),",",""))),"")</f>
        <v>9050</v>
      </c>
      <c r="J115" s="21" t="n">
        <f aca="false">IFERROR(IF(TRIM(Raw_Data!J115)="",0,IF(VALUE(TRIM(Raw_Data!J115))&gt;1,VALUE(TRIM(Raw_Data!J115))/100,VALUE(TRIM(Raw_Data!J115)))),0)</f>
        <v>0.05</v>
      </c>
      <c r="K115" s="17" t="str">
        <f aca="false">IF(TRIM(Raw_Data!K115)="","Unassigned",PROPER(TRIM(Raw_Data!K115)))</f>
        <v>Imran Shah</v>
      </c>
      <c r="L115" s="17" t="str">
        <f aca="false">IFERROR(INDEX({"Credit Card","Credit Card","Debit Card","Debit Card","Cash","PayPal"},MATCH(UPPER(LEFT(TRIM(Raw_Data!L115),2)),{"CR","CC","DE","DC","CA","PA"},0)),"Other")</f>
        <v>Debit Card</v>
      </c>
      <c r="M115" s="17" t="str">
        <f aca="false">IFERROR(INDEX({"Completed","Returned","Cancelled","Pending"},MATCH(UPPER(LEFT(TRIM(Raw_Data!M115),3)),{"COM","RET","CAN","PEN"},0)),"Unknown")</f>
        <v>Completed</v>
      </c>
      <c r="N115" s="20" t="n">
        <f aca="false">IF(OR(H115="",I115=""),"",H115*I115)</f>
        <v>9050</v>
      </c>
      <c r="O115" s="20" t="n">
        <f aca="false">IF(N115="","",N115*J115)</f>
        <v>452.5</v>
      </c>
      <c r="P115" s="20" t="n">
        <f aca="false">IF(N115="","",N115-O115)</f>
        <v>8597.5</v>
      </c>
      <c r="Q115" s="22" t="str">
        <f aca="false">IF(B115="","",DATE(YEAR(B115),MONTH(B115),1))</f>
        <v/>
      </c>
      <c r="R115" s="17" t="str">
        <f aca="false">IF(A115="","Invalid - Exclude",IF(COUNTIF($A$2:A115,A115)&gt;1,"Duplicate - Exclude",IF(OR(B115="",H115="",I115=""),"Invalid - Exclude","Valid")))</f>
        <v>Invalid - Exclude</v>
      </c>
      <c r="S115" s="17" t="str">
        <f aca="false">IF(R115="Valid","",IF(R115="Duplicate - Exclude","Repeat of an earlier Order ID",IF(B115="","Date missing or unreadable",IF(H115="","Quantity missing or unreadable",IF(I115="","Unit price missing or unreadable","Order ID missing")))))</f>
        <v>Date missing or unreadable</v>
      </c>
    </row>
    <row r="116" customFormat="false" ht="15" hidden="false" customHeight="true" outlineLevel="0" collapsed="false">
      <c r="A116" s="9" t="str">
        <f aca="false">UPPER(TRIM(Raw_Data!A116))</f>
        <v>ORD-1115</v>
      </c>
      <c r="B116" s="10" t="n">
        <f aca="false">IFERROR(IF(ISNUMBER(Raw_Data!B116),Raw_Data!B116,IF(ISNUMBER(FIND("/",Raw_Data!B116)),DATE(VALUE(RIGHT(TRIM(Raw_Data!B116),4)),VALUE(MID(TRIM(Raw_Data!B116),4,2)),VALUE(LEFT(TRIM(Raw_Data!B116),2))),IF(MID(TRIM(Raw_Data!B116),5,1)="-",DATE(VALUE(LEFT(TRIM(Raw_Data!B116),4)),VALUE(MID(TRIM(Raw_Data!B116),6,2)),VALUE(RIGHT(TRIM(Raw_Data!B116),2))),DATE(VALUE(RIGHT(TRIM(Raw_Data!B116),4)),MATCH(MID(TRIM(Raw_Data!B116),4,3),{"Jan","Feb","Mar","Apr","May","Jun","Jul","Aug","Sep","Oct","Nov","Dec"},0),VALUE(LEFT(TRIM(Raw_Data!B116),2)))))),"")</f>
        <v>45697</v>
      </c>
      <c r="C116" s="9" t="str">
        <f aca="false">IF(TRIM(Raw_Data!C116)="","Unknown",PROPER(TRIM(Raw_Data!C116)))</f>
        <v>Tariq Siddiqui</v>
      </c>
      <c r="D116" s="9" t="str">
        <f aca="false">IFERROR(INDEX({"Punjab","Sindh","KPK","Balochistan"},MATCH(UPPER(LEFT(TRIM(Raw_Data!D116),1)),{"P","S","K","B"},0)),IFERROR(INDEX(Data_Dictionary!$G$4:$G$16,MATCH(E116,Data_Dictionary!$F$4:$F$16,0)),"Unassigned"))</f>
        <v>Punjab</v>
      </c>
      <c r="E116" s="9" t="str">
        <f aca="false">IF(TRIM(Raw_Data!E116)="","Unknown",PROPER(TRIM(Raw_Data!E116)))</f>
        <v>Faisalabad</v>
      </c>
      <c r="F116" s="9" t="str">
        <f aca="false">IFERROR(INDEX({"Electronics","Home &amp; Kitchen","Clothing","Groceries","Beauty"},MATCH(UPPER(LEFT(TRIM(Raw_Data!F116),3)),{"ELE","HOM","CLO","GRO","BEA"},0)),"Uncategorised")</f>
        <v>Beauty</v>
      </c>
      <c r="G116" s="9" t="str">
        <f aca="false">IF(TRIM(Raw_Data!G116)="","Unknown",PROPER(TRIM(Raw_Data!G116)))</f>
        <v>Hair Dryer</v>
      </c>
      <c r="H116" s="11" t="n">
        <f aca="false">IFERROR(ABS(VALUE(TRIM(Raw_Data!H116))),"")</f>
        <v>3</v>
      </c>
      <c r="I116" s="12" t="n">
        <f aca="false">IFERROR(VALUE(TRIM(SUBSTITUTE(SUBSTITUTE(SUBSTITUTE(SUBSTITUTE(TRIM(Raw_Data!I116),"PKR",""),"Rs.",""),"Rs",""),",",""))),"")</f>
        <v>4200</v>
      </c>
      <c r="J116" s="13" t="n">
        <f aca="false">IFERROR(IF(TRIM(Raw_Data!J116)="",0,IF(VALUE(TRIM(Raw_Data!J116))&gt;1,VALUE(TRIM(Raw_Data!J116))/100,VALUE(TRIM(Raw_Data!J116)))),0)</f>
        <v>0.1</v>
      </c>
      <c r="K116" s="9" t="str">
        <f aca="false">IF(TRIM(Raw_Data!K116)="","Unassigned",PROPER(TRIM(Raw_Data!K116)))</f>
        <v>Imran Shah</v>
      </c>
      <c r="L116" s="9" t="str">
        <f aca="false">IFERROR(INDEX({"Credit Card","Credit Card","Debit Card","Debit Card","Cash","PayPal"},MATCH(UPPER(LEFT(TRIM(Raw_Data!L116),2)),{"CR","CC","DE","DC","CA","PA"},0)),"Other")</f>
        <v>PayPal</v>
      </c>
      <c r="M116" s="9" t="str">
        <f aca="false">IFERROR(INDEX({"Completed","Returned","Cancelled","Pending"},MATCH(UPPER(LEFT(TRIM(Raw_Data!M116),3)),{"COM","RET","CAN","PEN"},0)),"Unknown")</f>
        <v>Returned</v>
      </c>
      <c r="N116" s="14" t="n">
        <f aca="false">IF(OR(H116="",I116=""),"",H116*I116)</f>
        <v>12600</v>
      </c>
      <c r="O116" s="14" t="n">
        <f aca="false">IF(N116="","",N116*J116)</f>
        <v>1260</v>
      </c>
      <c r="P116" s="14" t="n">
        <f aca="false">IF(N116="","",N116-O116)</f>
        <v>11340</v>
      </c>
      <c r="Q116" s="15" t="n">
        <f aca="false">IF(B116="","",DATE(YEAR(B116),MONTH(B116),1))</f>
        <v>45689</v>
      </c>
      <c r="R116" s="16" t="str">
        <f aca="false">IF(A116="","Invalid - Exclude",IF(COUNTIF($A$2:A116,A116)&gt;1,"Duplicate - Exclude",IF(OR(B116="",H116="",I116=""),"Invalid - Exclude","Valid")))</f>
        <v>Valid</v>
      </c>
      <c r="S116" s="16" t="str">
        <f aca="false">IF(R116="Valid","",IF(R116="Duplicate - Exclude","Repeat of an earlier Order ID",IF(B116="","Date missing or unreadable",IF(H116="","Quantity missing or unreadable",IF(I116="","Unit price missing or unreadable","Order ID missing")))))</f>
        <v/>
      </c>
    </row>
    <row r="117" customFormat="false" ht="15" hidden="false" customHeight="true" outlineLevel="0" collapsed="false">
      <c r="A117" s="17" t="str">
        <f aca="false">UPPER(TRIM(Raw_Data!A117))</f>
        <v>ORD-1116</v>
      </c>
      <c r="B117" s="18" t="n">
        <f aca="false">IFERROR(IF(ISNUMBER(Raw_Data!B117),Raw_Data!B117,IF(ISNUMBER(FIND("/",Raw_Data!B117)),DATE(VALUE(RIGHT(TRIM(Raw_Data!B117),4)),VALUE(MID(TRIM(Raw_Data!B117),4,2)),VALUE(LEFT(TRIM(Raw_Data!B117),2))),IF(MID(TRIM(Raw_Data!B117),5,1)="-",DATE(VALUE(LEFT(TRIM(Raw_Data!B117),4)),VALUE(MID(TRIM(Raw_Data!B117),6,2)),VALUE(RIGHT(TRIM(Raw_Data!B117),2))),DATE(VALUE(RIGHT(TRIM(Raw_Data!B117),4)),MATCH(MID(TRIM(Raw_Data!B117),4,3),{"Jan","Feb","Mar","Apr","May","Jun","Jul","Aug","Sep","Oct","Nov","Dec"},0),VALUE(LEFT(TRIM(Raw_Data!B117),2)))))),"")</f>
        <v>45730</v>
      </c>
      <c r="C117" s="17" t="str">
        <f aca="false">IF(TRIM(Raw_Data!C117)="","Unknown",PROPER(TRIM(Raw_Data!C117)))</f>
        <v>Hassan Siddiqui</v>
      </c>
      <c r="D117" s="17" t="str">
        <f aca="false">IFERROR(INDEX({"Punjab","Sindh","KPK","Balochistan"},MATCH(UPPER(LEFT(TRIM(Raw_Data!D117),1)),{"P","S","K","B"},0)),IFERROR(INDEX(Data_Dictionary!$G$4:$G$16,MATCH(E117,Data_Dictionary!$F$4:$F$16,0)),"Unassigned"))</f>
        <v>Balochistan</v>
      </c>
      <c r="E117" s="17" t="str">
        <f aca="false">IF(TRIM(Raw_Data!E117)="","Unknown",PROPER(TRIM(Raw_Data!E117)))</f>
        <v>Quetta</v>
      </c>
      <c r="F117" s="17" t="str">
        <f aca="false">IFERROR(INDEX({"Electronics","Home &amp; Kitchen","Clothing","Groceries","Beauty"},MATCH(UPPER(LEFT(TRIM(Raw_Data!F117),3)),{"ELE","HOM","CLO","GRO","BEA"},0)),"Uncategorised")</f>
        <v>Groceries</v>
      </c>
      <c r="G117" s="17" t="str">
        <f aca="false">IF(TRIM(Raw_Data!G117)="","Unknown",PROPER(TRIM(Raw_Data!G117)))</f>
        <v>Basmati Rice 5 Kg</v>
      </c>
      <c r="H117" s="19" t="n">
        <f aca="false">IFERROR(ABS(VALUE(TRIM(Raw_Data!H117))),"")</f>
        <v>2</v>
      </c>
      <c r="I117" s="20" t="n">
        <f aca="false">IFERROR(VALUE(TRIM(SUBSTITUTE(SUBSTITUTE(SUBSTITUTE(SUBSTITUTE(TRIM(Raw_Data!I117),"PKR",""),"Rs.",""),"Rs",""),",",""))),"")</f>
        <v>2500</v>
      </c>
      <c r="J117" s="21" t="n">
        <f aca="false">IFERROR(IF(TRIM(Raw_Data!J117)="",0,IF(VALUE(TRIM(Raw_Data!J117))&gt;1,VALUE(TRIM(Raw_Data!J117))/100,VALUE(TRIM(Raw_Data!J117)))),0)</f>
        <v>0.2</v>
      </c>
      <c r="K117" s="17" t="str">
        <f aca="false">IF(TRIM(Raw_Data!K117)="","Unassigned",PROPER(TRIM(Raw_Data!K117)))</f>
        <v>Sadia Noor</v>
      </c>
      <c r="L117" s="17" t="str">
        <f aca="false">IFERROR(INDEX({"Credit Card","Credit Card","Debit Card","Debit Card","Cash","PayPal"},MATCH(UPPER(LEFT(TRIM(Raw_Data!L117),2)),{"CR","CC","DE","DC","CA","PA"},0)),"Other")</f>
        <v>Debit Card</v>
      </c>
      <c r="M117" s="17" t="str">
        <f aca="false">IFERROR(INDEX({"Completed","Returned","Cancelled","Pending"},MATCH(UPPER(LEFT(TRIM(Raw_Data!M117),3)),{"COM","RET","CAN","PEN"},0)),"Unknown")</f>
        <v>Completed</v>
      </c>
      <c r="N117" s="20" t="n">
        <f aca="false">IF(OR(H117="",I117=""),"",H117*I117)</f>
        <v>5000</v>
      </c>
      <c r="O117" s="20" t="n">
        <f aca="false">IF(N117="","",N117*J117)</f>
        <v>1000</v>
      </c>
      <c r="P117" s="20" t="n">
        <f aca="false">IF(N117="","",N117-O117)</f>
        <v>4000</v>
      </c>
      <c r="Q117" s="22" t="n">
        <f aca="false">IF(B117="","",DATE(YEAR(B117),MONTH(B117),1))</f>
        <v>45717</v>
      </c>
      <c r="R117" s="17" t="str">
        <f aca="false">IF(A117="","Invalid - Exclude",IF(COUNTIF($A$2:A117,A117)&gt;1,"Duplicate - Exclude",IF(OR(B117="",H117="",I117=""),"Invalid - Exclude","Valid")))</f>
        <v>Valid</v>
      </c>
      <c r="S117" s="17" t="str">
        <f aca="false">IF(R117="Valid","",IF(R117="Duplicate - Exclude","Repeat of an earlier Order ID",IF(B117="","Date missing or unreadable",IF(H117="","Quantity missing or unreadable",IF(I117="","Unit price missing or unreadable","Order ID missing")))))</f>
        <v/>
      </c>
    </row>
    <row r="118" customFormat="false" ht="15" hidden="false" customHeight="true" outlineLevel="0" collapsed="false">
      <c r="A118" s="9" t="str">
        <f aca="false">UPPER(TRIM(Raw_Data!A118))</f>
        <v>ORD-1117</v>
      </c>
      <c r="B118" s="10" t="n">
        <f aca="false">IFERROR(IF(ISNUMBER(Raw_Data!B118),Raw_Data!B118,IF(ISNUMBER(FIND("/",Raw_Data!B118)),DATE(VALUE(RIGHT(TRIM(Raw_Data!B118),4)),VALUE(MID(TRIM(Raw_Data!B118),4,2)),VALUE(LEFT(TRIM(Raw_Data!B118),2))),IF(MID(TRIM(Raw_Data!B118),5,1)="-",DATE(VALUE(LEFT(TRIM(Raw_Data!B118),4)),VALUE(MID(TRIM(Raw_Data!B118),6,2)),VALUE(RIGHT(TRIM(Raw_Data!B118),2))),DATE(VALUE(RIGHT(TRIM(Raw_Data!B118),4)),MATCH(MID(TRIM(Raw_Data!B118),4,3),{"Jan","Feb","Mar","Apr","May","Jun","Jul","Aug","Sep","Oct","Nov","Dec"},0),VALUE(LEFT(TRIM(Raw_Data!B118),2)))))),"")</f>
        <v>45815</v>
      </c>
      <c r="C118" s="9" t="str">
        <f aca="false">IF(TRIM(Raw_Data!C118)="","Unknown",PROPER(TRIM(Raw_Data!C118)))</f>
        <v>Rabia Khan</v>
      </c>
      <c r="D118" s="9" t="str">
        <f aca="false">IFERROR(INDEX({"Punjab","Sindh","KPK","Balochistan"},MATCH(UPPER(LEFT(TRIM(Raw_Data!D118),1)),{"P","S","K","B"},0)),IFERROR(INDEX(Data_Dictionary!$G$4:$G$16,MATCH(E118,Data_Dictionary!$F$4:$F$16,0)),"Unassigned"))</f>
        <v>Punjab</v>
      </c>
      <c r="E118" s="9" t="str">
        <f aca="false">IF(TRIM(Raw_Data!E118)="","Unknown",PROPER(TRIM(Raw_Data!E118)))</f>
        <v>Faisalabad</v>
      </c>
      <c r="F118" s="9" t="str">
        <f aca="false">IFERROR(INDEX({"Electronics","Home &amp; Kitchen","Clothing","Groceries","Beauty"},MATCH(UPPER(LEFT(TRIM(Raw_Data!F118),3)),{"ELE","HOM","CLO","GRO","BEA"},0)),"Uncategorised")</f>
        <v>Electronics</v>
      </c>
      <c r="G118" s="9" t="str">
        <f aca="false">IF(TRIM(Raw_Data!G118)="","Unknown",PROPER(TRIM(Raw_Data!G118)))</f>
        <v>Wireless Earbuds</v>
      </c>
      <c r="H118" s="11" t="n">
        <f aca="false">IFERROR(ABS(VALUE(TRIM(Raw_Data!H118))),"")</f>
        <v>6</v>
      </c>
      <c r="I118" s="12" t="n">
        <f aca="false">IFERROR(VALUE(TRIM(SUBSTITUTE(SUBSTITUTE(SUBSTITUTE(SUBSTITUTE(TRIM(Raw_Data!I118),"PKR",""),"Rs.",""),"Rs",""),",",""))),"")</f>
        <v>6600</v>
      </c>
      <c r="J118" s="13" t="n">
        <f aca="false">IFERROR(IF(TRIM(Raw_Data!J118)="",0,IF(VALUE(TRIM(Raw_Data!J118))&gt;1,VALUE(TRIM(Raw_Data!J118))/100,VALUE(TRIM(Raw_Data!J118)))),0)</f>
        <v>0.1</v>
      </c>
      <c r="K118" s="9" t="str">
        <f aca="false">IF(TRIM(Raw_Data!K118)="","Unassigned",PROPER(TRIM(Raw_Data!K118)))</f>
        <v>Waqar Ahmed</v>
      </c>
      <c r="L118" s="9" t="str">
        <f aca="false">IFERROR(INDEX({"Credit Card","Credit Card","Debit Card","Debit Card","Cash","PayPal"},MATCH(UPPER(LEFT(TRIM(Raw_Data!L118),2)),{"CR","CC","DE","DC","CA","PA"},0)),"Other")</f>
        <v>Credit Card</v>
      </c>
      <c r="M118" s="9" t="str">
        <f aca="false">IFERROR(INDEX({"Completed","Returned","Cancelled","Pending"},MATCH(UPPER(LEFT(TRIM(Raw_Data!M118),3)),{"COM","RET","CAN","PEN"},0)),"Unknown")</f>
        <v>Completed</v>
      </c>
      <c r="N118" s="14" t="n">
        <f aca="false">IF(OR(H118="",I118=""),"",H118*I118)</f>
        <v>39600</v>
      </c>
      <c r="O118" s="14" t="n">
        <f aca="false">IF(N118="","",N118*J118)</f>
        <v>3960</v>
      </c>
      <c r="P118" s="14" t="n">
        <f aca="false">IF(N118="","",N118-O118)</f>
        <v>35640</v>
      </c>
      <c r="Q118" s="15" t="n">
        <f aca="false">IF(B118="","",DATE(YEAR(B118),MONTH(B118),1))</f>
        <v>45809</v>
      </c>
      <c r="R118" s="16" t="str">
        <f aca="false">IF(A118="","Invalid - Exclude",IF(COUNTIF($A$2:A118,A118)&gt;1,"Duplicate - Exclude",IF(OR(B118="",H118="",I118=""),"Invalid - Exclude","Valid")))</f>
        <v>Valid</v>
      </c>
      <c r="S118" s="16" t="str">
        <f aca="false">IF(R118="Valid","",IF(R118="Duplicate - Exclude","Repeat of an earlier Order ID",IF(B118="","Date missing or unreadable",IF(H118="","Quantity missing or unreadable",IF(I118="","Unit price missing or unreadable","Order ID missing")))))</f>
        <v/>
      </c>
    </row>
    <row r="119" customFormat="false" ht="15" hidden="false" customHeight="true" outlineLevel="0" collapsed="false">
      <c r="A119" s="17" t="str">
        <f aca="false">UPPER(TRIM(Raw_Data!A119))</f>
        <v>ORD-1118</v>
      </c>
      <c r="B119" s="18" t="n">
        <f aca="false">IFERROR(IF(ISNUMBER(Raw_Data!B119),Raw_Data!B119,IF(ISNUMBER(FIND("/",Raw_Data!B119)),DATE(VALUE(RIGHT(TRIM(Raw_Data!B119),4)),VALUE(MID(TRIM(Raw_Data!B119),4,2)),VALUE(LEFT(TRIM(Raw_Data!B119),2))),IF(MID(TRIM(Raw_Data!B119),5,1)="-",DATE(VALUE(LEFT(TRIM(Raw_Data!B119),4)),VALUE(MID(TRIM(Raw_Data!B119),6,2)),VALUE(RIGHT(TRIM(Raw_Data!B119),2))),DATE(VALUE(RIGHT(TRIM(Raw_Data!B119),4)),MATCH(MID(TRIM(Raw_Data!B119),4,3),{"Jan","Feb","Mar","Apr","May","Jun","Jul","Aug","Sep","Oct","Nov","Dec"},0),VALUE(LEFT(TRIM(Raw_Data!B119),2)))))),"")</f>
        <v>45844</v>
      </c>
      <c r="C119" s="17" t="str">
        <f aca="false">IF(TRIM(Raw_Data!C119)="","Unknown",PROPER(TRIM(Raw_Data!C119)))</f>
        <v>Ayesha Sheikh</v>
      </c>
      <c r="D119" s="17" t="str">
        <f aca="false">IFERROR(INDEX({"Punjab","Sindh","KPK","Balochistan"},MATCH(UPPER(LEFT(TRIM(Raw_Data!D119),1)),{"P","S","K","B"},0)),IFERROR(INDEX(Data_Dictionary!$G$4:$G$16,MATCH(E119,Data_Dictionary!$F$4:$F$16,0)),"Unassigned"))</f>
        <v>Punjab</v>
      </c>
      <c r="E119" s="17" t="str">
        <f aca="false">IF(TRIM(Raw_Data!E119)="","Unknown",PROPER(TRIM(Raw_Data!E119)))</f>
        <v>Multan</v>
      </c>
      <c r="F119" s="17" t="str">
        <f aca="false">IFERROR(INDEX({"Electronics","Home &amp; Kitchen","Clothing","Groceries","Beauty"},MATCH(UPPER(LEFT(TRIM(Raw_Data!F119),3)),{"ELE","HOM","CLO","GRO","BEA"},0)),"Uncategorised")</f>
        <v>Electronics</v>
      </c>
      <c r="G119" s="17" t="str">
        <f aca="false">IF(TRIM(Raw_Data!G119)="","Unknown",PROPER(TRIM(Raw_Data!G119)))</f>
        <v>Bluetooth Speaker</v>
      </c>
      <c r="H119" s="19" t="n">
        <f aca="false">IFERROR(ABS(VALUE(TRIM(Raw_Data!H119))),"")</f>
        <v>3</v>
      </c>
      <c r="I119" s="20" t="n">
        <f aca="false">IFERROR(VALUE(TRIM(SUBSTITUTE(SUBSTITUTE(SUBSTITUTE(SUBSTITUTE(TRIM(Raw_Data!I119),"PKR",""),"Rs.",""),"Rs",""),",",""))),"")</f>
        <v>4700</v>
      </c>
      <c r="J119" s="21" t="n">
        <f aca="false">IFERROR(IF(TRIM(Raw_Data!J119)="",0,IF(VALUE(TRIM(Raw_Data!J119))&gt;1,VALUE(TRIM(Raw_Data!J119))/100,VALUE(TRIM(Raw_Data!J119)))),0)</f>
        <v>0.1</v>
      </c>
      <c r="K119" s="17" t="str">
        <f aca="false">IF(TRIM(Raw_Data!K119)="","Unassigned",PROPER(TRIM(Raw_Data!K119)))</f>
        <v>Faisal Mehmood</v>
      </c>
      <c r="L119" s="17" t="str">
        <f aca="false">IFERROR(INDEX({"Credit Card","Credit Card","Debit Card","Debit Card","Cash","PayPal"},MATCH(UPPER(LEFT(TRIM(Raw_Data!L119),2)),{"CR","CC","DE","DC","CA","PA"},0)),"Other")</f>
        <v>Cash</v>
      </c>
      <c r="M119" s="17" t="str">
        <f aca="false">IFERROR(INDEX({"Completed","Returned","Cancelled","Pending"},MATCH(UPPER(LEFT(TRIM(Raw_Data!M119),3)),{"COM","RET","CAN","PEN"},0)),"Unknown")</f>
        <v>Completed</v>
      </c>
      <c r="N119" s="20" t="n">
        <f aca="false">IF(OR(H119="",I119=""),"",H119*I119)</f>
        <v>14100</v>
      </c>
      <c r="O119" s="20" t="n">
        <f aca="false">IF(N119="","",N119*J119)</f>
        <v>1410</v>
      </c>
      <c r="P119" s="20" t="n">
        <f aca="false">IF(N119="","",N119-O119)</f>
        <v>12690</v>
      </c>
      <c r="Q119" s="22" t="n">
        <f aca="false">IF(B119="","",DATE(YEAR(B119),MONTH(B119),1))</f>
        <v>45839</v>
      </c>
      <c r="R119" s="17" t="str">
        <f aca="false">IF(A119="","Invalid - Exclude",IF(COUNTIF($A$2:A119,A119)&gt;1,"Duplicate - Exclude",IF(OR(B119="",H119="",I119=""),"Invalid - Exclude","Valid")))</f>
        <v>Valid</v>
      </c>
      <c r="S119" s="17" t="str">
        <f aca="false">IF(R119="Valid","",IF(R119="Duplicate - Exclude","Repeat of an earlier Order ID",IF(B119="","Date missing or unreadable",IF(H119="","Quantity missing or unreadable",IF(I119="","Unit price missing or unreadable","Order ID missing")))))</f>
        <v/>
      </c>
    </row>
    <row r="120" customFormat="false" ht="15" hidden="false" customHeight="true" outlineLevel="0" collapsed="false">
      <c r="A120" s="9" t="str">
        <f aca="false">UPPER(TRIM(Raw_Data!A120))</f>
        <v>ORD-1119</v>
      </c>
      <c r="B120" s="10" t="n">
        <f aca="false">IFERROR(IF(ISNUMBER(Raw_Data!B120),Raw_Data!B120,IF(ISNUMBER(FIND("/",Raw_Data!B120)),DATE(VALUE(RIGHT(TRIM(Raw_Data!B120),4)),VALUE(MID(TRIM(Raw_Data!B120),4,2)),VALUE(LEFT(TRIM(Raw_Data!B120),2))),IF(MID(TRIM(Raw_Data!B120),5,1)="-",DATE(VALUE(LEFT(TRIM(Raw_Data!B120),4)),VALUE(MID(TRIM(Raw_Data!B120),6,2)),VALUE(RIGHT(TRIM(Raw_Data!B120),2))),DATE(VALUE(RIGHT(TRIM(Raw_Data!B120),4)),MATCH(MID(TRIM(Raw_Data!B120),4,3),{"Jan","Feb","Mar","Apr","May","Jun","Jul","Aug","Sep","Oct","Nov","Dec"},0),VALUE(LEFT(TRIM(Raw_Data!B120),2)))))),"")</f>
        <v>45744</v>
      </c>
      <c r="C120" s="9" t="str">
        <f aca="false">IF(TRIM(Raw_Data!C120)="","Unknown",PROPER(TRIM(Raw_Data!C120)))</f>
        <v>Hassan Raza</v>
      </c>
      <c r="D120" s="9" t="str">
        <f aca="false">IFERROR(INDEX({"Punjab","Sindh","KPK","Balochistan"},MATCH(UPPER(LEFT(TRIM(Raw_Data!D120),1)),{"P","S","K","B"},0)),IFERROR(INDEX(Data_Dictionary!$G$4:$G$16,MATCH(E120,Data_Dictionary!$F$4:$F$16,0)),"Unassigned"))</f>
        <v>Sindh</v>
      </c>
      <c r="E120" s="9" t="str">
        <f aca="false">IF(TRIM(Raw_Data!E120)="","Unknown",PROPER(TRIM(Raw_Data!E120)))</f>
        <v>Karachi</v>
      </c>
      <c r="F120" s="9" t="str">
        <f aca="false">IFERROR(INDEX({"Electronics","Home &amp; Kitchen","Clothing","Groceries","Beauty"},MATCH(UPPER(LEFT(TRIM(Raw_Data!F120),3)),{"ELE","HOM","CLO","GRO","BEA"},0)),"Uncategorised")</f>
        <v>Electronics</v>
      </c>
      <c r="G120" s="9" t="str">
        <f aca="false">IF(TRIM(Raw_Data!G120)="","Unknown",PROPER(TRIM(Raw_Data!G120)))</f>
        <v>Smart Television 43 Inch</v>
      </c>
      <c r="H120" s="11" t="n">
        <f aca="false">IFERROR(ABS(VALUE(TRIM(Raw_Data!H120))),"")</f>
        <v>4</v>
      </c>
      <c r="I120" s="12" t="n">
        <f aca="false">IFERROR(VALUE(TRIM(SUBSTITUTE(SUBSTITUTE(SUBSTITUTE(SUBSTITUTE(TRIM(Raw_Data!I120),"PKR",""),"Rs.",""),"Rs",""),",",""))),"")</f>
        <v>53200</v>
      </c>
      <c r="J120" s="13" t="n">
        <f aca="false">IFERROR(IF(TRIM(Raw_Data!J120)="",0,IF(VALUE(TRIM(Raw_Data!J120))&gt;1,VALUE(TRIM(Raw_Data!J120))/100,VALUE(TRIM(Raw_Data!J120)))),0)</f>
        <v>0.15</v>
      </c>
      <c r="K120" s="9" t="str">
        <f aca="false">IF(TRIM(Raw_Data!K120)="","Unassigned",PROPER(TRIM(Raw_Data!K120)))</f>
        <v>Zoya Tariq</v>
      </c>
      <c r="L120" s="9" t="str">
        <f aca="false">IFERROR(INDEX({"Credit Card","Credit Card","Debit Card","Debit Card","Cash","PayPal"},MATCH(UPPER(LEFT(TRIM(Raw_Data!L120),2)),{"CR","CC","DE","DC","CA","PA"},0)),"Other")</f>
        <v>Cash</v>
      </c>
      <c r="M120" s="9" t="str">
        <f aca="false">IFERROR(INDEX({"Completed","Returned","Cancelled","Pending"},MATCH(UPPER(LEFT(TRIM(Raw_Data!M120),3)),{"COM","RET","CAN","PEN"},0)),"Unknown")</f>
        <v>Completed</v>
      </c>
      <c r="N120" s="14" t="n">
        <f aca="false">IF(OR(H120="",I120=""),"",H120*I120)</f>
        <v>212800</v>
      </c>
      <c r="O120" s="14" t="n">
        <f aca="false">IF(N120="","",N120*J120)</f>
        <v>31920</v>
      </c>
      <c r="P120" s="14" t="n">
        <f aca="false">IF(N120="","",N120-O120)</f>
        <v>180880</v>
      </c>
      <c r="Q120" s="15" t="n">
        <f aca="false">IF(B120="","",DATE(YEAR(B120),MONTH(B120),1))</f>
        <v>45717</v>
      </c>
      <c r="R120" s="16" t="str">
        <f aca="false">IF(A120="","Invalid - Exclude",IF(COUNTIF($A$2:A120,A120)&gt;1,"Duplicate - Exclude",IF(OR(B120="",H120="",I120=""),"Invalid - Exclude","Valid")))</f>
        <v>Valid</v>
      </c>
      <c r="S120" s="16" t="str">
        <f aca="false">IF(R120="Valid","",IF(R120="Duplicate - Exclude","Repeat of an earlier Order ID",IF(B120="","Date missing or unreadable",IF(H120="","Quantity missing or unreadable",IF(I120="","Unit price missing or unreadable","Order ID missing")))))</f>
        <v/>
      </c>
    </row>
    <row r="121" customFormat="false" ht="15" hidden="false" customHeight="true" outlineLevel="0" collapsed="false">
      <c r="A121" s="17" t="str">
        <f aca="false">UPPER(TRIM(Raw_Data!A121))</f>
        <v>ORD-1120</v>
      </c>
      <c r="B121" s="18" t="n">
        <f aca="false">IFERROR(IF(ISNUMBER(Raw_Data!B121),Raw_Data!B121,IF(ISNUMBER(FIND("/",Raw_Data!B121)),DATE(VALUE(RIGHT(TRIM(Raw_Data!B121),4)),VALUE(MID(TRIM(Raw_Data!B121),4,2)),VALUE(LEFT(TRIM(Raw_Data!B121),2))),IF(MID(TRIM(Raw_Data!B121),5,1)="-",DATE(VALUE(LEFT(TRIM(Raw_Data!B121),4)),VALUE(MID(TRIM(Raw_Data!B121),6,2)),VALUE(RIGHT(TRIM(Raw_Data!B121),2))),DATE(VALUE(RIGHT(TRIM(Raw_Data!B121),4)),MATCH(MID(TRIM(Raw_Data!B121),4,3),{"Jan","Feb","Mar","Apr","May","Jun","Jul","Aug","Sep","Oct","Nov","Dec"},0),VALUE(LEFT(TRIM(Raw_Data!B121),2)))))),"")</f>
        <v>45963</v>
      </c>
      <c r="C121" s="17" t="str">
        <f aca="false">IF(TRIM(Raw_Data!C121)="","Unknown",PROPER(TRIM(Raw_Data!C121)))</f>
        <v>Usman Chaudhry</v>
      </c>
      <c r="D121" s="17" t="str">
        <f aca="false">IFERROR(INDEX({"Punjab","Sindh","KPK","Balochistan"},MATCH(UPPER(LEFT(TRIM(Raw_Data!D121),1)),{"P","S","K","B"},0)),IFERROR(INDEX(Data_Dictionary!$G$4:$G$16,MATCH(E121,Data_Dictionary!$F$4:$F$16,0)),"Unassigned"))</f>
        <v>Balochistan</v>
      </c>
      <c r="E121" s="17" t="str">
        <f aca="false">IF(TRIM(Raw_Data!E121)="","Unknown",PROPER(TRIM(Raw_Data!E121)))</f>
        <v>Quetta</v>
      </c>
      <c r="F121" s="17" t="str">
        <f aca="false">IFERROR(INDEX({"Electronics","Home &amp; Kitchen","Clothing","Groceries","Beauty"},MATCH(UPPER(LEFT(TRIM(Raw_Data!F121),3)),{"ELE","HOM","CLO","GRO","BEA"},0)),"Uncategorised")</f>
        <v>Groceries</v>
      </c>
      <c r="G121" s="17" t="str">
        <f aca="false">IF(TRIM(Raw_Data!G121)="","Unknown",PROPER(TRIM(Raw_Data!G121)))</f>
        <v>Cooking Oil 5 Litre</v>
      </c>
      <c r="H121" s="19" t="n">
        <f aca="false">IFERROR(ABS(VALUE(TRIM(Raw_Data!H121))),"")</f>
        <v>3</v>
      </c>
      <c r="I121" s="20" t="n">
        <f aca="false">IFERROR(VALUE(TRIM(SUBSTITUTE(SUBSTITUTE(SUBSTITUTE(SUBSTITUTE(TRIM(Raw_Data!I121),"PKR",""),"Rs.",""),"Rs",""),",",""))),"")</f>
        <v>2250</v>
      </c>
      <c r="J121" s="21" t="n">
        <f aca="false">IFERROR(IF(TRIM(Raw_Data!J121)="",0,IF(VALUE(TRIM(Raw_Data!J121))&gt;1,VALUE(TRIM(Raw_Data!J121))/100,VALUE(TRIM(Raw_Data!J121)))),0)</f>
        <v>0.15</v>
      </c>
      <c r="K121" s="17" t="str">
        <f aca="false">IF(TRIM(Raw_Data!K121)="","Unassigned",PROPER(TRIM(Raw_Data!K121)))</f>
        <v>Nimra Aslam</v>
      </c>
      <c r="L121" s="17" t="str">
        <f aca="false">IFERROR(INDEX({"Credit Card","Credit Card","Debit Card","Debit Card","Cash","PayPal"},MATCH(UPPER(LEFT(TRIM(Raw_Data!L121),2)),{"CR","CC","DE","DC","CA","PA"},0)),"Other")</f>
        <v>Credit Card</v>
      </c>
      <c r="M121" s="17" t="str">
        <f aca="false">IFERROR(INDEX({"Completed","Returned","Cancelled","Pending"},MATCH(UPPER(LEFT(TRIM(Raw_Data!M121),3)),{"COM","RET","CAN","PEN"},0)),"Unknown")</f>
        <v>Completed</v>
      </c>
      <c r="N121" s="20" t="n">
        <f aca="false">IF(OR(H121="",I121=""),"",H121*I121)</f>
        <v>6750</v>
      </c>
      <c r="O121" s="20" t="n">
        <f aca="false">IF(N121="","",N121*J121)</f>
        <v>1012.5</v>
      </c>
      <c r="P121" s="20" t="n">
        <f aca="false">IF(N121="","",N121-O121)</f>
        <v>5737.5</v>
      </c>
      <c r="Q121" s="22" t="n">
        <f aca="false">IF(B121="","",DATE(YEAR(B121),MONTH(B121),1))</f>
        <v>45962</v>
      </c>
      <c r="R121" s="17" t="str">
        <f aca="false">IF(A121="","Invalid - Exclude",IF(COUNTIF($A$2:A121,A121)&gt;1,"Duplicate - Exclude",IF(OR(B121="",H121="",I121=""),"Invalid - Exclude","Valid")))</f>
        <v>Valid</v>
      </c>
      <c r="S121" s="17" t="str">
        <f aca="false">IF(R121="Valid","",IF(R121="Duplicate - Exclude","Repeat of an earlier Order ID",IF(B121="","Date missing or unreadable",IF(H121="","Quantity missing or unreadable",IF(I121="","Unit price missing or unreadable","Order ID missing")))))</f>
        <v/>
      </c>
    </row>
    <row r="122" customFormat="false" ht="15" hidden="false" customHeight="true" outlineLevel="0" collapsed="false">
      <c r="A122" s="9" t="str">
        <f aca="false">UPPER(TRIM(Raw_Data!A122))</f>
        <v>ORD-1121</v>
      </c>
      <c r="B122" s="10" t="n">
        <f aca="false">IFERROR(IF(ISNUMBER(Raw_Data!B122),Raw_Data!B122,IF(ISNUMBER(FIND("/",Raw_Data!B122)),DATE(VALUE(RIGHT(TRIM(Raw_Data!B122),4)),VALUE(MID(TRIM(Raw_Data!B122),4,2)),VALUE(LEFT(TRIM(Raw_Data!B122),2))),IF(MID(TRIM(Raw_Data!B122),5,1)="-",DATE(VALUE(LEFT(TRIM(Raw_Data!B122),4)),VALUE(MID(TRIM(Raw_Data!B122),6,2)),VALUE(RIGHT(TRIM(Raw_Data!B122),2))),DATE(VALUE(RIGHT(TRIM(Raw_Data!B122),4)),MATCH(MID(TRIM(Raw_Data!B122),4,3),{"Jan","Feb","Mar","Apr","May","Jun","Jul","Aug","Sep","Oct","Nov","Dec"},0),VALUE(LEFT(TRIM(Raw_Data!B122),2)))))),"")</f>
        <v>45909</v>
      </c>
      <c r="C122" s="9" t="str">
        <f aca="false">IF(TRIM(Raw_Data!C122)="","Unknown",PROPER(TRIM(Raw_Data!C122)))</f>
        <v>Saad Qureshi</v>
      </c>
      <c r="D122" s="9" t="str">
        <f aca="false">IFERROR(INDEX({"Punjab","Sindh","KPK","Balochistan"},MATCH(UPPER(LEFT(TRIM(Raw_Data!D122),1)),{"P","S","K","B"},0)),IFERROR(INDEX(Data_Dictionary!$G$4:$G$16,MATCH(E122,Data_Dictionary!$F$4:$F$16,0)),"Unassigned"))</f>
        <v>Punjab</v>
      </c>
      <c r="E122" s="9" t="str">
        <f aca="false">IF(TRIM(Raw_Data!E122)="","Unknown",PROPER(TRIM(Raw_Data!E122)))</f>
        <v>Lahore</v>
      </c>
      <c r="F122" s="9" t="str">
        <f aca="false">IFERROR(INDEX({"Electronics","Home &amp; Kitchen","Clothing","Groceries","Beauty"},MATCH(UPPER(LEFT(TRIM(Raw_Data!F122),3)),{"ELE","HOM","CLO","GRO","BEA"},0)),"Uncategorised")</f>
        <v>Beauty</v>
      </c>
      <c r="G122" s="9" t="str">
        <f aca="false">IF(TRIM(Raw_Data!G122)="","Unknown",PROPER(TRIM(Raw_Data!G122)))</f>
        <v>Hair Dryer</v>
      </c>
      <c r="H122" s="11" t="n">
        <f aca="false">IFERROR(ABS(VALUE(TRIM(Raw_Data!H122))),"")</f>
        <v>5</v>
      </c>
      <c r="I122" s="12" t="n">
        <f aca="false">IFERROR(VALUE(TRIM(SUBSTITUTE(SUBSTITUTE(SUBSTITUTE(SUBSTITUTE(TRIM(Raw_Data!I122),"PKR",""),"Rs.",""),"Rs",""),",",""))),"")</f>
        <v>4250</v>
      </c>
      <c r="J122" s="13" t="n">
        <f aca="false">IFERROR(IF(TRIM(Raw_Data!J122)="",0,IF(VALUE(TRIM(Raw_Data!J122))&gt;1,VALUE(TRIM(Raw_Data!J122))/100,VALUE(TRIM(Raw_Data!J122)))),0)</f>
        <v>0.1</v>
      </c>
      <c r="K122" s="9" t="str">
        <f aca="false">IF(TRIM(Raw_Data!K122)="","Unassigned",PROPER(TRIM(Raw_Data!K122)))</f>
        <v>Faisal Mehmood</v>
      </c>
      <c r="L122" s="9" t="str">
        <f aca="false">IFERROR(INDEX({"Credit Card","Credit Card","Debit Card","Debit Card","Cash","PayPal"},MATCH(UPPER(LEFT(TRIM(Raw_Data!L122),2)),{"CR","CC","DE","DC","CA","PA"},0)),"Other")</f>
        <v>Cash</v>
      </c>
      <c r="M122" s="9" t="str">
        <f aca="false">IFERROR(INDEX({"Completed","Returned","Cancelled","Pending"},MATCH(UPPER(LEFT(TRIM(Raw_Data!M122),3)),{"COM","RET","CAN","PEN"},0)),"Unknown")</f>
        <v>Completed</v>
      </c>
      <c r="N122" s="14" t="n">
        <f aca="false">IF(OR(H122="",I122=""),"",H122*I122)</f>
        <v>21250</v>
      </c>
      <c r="O122" s="14" t="n">
        <f aca="false">IF(N122="","",N122*J122)</f>
        <v>2125</v>
      </c>
      <c r="P122" s="14" t="n">
        <f aca="false">IF(N122="","",N122-O122)</f>
        <v>19125</v>
      </c>
      <c r="Q122" s="15" t="n">
        <f aca="false">IF(B122="","",DATE(YEAR(B122),MONTH(B122),1))</f>
        <v>45901</v>
      </c>
      <c r="R122" s="16" t="str">
        <f aca="false">IF(A122="","Invalid - Exclude",IF(COUNTIF($A$2:A122,A122)&gt;1,"Duplicate - Exclude",IF(OR(B122="",H122="",I122=""),"Invalid - Exclude","Valid")))</f>
        <v>Valid</v>
      </c>
      <c r="S122" s="16" t="str">
        <f aca="false">IF(R122="Valid","",IF(R122="Duplicate - Exclude","Repeat of an earlier Order ID",IF(B122="","Date missing or unreadable",IF(H122="","Quantity missing or unreadable",IF(I122="","Unit price missing or unreadable","Order ID missing")))))</f>
        <v/>
      </c>
    </row>
    <row r="123" customFormat="false" ht="15" hidden="false" customHeight="true" outlineLevel="0" collapsed="false">
      <c r="A123" s="17" t="str">
        <f aca="false">UPPER(TRIM(Raw_Data!A123))</f>
        <v>ORD-1122</v>
      </c>
      <c r="B123" s="18" t="n">
        <f aca="false">IFERROR(IF(ISNUMBER(Raw_Data!B123),Raw_Data!B123,IF(ISNUMBER(FIND("/",Raw_Data!B123)),DATE(VALUE(RIGHT(TRIM(Raw_Data!B123),4)),VALUE(MID(TRIM(Raw_Data!B123),4,2)),VALUE(LEFT(TRIM(Raw_Data!B123),2))),IF(MID(TRIM(Raw_Data!B123),5,1)="-",DATE(VALUE(LEFT(TRIM(Raw_Data!B123),4)),VALUE(MID(TRIM(Raw_Data!B123),6,2)),VALUE(RIGHT(TRIM(Raw_Data!B123),2))),DATE(VALUE(RIGHT(TRIM(Raw_Data!B123),4)),MATCH(MID(TRIM(Raw_Data!B123),4,3),{"Jan","Feb","Mar","Apr","May","Jun","Jul","Aug","Sep","Oct","Nov","Dec"},0),VALUE(LEFT(TRIM(Raw_Data!B123),2)))))),"")</f>
        <v>45895</v>
      </c>
      <c r="C123" s="17" t="str">
        <f aca="false">IF(TRIM(Raw_Data!C123)="","Unknown",PROPER(TRIM(Raw_Data!C123)))</f>
        <v>Rabia Khan</v>
      </c>
      <c r="D123" s="17" t="str">
        <f aca="false">IFERROR(INDEX({"Punjab","Sindh","KPK","Balochistan"},MATCH(UPPER(LEFT(TRIM(Raw_Data!D123),1)),{"P","S","K","B"},0)),IFERROR(INDEX(Data_Dictionary!$G$4:$G$16,MATCH(E123,Data_Dictionary!$F$4:$F$16,0)),"Unassigned"))</f>
        <v>KPK</v>
      </c>
      <c r="E123" s="17" t="str">
        <f aca="false">IF(TRIM(Raw_Data!E123)="","Unknown",PROPER(TRIM(Raw_Data!E123)))</f>
        <v>Abbottabad</v>
      </c>
      <c r="F123" s="17" t="str">
        <f aca="false">IFERROR(INDEX({"Electronics","Home &amp; Kitchen","Clothing","Groceries","Beauty"},MATCH(UPPER(LEFT(TRIM(Raw_Data!F123),3)),{"ELE","HOM","CLO","GRO","BEA"},0)),"Uncategorised")</f>
        <v>Groceries</v>
      </c>
      <c r="G123" s="17" t="str">
        <f aca="false">IF(TRIM(Raw_Data!G123)="","Unknown",PROPER(TRIM(Raw_Data!G123)))</f>
        <v>Black Tea Pack</v>
      </c>
      <c r="H123" s="19" t="n">
        <f aca="false">IFERROR(ABS(VALUE(TRIM(Raw_Data!H123))),"")</f>
        <v>4</v>
      </c>
      <c r="I123" s="20" t="n">
        <f aca="false">IFERROR(VALUE(TRIM(SUBSTITUTE(SUBSTITUTE(SUBSTITUTE(SUBSTITUTE(TRIM(Raw_Data!I123),"PKR",""),"Rs.",""),"Rs",""),",",""))),"")</f>
        <v>1500</v>
      </c>
      <c r="J123" s="21" t="n">
        <f aca="false">IFERROR(IF(TRIM(Raw_Data!J123)="",0,IF(VALUE(TRIM(Raw_Data!J123))&gt;1,VALUE(TRIM(Raw_Data!J123))/100,VALUE(TRIM(Raw_Data!J123)))),0)</f>
        <v>0.2</v>
      </c>
      <c r="K123" s="17" t="str">
        <f aca="false">IF(TRIM(Raw_Data!K123)="","Unassigned",PROPER(TRIM(Raw_Data!K123)))</f>
        <v>Sadia Noor</v>
      </c>
      <c r="L123" s="17" t="str">
        <f aca="false">IFERROR(INDEX({"Credit Card","Credit Card","Debit Card","Debit Card","Cash","PayPal"},MATCH(UPPER(LEFT(TRIM(Raw_Data!L123),2)),{"CR","CC","DE","DC","CA","PA"},0)),"Other")</f>
        <v>Credit Card</v>
      </c>
      <c r="M123" s="17" t="str">
        <f aca="false">IFERROR(INDEX({"Completed","Returned","Cancelled","Pending"},MATCH(UPPER(LEFT(TRIM(Raw_Data!M123),3)),{"COM","RET","CAN","PEN"},0)),"Unknown")</f>
        <v>Completed</v>
      </c>
      <c r="N123" s="20" t="n">
        <f aca="false">IF(OR(H123="",I123=""),"",H123*I123)</f>
        <v>6000</v>
      </c>
      <c r="O123" s="20" t="n">
        <f aca="false">IF(N123="","",N123*J123)</f>
        <v>1200</v>
      </c>
      <c r="P123" s="20" t="n">
        <f aca="false">IF(N123="","",N123-O123)</f>
        <v>4800</v>
      </c>
      <c r="Q123" s="22" t="n">
        <f aca="false">IF(B123="","",DATE(YEAR(B123),MONTH(B123),1))</f>
        <v>45870</v>
      </c>
      <c r="R123" s="17" t="str">
        <f aca="false">IF(A123="","Invalid - Exclude",IF(COUNTIF($A$2:A123,A123)&gt;1,"Duplicate - Exclude",IF(OR(B123="",H123="",I123=""),"Invalid - Exclude","Valid")))</f>
        <v>Valid</v>
      </c>
      <c r="S123" s="17" t="str">
        <f aca="false">IF(R123="Valid","",IF(R123="Duplicate - Exclude","Repeat of an earlier Order ID",IF(B123="","Date missing or unreadable",IF(H123="","Quantity missing or unreadable",IF(I123="","Unit price missing or unreadable","Order ID missing")))))</f>
        <v/>
      </c>
    </row>
    <row r="124" customFormat="false" ht="15" hidden="false" customHeight="true" outlineLevel="0" collapsed="false">
      <c r="A124" s="9" t="str">
        <f aca="false">UPPER(TRIM(Raw_Data!A124))</f>
        <v>ORD-1123</v>
      </c>
      <c r="B124" s="10" t="n">
        <f aca="false">IFERROR(IF(ISNUMBER(Raw_Data!B124),Raw_Data!B124,IF(ISNUMBER(FIND("/",Raw_Data!B124)),DATE(VALUE(RIGHT(TRIM(Raw_Data!B124),4)),VALUE(MID(TRIM(Raw_Data!B124),4,2)),VALUE(LEFT(TRIM(Raw_Data!B124),2))),IF(MID(TRIM(Raw_Data!B124),5,1)="-",DATE(VALUE(LEFT(TRIM(Raw_Data!B124),4)),VALUE(MID(TRIM(Raw_Data!B124),6,2)),VALUE(RIGHT(TRIM(Raw_Data!B124),2))),DATE(VALUE(RIGHT(TRIM(Raw_Data!B124),4)),MATCH(MID(TRIM(Raw_Data!B124),4,3),{"Jan","Feb","Mar","Apr","May","Jun","Jul","Aug","Sep","Oct","Nov","Dec"},0),VALUE(LEFT(TRIM(Raw_Data!B124),2)))))),"")</f>
        <v>45733</v>
      </c>
      <c r="C124" s="9" t="str">
        <f aca="false">IF(TRIM(Raw_Data!C124)="","Unknown",PROPER(TRIM(Raw_Data!C124)))</f>
        <v>Iqra Butt</v>
      </c>
      <c r="D124" s="9" t="str">
        <f aca="false">IFERROR(INDEX({"Punjab","Sindh","KPK","Balochistan"},MATCH(UPPER(LEFT(TRIM(Raw_Data!D124),1)),{"P","S","K","B"},0)),IFERROR(INDEX(Data_Dictionary!$G$4:$G$16,MATCH(E124,Data_Dictionary!$F$4:$F$16,0)),"Unassigned"))</f>
        <v>Balochistan</v>
      </c>
      <c r="E124" s="9" t="str">
        <f aca="false">IF(TRIM(Raw_Data!E124)="","Unknown",PROPER(TRIM(Raw_Data!E124)))</f>
        <v>Quetta</v>
      </c>
      <c r="F124" s="9" t="str">
        <f aca="false">IFERROR(INDEX({"Electronics","Home &amp; Kitchen","Clothing","Groceries","Beauty"},MATCH(UPPER(LEFT(TRIM(Raw_Data!F124),3)),{"ELE","HOM","CLO","GRO","BEA"},0)),"Uncategorised")</f>
        <v>Groceries</v>
      </c>
      <c r="G124" s="9" t="str">
        <f aca="false">IF(TRIM(Raw_Data!G124)="","Unknown",PROPER(TRIM(Raw_Data!G124)))</f>
        <v>Black Tea Pack</v>
      </c>
      <c r="H124" s="11" t="n">
        <f aca="false">IFERROR(ABS(VALUE(TRIM(Raw_Data!H124))),"")</f>
        <v>8</v>
      </c>
      <c r="I124" s="12" t="n">
        <f aca="false">IFERROR(VALUE(TRIM(SUBSTITUTE(SUBSTITUTE(SUBSTITUTE(SUBSTITUTE(TRIM(Raw_Data!I124),"PKR",""),"Rs.",""),"Rs",""),",",""))),"")</f>
        <v>1500</v>
      </c>
      <c r="J124" s="13" t="n">
        <f aca="false">IFERROR(IF(TRIM(Raw_Data!J124)="",0,IF(VALUE(TRIM(Raw_Data!J124))&gt;1,VALUE(TRIM(Raw_Data!J124))/100,VALUE(TRIM(Raw_Data!J124)))),0)</f>
        <v>0</v>
      </c>
      <c r="K124" s="9" t="str">
        <f aca="false">IF(TRIM(Raw_Data!K124)="","Unassigned",PROPER(TRIM(Raw_Data!K124)))</f>
        <v>Waqar Ahmed</v>
      </c>
      <c r="L124" s="9" t="str">
        <f aca="false">IFERROR(INDEX({"Credit Card","Credit Card","Debit Card","Debit Card","Cash","PayPal"},MATCH(UPPER(LEFT(TRIM(Raw_Data!L124),2)),{"CR","CC","DE","DC","CA","PA"},0)),"Other")</f>
        <v>Credit Card</v>
      </c>
      <c r="M124" s="9" t="str">
        <f aca="false">IFERROR(INDEX({"Completed","Returned","Cancelled","Pending"},MATCH(UPPER(LEFT(TRIM(Raw_Data!M124),3)),{"COM","RET","CAN","PEN"},0)),"Unknown")</f>
        <v>Completed</v>
      </c>
      <c r="N124" s="14" t="n">
        <f aca="false">IF(OR(H124="",I124=""),"",H124*I124)</f>
        <v>12000</v>
      </c>
      <c r="O124" s="14" t="n">
        <f aca="false">IF(N124="","",N124*J124)</f>
        <v>0</v>
      </c>
      <c r="P124" s="14" t="n">
        <f aca="false">IF(N124="","",N124-O124)</f>
        <v>12000</v>
      </c>
      <c r="Q124" s="15" t="n">
        <f aca="false">IF(B124="","",DATE(YEAR(B124),MONTH(B124),1))</f>
        <v>45717</v>
      </c>
      <c r="R124" s="16" t="str">
        <f aca="false">IF(A124="","Invalid - Exclude",IF(COUNTIF($A$2:A124,A124)&gt;1,"Duplicate - Exclude",IF(OR(B124="",H124="",I124=""),"Invalid - Exclude","Valid")))</f>
        <v>Valid</v>
      </c>
      <c r="S124" s="16" t="str">
        <f aca="false">IF(R124="Valid","",IF(R124="Duplicate - Exclude","Repeat of an earlier Order ID",IF(B124="","Date missing or unreadable",IF(H124="","Quantity missing or unreadable",IF(I124="","Unit price missing or unreadable","Order ID missing")))))</f>
        <v/>
      </c>
    </row>
    <row r="125" customFormat="false" ht="15" hidden="false" customHeight="true" outlineLevel="0" collapsed="false">
      <c r="A125" s="17" t="str">
        <f aca="false">UPPER(TRIM(Raw_Data!A125))</f>
        <v>ORD-1124</v>
      </c>
      <c r="B125" s="18" t="n">
        <f aca="false">IFERROR(IF(ISNUMBER(Raw_Data!B125),Raw_Data!B125,IF(ISNUMBER(FIND("/",Raw_Data!B125)),DATE(VALUE(RIGHT(TRIM(Raw_Data!B125),4)),VALUE(MID(TRIM(Raw_Data!B125),4,2)),VALUE(LEFT(TRIM(Raw_Data!B125),2))),IF(MID(TRIM(Raw_Data!B125),5,1)="-",DATE(VALUE(LEFT(TRIM(Raw_Data!B125),4)),VALUE(MID(TRIM(Raw_Data!B125),6,2)),VALUE(RIGHT(TRIM(Raw_Data!B125),2))),DATE(VALUE(RIGHT(TRIM(Raw_Data!B125),4)),MATCH(MID(TRIM(Raw_Data!B125),4,3),{"Jan","Feb","Mar","Apr","May","Jun","Jul","Aug","Sep","Oct","Nov","Dec"},0),VALUE(LEFT(TRIM(Raw_Data!B125),2)))))),"")</f>
        <v>45892</v>
      </c>
      <c r="C125" s="17" t="str">
        <f aca="false">IF(TRIM(Raw_Data!C125)="","Unknown",PROPER(TRIM(Raw_Data!C125)))</f>
        <v>Sana Raza</v>
      </c>
      <c r="D125" s="17" t="str">
        <f aca="false">IFERROR(INDEX({"Punjab","Sindh","KPK","Balochistan"},MATCH(UPPER(LEFT(TRIM(Raw_Data!D125),1)),{"P","S","K","B"},0)),IFERROR(INDEX(Data_Dictionary!$G$4:$G$16,MATCH(E125,Data_Dictionary!$F$4:$F$16,0)),"Unassigned"))</f>
        <v>Punjab</v>
      </c>
      <c r="E125" s="17" t="str">
        <f aca="false">IF(TRIM(Raw_Data!E125)="","Unknown",PROPER(TRIM(Raw_Data!E125)))</f>
        <v>Lahore</v>
      </c>
      <c r="F125" s="17" t="str">
        <f aca="false">IFERROR(INDEX({"Electronics","Home &amp; Kitchen","Clothing","Groceries","Beauty"},MATCH(UPPER(LEFT(TRIM(Raw_Data!F125),3)),{"ELE","HOM","CLO","GRO","BEA"},0)),"Uncategorised")</f>
        <v>Groceries</v>
      </c>
      <c r="G125" s="17" t="str">
        <f aca="false">IF(TRIM(Raw_Data!G125)="","Unknown",PROPER(TRIM(Raw_Data!G125)))</f>
        <v>Black Tea Pack</v>
      </c>
      <c r="H125" s="19" t="n">
        <f aca="false">IFERROR(ABS(VALUE(TRIM(Raw_Data!H125))),"")</f>
        <v>2</v>
      </c>
      <c r="I125" s="20" t="n">
        <f aca="false">IFERROR(VALUE(TRIM(SUBSTITUTE(SUBSTITUTE(SUBSTITUTE(SUBSTITUTE(TRIM(Raw_Data!I125),"PKR",""),"Rs.",""),"Rs",""),",",""))),"")</f>
        <v>1450</v>
      </c>
      <c r="J125" s="21" t="n">
        <f aca="false">IFERROR(IF(TRIM(Raw_Data!J125)="",0,IF(VALUE(TRIM(Raw_Data!J125))&gt;1,VALUE(TRIM(Raw_Data!J125))/100,VALUE(TRIM(Raw_Data!J125)))),0)</f>
        <v>0.2</v>
      </c>
      <c r="K125" s="17" t="str">
        <f aca="false">IF(TRIM(Raw_Data!K125)="","Unassigned",PROPER(TRIM(Raw_Data!K125)))</f>
        <v>Waqar Ahmed</v>
      </c>
      <c r="L125" s="17" t="str">
        <f aca="false">IFERROR(INDEX({"Credit Card","Credit Card","Debit Card","Debit Card","Cash","PayPal"},MATCH(UPPER(LEFT(TRIM(Raw_Data!L125),2)),{"CR","CC","DE","DC","CA","PA"},0)),"Other")</f>
        <v>Credit Card</v>
      </c>
      <c r="M125" s="17" t="str">
        <f aca="false">IFERROR(INDEX({"Completed","Returned","Cancelled","Pending"},MATCH(UPPER(LEFT(TRIM(Raw_Data!M125),3)),{"COM","RET","CAN","PEN"},0)),"Unknown")</f>
        <v>Completed</v>
      </c>
      <c r="N125" s="20" t="n">
        <f aca="false">IF(OR(H125="",I125=""),"",H125*I125)</f>
        <v>2900</v>
      </c>
      <c r="O125" s="20" t="n">
        <f aca="false">IF(N125="","",N125*J125)</f>
        <v>580</v>
      </c>
      <c r="P125" s="20" t="n">
        <f aca="false">IF(N125="","",N125-O125)</f>
        <v>2320</v>
      </c>
      <c r="Q125" s="22" t="n">
        <f aca="false">IF(B125="","",DATE(YEAR(B125),MONTH(B125),1))</f>
        <v>45870</v>
      </c>
      <c r="R125" s="17" t="str">
        <f aca="false">IF(A125="","Invalid - Exclude",IF(COUNTIF($A$2:A125,A125)&gt;1,"Duplicate - Exclude",IF(OR(B125="",H125="",I125=""),"Invalid - Exclude","Valid")))</f>
        <v>Valid</v>
      </c>
      <c r="S125" s="17" t="str">
        <f aca="false">IF(R125="Valid","",IF(R125="Duplicate - Exclude","Repeat of an earlier Order ID",IF(B125="","Date missing or unreadable",IF(H125="","Quantity missing or unreadable",IF(I125="","Unit price missing or unreadable","Order ID missing")))))</f>
        <v/>
      </c>
    </row>
    <row r="126" customFormat="false" ht="15" hidden="false" customHeight="true" outlineLevel="0" collapsed="false">
      <c r="A126" s="9" t="str">
        <f aca="false">UPPER(TRIM(Raw_Data!A126))</f>
        <v>ORD-1125</v>
      </c>
      <c r="B126" s="10" t="n">
        <f aca="false">IFERROR(IF(ISNUMBER(Raw_Data!B126),Raw_Data!B126,IF(ISNUMBER(FIND("/",Raw_Data!B126)),DATE(VALUE(RIGHT(TRIM(Raw_Data!B126),4)),VALUE(MID(TRIM(Raw_Data!B126),4,2)),VALUE(LEFT(TRIM(Raw_Data!B126),2))),IF(MID(TRIM(Raw_Data!B126),5,1)="-",DATE(VALUE(LEFT(TRIM(Raw_Data!B126),4)),VALUE(MID(TRIM(Raw_Data!B126),6,2)),VALUE(RIGHT(TRIM(Raw_Data!B126),2))),DATE(VALUE(RIGHT(TRIM(Raw_Data!B126),4)),MATCH(MID(TRIM(Raw_Data!B126),4,3),{"Jan","Feb","Mar","Apr","May","Jun","Jul","Aug","Sep","Oct","Nov","Dec"},0),VALUE(LEFT(TRIM(Raw_Data!B126),2)))))),"")</f>
        <v>45991</v>
      </c>
      <c r="C126" s="9" t="str">
        <f aca="false">IF(TRIM(Raw_Data!C126)="","Unknown",PROPER(TRIM(Raw_Data!C126)))</f>
        <v>Rabia Qureshi</v>
      </c>
      <c r="D126" s="9" t="str">
        <f aca="false">IFERROR(INDEX({"Punjab","Sindh","KPK","Balochistan"},MATCH(UPPER(LEFT(TRIM(Raw_Data!D126),1)),{"P","S","K","B"},0)),IFERROR(INDEX(Data_Dictionary!$G$4:$G$16,MATCH(E126,Data_Dictionary!$F$4:$F$16,0)),"Unassigned"))</f>
        <v>Sindh</v>
      </c>
      <c r="E126" s="9" t="str">
        <f aca="false">IF(TRIM(Raw_Data!E126)="","Unknown",PROPER(TRIM(Raw_Data!E126)))</f>
        <v>Karachi</v>
      </c>
      <c r="F126" s="9" t="str">
        <f aca="false">IFERROR(INDEX({"Electronics","Home &amp; Kitchen","Clothing","Groceries","Beauty"},MATCH(UPPER(LEFT(TRIM(Raw_Data!F126),3)),{"ELE","HOM","CLO","GRO","BEA"},0)),"Uncategorised")</f>
        <v>Electronics</v>
      </c>
      <c r="G126" s="9" t="str">
        <f aca="false">IF(TRIM(Raw_Data!G126)="","Unknown",PROPER(TRIM(Raw_Data!G126)))</f>
        <v>Wireless Earbuds</v>
      </c>
      <c r="H126" s="11" t="n">
        <f aca="false">IFERROR(ABS(VALUE(TRIM(Raw_Data!H126))),"")</f>
        <v>3</v>
      </c>
      <c r="I126" s="12" t="str">
        <f aca="false">IFERROR(VALUE(TRIM(SUBSTITUTE(SUBSTITUTE(SUBSTITUTE(SUBSTITUTE(TRIM(Raw_Data!I126),"PKR",""),"Rs.",""),"Rs",""),",",""))),"")</f>
        <v/>
      </c>
      <c r="J126" s="13" t="n">
        <f aca="false">IFERROR(IF(TRIM(Raw_Data!J126)="",0,IF(VALUE(TRIM(Raw_Data!J126))&gt;1,VALUE(TRIM(Raw_Data!J126))/100,VALUE(TRIM(Raw_Data!J126)))),0)</f>
        <v>0.1</v>
      </c>
      <c r="K126" s="9" t="str">
        <f aca="false">IF(TRIM(Raw_Data!K126)="","Unassigned",PROPER(TRIM(Raw_Data!K126)))</f>
        <v>Zoya Tariq</v>
      </c>
      <c r="L126" s="9" t="str">
        <f aca="false">IFERROR(INDEX({"Credit Card","Credit Card","Debit Card","Debit Card","Cash","PayPal"},MATCH(UPPER(LEFT(TRIM(Raw_Data!L126),2)),{"CR","CC","DE","DC","CA","PA"},0)),"Other")</f>
        <v>Cash</v>
      </c>
      <c r="M126" s="9" t="str">
        <f aca="false">IFERROR(INDEX({"Completed","Returned","Cancelled","Pending"},MATCH(UPPER(LEFT(TRIM(Raw_Data!M126),3)),{"COM","RET","CAN","PEN"},0)),"Unknown")</f>
        <v>Completed</v>
      </c>
      <c r="N126" s="14" t="str">
        <f aca="false">IF(OR(H126="",I126=""),"",H126*I126)</f>
        <v/>
      </c>
      <c r="O126" s="14" t="str">
        <f aca="false">IF(N126="","",N126*J126)</f>
        <v/>
      </c>
      <c r="P126" s="14" t="str">
        <f aca="false">IF(N126="","",N126-O126)</f>
        <v/>
      </c>
      <c r="Q126" s="15" t="n">
        <f aca="false">IF(B126="","",DATE(YEAR(B126),MONTH(B126),1))</f>
        <v>45962</v>
      </c>
      <c r="R126" s="16" t="str">
        <f aca="false">IF(A126="","Invalid - Exclude",IF(COUNTIF($A$2:A126,A126)&gt;1,"Duplicate - Exclude",IF(OR(B126="",H126="",I126=""),"Invalid - Exclude","Valid")))</f>
        <v>Invalid - Exclude</v>
      </c>
      <c r="S126" s="16" t="str">
        <f aca="false">IF(R126="Valid","",IF(R126="Duplicate - Exclude","Repeat of an earlier Order ID",IF(B126="","Date missing or unreadable",IF(H126="","Quantity missing or unreadable",IF(I126="","Unit price missing or unreadable","Order ID missing")))))</f>
        <v>Unit price missing or unreadable</v>
      </c>
    </row>
    <row r="127" customFormat="false" ht="15" hidden="false" customHeight="true" outlineLevel="0" collapsed="false">
      <c r="A127" s="17" t="str">
        <f aca="false">UPPER(TRIM(Raw_Data!A127))</f>
        <v>ORD-1126</v>
      </c>
      <c r="B127" s="18" t="n">
        <f aca="false">IFERROR(IF(ISNUMBER(Raw_Data!B127),Raw_Data!B127,IF(ISNUMBER(FIND("/",Raw_Data!B127)),DATE(VALUE(RIGHT(TRIM(Raw_Data!B127),4)),VALUE(MID(TRIM(Raw_Data!B127),4,2)),VALUE(LEFT(TRIM(Raw_Data!B127),2))),IF(MID(TRIM(Raw_Data!B127),5,1)="-",DATE(VALUE(LEFT(TRIM(Raw_Data!B127),4)),VALUE(MID(TRIM(Raw_Data!B127),6,2)),VALUE(RIGHT(TRIM(Raw_Data!B127),2))),DATE(VALUE(RIGHT(TRIM(Raw_Data!B127),4)),MATCH(MID(TRIM(Raw_Data!B127),4,3),{"Jan","Feb","Mar","Apr","May","Jun","Jul","Aug","Sep","Oct","Nov","Dec"},0),VALUE(LEFT(TRIM(Raw_Data!B127),2)))))),"")</f>
        <v>45692</v>
      </c>
      <c r="C127" s="17" t="str">
        <f aca="false">IF(TRIM(Raw_Data!C127)="","Unknown",PROPER(TRIM(Raw_Data!C127)))</f>
        <v>Saad Iqbal</v>
      </c>
      <c r="D127" s="17" t="str">
        <f aca="false">IFERROR(INDEX({"Punjab","Sindh","KPK","Balochistan"},MATCH(UPPER(LEFT(TRIM(Raw_Data!D127),1)),{"P","S","K","B"},0)),IFERROR(INDEX(Data_Dictionary!$G$4:$G$16,MATCH(E127,Data_Dictionary!$F$4:$F$16,0)),"Unassigned"))</f>
        <v>Sindh</v>
      </c>
      <c r="E127" s="17" t="str">
        <f aca="false">IF(TRIM(Raw_Data!E127)="","Unknown",PROPER(TRIM(Raw_Data!E127)))</f>
        <v>Karachi</v>
      </c>
      <c r="F127" s="17" t="str">
        <f aca="false">IFERROR(INDEX({"Electronics","Home &amp; Kitchen","Clothing","Groceries","Beauty"},MATCH(UPPER(LEFT(TRIM(Raw_Data!F127),3)),{"ELE","HOM","CLO","GRO","BEA"},0)),"Uncategorised")</f>
        <v>Home &amp; Kitchen</v>
      </c>
      <c r="G127" s="17" t="str">
        <f aca="false">IF(TRIM(Raw_Data!G127)="","Unknown",PROPER(TRIM(Raw_Data!G127)))</f>
        <v>Air Fryer</v>
      </c>
      <c r="H127" s="19" t="n">
        <f aca="false">IFERROR(ABS(VALUE(TRIM(Raw_Data!H127))),"")</f>
        <v>7</v>
      </c>
      <c r="I127" s="20" t="n">
        <f aca="false">IFERROR(VALUE(TRIM(SUBSTITUTE(SUBSTITUTE(SUBSTITUTE(SUBSTITUTE(TRIM(Raw_Data!I127),"PKR",""),"Rs.",""),"Rs",""),",",""))),"")</f>
        <v>19050</v>
      </c>
      <c r="J127" s="21" t="n">
        <f aca="false">IFERROR(IF(TRIM(Raw_Data!J127)="",0,IF(VALUE(TRIM(Raw_Data!J127))&gt;1,VALUE(TRIM(Raw_Data!J127))/100,VALUE(TRIM(Raw_Data!J127)))),0)</f>
        <v>0</v>
      </c>
      <c r="K127" s="17" t="str">
        <f aca="false">IF(TRIM(Raw_Data!K127)="","Unassigned",PROPER(TRIM(Raw_Data!K127)))</f>
        <v>Nimra Aslam</v>
      </c>
      <c r="L127" s="17" t="str">
        <f aca="false">IFERROR(INDEX({"Credit Card","Credit Card","Debit Card","Debit Card","Cash","PayPal"},MATCH(UPPER(LEFT(TRIM(Raw_Data!L127),2)),{"CR","CC","DE","DC","CA","PA"},0)),"Other")</f>
        <v>Debit Card</v>
      </c>
      <c r="M127" s="17" t="str">
        <f aca="false">IFERROR(INDEX({"Completed","Returned","Cancelled","Pending"},MATCH(UPPER(LEFT(TRIM(Raw_Data!M127),3)),{"COM","RET","CAN","PEN"},0)),"Unknown")</f>
        <v>Completed</v>
      </c>
      <c r="N127" s="20" t="n">
        <f aca="false">IF(OR(H127="",I127=""),"",H127*I127)</f>
        <v>133350</v>
      </c>
      <c r="O127" s="20" t="n">
        <f aca="false">IF(N127="","",N127*J127)</f>
        <v>0</v>
      </c>
      <c r="P127" s="20" t="n">
        <f aca="false">IF(N127="","",N127-O127)</f>
        <v>133350</v>
      </c>
      <c r="Q127" s="22" t="n">
        <f aca="false">IF(B127="","",DATE(YEAR(B127),MONTH(B127),1))</f>
        <v>45689</v>
      </c>
      <c r="R127" s="17" t="str">
        <f aca="false">IF(A127="","Invalid - Exclude",IF(COUNTIF($A$2:A127,A127)&gt;1,"Duplicate - Exclude",IF(OR(B127="",H127="",I127=""),"Invalid - Exclude","Valid")))</f>
        <v>Valid</v>
      </c>
      <c r="S127" s="17" t="str">
        <f aca="false">IF(R127="Valid","",IF(R127="Duplicate - Exclude","Repeat of an earlier Order ID",IF(B127="","Date missing or unreadable",IF(H127="","Quantity missing or unreadable",IF(I127="","Unit price missing or unreadable","Order ID missing")))))</f>
        <v/>
      </c>
    </row>
    <row r="128" customFormat="false" ht="15" hidden="false" customHeight="true" outlineLevel="0" collapsed="false">
      <c r="A128" s="9" t="str">
        <f aca="false">UPPER(TRIM(Raw_Data!A128))</f>
        <v>ORD-1127</v>
      </c>
      <c r="B128" s="10" t="n">
        <f aca="false">IFERROR(IF(ISNUMBER(Raw_Data!B128),Raw_Data!B128,IF(ISNUMBER(FIND("/",Raw_Data!B128)),DATE(VALUE(RIGHT(TRIM(Raw_Data!B128),4)),VALUE(MID(TRIM(Raw_Data!B128),4,2)),VALUE(LEFT(TRIM(Raw_Data!B128),2))),IF(MID(TRIM(Raw_Data!B128),5,1)="-",DATE(VALUE(LEFT(TRIM(Raw_Data!B128),4)),VALUE(MID(TRIM(Raw_Data!B128),6,2)),VALUE(RIGHT(TRIM(Raw_Data!B128),2))),DATE(VALUE(RIGHT(TRIM(Raw_Data!B128),4)),MATCH(MID(TRIM(Raw_Data!B128),4,3),{"Jan","Feb","Mar","Apr","May","Jun","Jul","Aug","Sep","Oct","Nov","Dec"},0),VALUE(LEFT(TRIM(Raw_Data!B128),2)))))),"")</f>
        <v>45825</v>
      </c>
      <c r="C128" s="9" t="str">
        <f aca="false">IF(TRIM(Raw_Data!C128)="","Unknown",PROPER(TRIM(Raw_Data!C128)))</f>
        <v>Usman Qureshi</v>
      </c>
      <c r="D128" s="9" t="str">
        <f aca="false">IFERROR(INDEX({"Punjab","Sindh","KPK","Balochistan"},MATCH(UPPER(LEFT(TRIM(Raw_Data!D128),1)),{"P","S","K","B"},0)),IFERROR(INDEX(Data_Dictionary!$G$4:$G$16,MATCH(E128,Data_Dictionary!$F$4:$F$16,0)),"Unassigned"))</f>
        <v>Balochistan</v>
      </c>
      <c r="E128" s="9" t="str">
        <f aca="false">IF(TRIM(Raw_Data!E128)="","Unknown",PROPER(TRIM(Raw_Data!E128)))</f>
        <v>Gwadar</v>
      </c>
      <c r="F128" s="9" t="str">
        <f aca="false">IFERROR(INDEX({"Electronics","Home &amp; Kitchen","Clothing","Groceries","Beauty"},MATCH(UPPER(LEFT(TRIM(Raw_Data!F128),3)),{"ELE","HOM","CLO","GRO","BEA"},0)),"Uncategorised")</f>
        <v>Beauty</v>
      </c>
      <c r="G128" s="9" t="str">
        <f aca="false">IF(TRIM(Raw_Data!G128)="","Unknown",PROPER(TRIM(Raw_Data!G128)))</f>
        <v>Perfume Spray</v>
      </c>
      <c r="H128" s="11" t="n">
        <f aca="false">IFERROR(ABS(VALUE(TRIM(Raw_Data!H128))),"")</f>
        <v>5</v>
      </c>
      <c r="I128" s="12" t="n">
        <f aca="false">IFERROR(VALUE(TRIM(SUBSTITUTE(SUBSTITUTE(SUBSTITUTE(SUBSTITUTE(TRIM(Raw_Data!I128),"PKR",""),"Rs.",""),"Rs",""),",",""))),"")</f>
        <v>4000</v>
      </c>
      <c r="J128" s="13" t="n">
        <f aca="false">IFERROR(IF(TRIM(Raw_Data!J128)="",0,IF(VALUE(TRIM(Raw_Data!J128))&gt;1,VALUE(TRIM(Raw_Data!J128))/100,VALUE(TRIM(Raw_Data!J128)))),0)</f>
        <v>0</v>
      </c>
      <c r="K128" s="9" t="str">
        <f aca="false">IF(TRIM(Raw_Data!K128)="","Unassigned",PROPER(TRIM(Raw_Data!K128)))</f>
        <v>Waqar Ahmed</v>
      </c>
      <c r="L128" s="9" t="str">
        <f aca="false">IFERROR(INDEX({"Credit Card","Credit Card","Debit Card","Debit Card","Cash","PayPal"},MATCH(UPPER(LEFT(TRIM(Raw_Data!L128),2)),{"CR","CC","DE","DC","CA","PA"},0)),"Other")</f>
        <v>Credit Card</v>
      </c>
      <c r="M128" s="9" t="str">
        <f aca="false">IFERROR(INDEX({"Completed","Returned","Cancelled","Pending"},MATCH(UPPER(LEFT(TRIM(Raw_Data!M128),3)),{"COM","RET","CAN","PEN"},0)),"Unknown")</f>
        <v>Completed</v>
      </c>
      <c r="N128" s="14" t="n">
        <f aca="false">IF(OR(H128="",I128=""),"",H128*I128)</f>
        <v>20000</v>
      </c>
      <c r="O128" s="14" t="n">
        <f aca="false">IF(N128="","",N128*J128)</f>
        <v>0</v>
      </c>
      <c r="P128" s="14" t="n">
        <f aca="false">IF(N128="","",N128-O128)</f>
        <v>20000</v>
      </c>
      <c r="Q128" s="15" t="n">
        <f aca="false">IF(B128="","",DATE(YEAR(B128),MONTH(B128),1))</f>
        <v>45809</v>
      </c>
      <c r="R128" s="16" t="str">
        <f aca="false">IF(A128="","Invalid - Exclude",IF(COUNTIF($A$2:A128,A128)&gt;1,"Duplicate - Exclude",IF(OR(B128="",H128="",I128=""),"Invalid - Exclude","Valid")))</f>
        <v>Valid</v>
      </c>
      <c r="S128" s="16" t="str">
        <f aca="false">IF(R128="Valid","",IF(R128="Duplicate - Exclude","Repeat of an earlier Order ID",IF(B128="","Date missing or unreadable",IF(H128="","Quantity missing or unreadable",IF(I128="","Unit price missing or unreadable","Order ID missing")))))</f>
        <v/>
      </c>
    </row>
    <row r="129" customFormat="false" ht="15" hidden="false" customHeight="true" outlineLevel="0" collapsed="false">
      <c r="A129" s="17" t="str">
        <f aca="false">UPPER(TRIM(Raw_Data!A129))</f>
        <v>ORD-1085</v>
      </c>
      <c r="B129" s="18" t="n">
        <f aca="false">IFERROR(IF(ISNUMBER(Raw_Data!B129),Raw_Data!B129,IF(ISNUMBER(FIND("/",Raw_Data!B129)),DATE(VALUE(RIGHT(TRIM(Raw_Data!B129),4)),VALUE(MID(TRIM(Raw_Data!B129),4,2)),VALUE(LEFT(TRIM(Raw_Data!B129),2))),IF(MID(TRIM(Raw_Data!B129),5,1)="-",DATE(VALUE(LEFT(TRIM(Raw_Data!B129),4)),VALUE(MID(TRIM(Raw_Data!B129),6,2)),VALUE(RIGHT(TRIM(Raw_Data!B129),2))),DATE(VALUE(RIGHT(TRIM(Raw_Data!B129),4)),MATCH(MID(TRIM(Raw_Data!B129),4,3),{"Jan","Feb","Mar","Apr","May","Jun","Jul","Aug","Sep","Oct","Nov","Dec"},0),VALUE(LEFT(TRIM(Raw_Data!B129),2)))))),"")</f>
        <v>45719</v>
      </c>
      <c r="C129" s="17" t="str">
        <f aca="false">IF(TRIM(Raw_Data!C129)="","Unknown",PROPER(TRIM(Raw_Data!C129)))</f>
        <v>Nida Siddiqui</v>
      </c>
      <c r="D129" s="17" t="str">
        <f aca="false">IFERROR(INDEX({"Punjab","Sindh","KPK","Balochistan"},MATCH(UPPER(LEFT(TRIM(Raw_Data!D129),1)),{"P","S","K","B"},0)),IFERROR(INDEX(Data_Dictionary!$G$4:$G$16,MATCH(E129,Data_Dictionary!$F$4:$F$16,0)),"Unassigned"))</f>
        <v>Punjab</v>
      </c>
      <c r="E129" s="17" t="str">
        <f aca="false">IF(TRIM(Raw_Data!E129)="","Unknown",PROPER(TRIM(Raw_Data!E129)))</f>
        <v>Multan</v>
      </c>
      <c r="F129" s="17" t="str">
        <f aca="false">IFERROR(INDEX({"Electronics","Home &amp; Kitchen","Clothing","Groceries","Beauty"},MATCH(UPPER(LEFT(TRIM(Raw_Data!F129),3)),{"ELE","HOM","CLO","GRO","BEA"},0)),"Uncategorised")</f>
        <v>Clothing</v>
      </c>
      <c r="G129" s="17" t="str">
        <f aca="false">IF(TRIM(Raw_Data!G129)="","Unknown",PROPER(TRIM(Raw_Data!G129)))</f>
        <v>Winter Jacket</v>
      </c>
      <c r="H129" s="19" t="n">
        <f aca="false">IFERROR(ABS(VALUE(TRIM(Raw_Data!H129))),"")</f>
        <v>2</v>
      </c>
      <c r="I129" s="20" t="n">
        <f aca="false">IFERROR(VALUE(TRIM(SUBSTITUTE(SUBSTITUTE(SUBSTITUTE(SUBSTITUTE(TRIM(Raw_Data!I129),"PKR",""),"Rs.",""),"Rs",""),",",""))),"")</f>
        <v>9900</v>
      </c>
      <c r="J129" s="21" t="n">
        <f aca="false">IFERROR(IF(TRIM(Raw_Data!J129)="",0,IF(VALUE(TRIM(Raw_Data!J129))&gt;1,VALUE(TRIM(Raw_Data!J129))/100,VALUE(TRIM(Raw_Data!J129)))),0)</f>
        <v>0.05</v>
      </c>
      <c r="K129" s="17" t="str">
        <f aca="false">IF(TRIM(Raw_Data!K129)="","Unassigned",PROPER(TRIM(Raw_Data!K129)))</f>
        <v>Nimra Aslam</v>
      </c>
      <c r="L129" s="17" t="str">
        <f aca="false">IFERROR(INDEX({"Credit Card","Credit Card","Debit Card","Debit Card","Cash","PayPal"},MATCH(UPPER(LEFT(TRIM(Raw_Data!L129),2)),{"CR","CC","DE","DC","CA","PA"},0)),"Other")</f>
        <v>Credit Card</v>
      </c>
      <c r="M129" s="17" t="str">
        <f aca="false">IFERROR(INDEX({"Completed","Returned","Cancelled","Pending"},MATCH(UPPER(LEFT(TRIM(Raw_Data!M129),3)),{"COM","RET","CAN","PEN"},0)),"Unknown")</f>
        <v>Completed</v>
      </c>
      <c r="N129" s="20" t="n">
        <f aca="false">IF(OR(H129="",I129=""),"",H129*I129)</f>
        <v>19800</v>
      </c>
      <c r="O129" s="20" t="n">
        <f aca="false">IF(N129="","",N129*J129)</f>
        <v>990</v>
      </c>
      <c r="P129" s="20" t="n">
        <f aca="false">IF(N129="","",N129-O129)</f>
        <v>18810</v>
      </c>
      <c r="Q129" s="22" t="n">
        <f aca="false">IF(B129="","",DATE(YEAR(B129),MONTH(B129),1))</f>
        <v>45717</v>
      </c>
      <c r="R129" s="17" t="str">
        <f aca="false">IF(A129="","Invalid - Exclude",IF(COUNTIF($A$2:A129,A129)&gt;1,"Duplicate - Exclude",IF(OR(B129="",H129="",I129=""),"Invalid - Exclude","Valid")))</f>
        <v>Duplicate - Exclude</v>
      </c>
      <c r="S129" s="17" t="str">
        <f aca="false">IF(R129="Valid","",IF(R129="Duplicate - Exclude","Repeat of an earlier Order ID",IF(B129="","Date missing or unreadable",IF(H129="","Quantity missing or unreadable",IF(I129="","Unit price missing or unreadable","Order ID missing")))))</f>
        <v>Repeat of an earlier Order ID</v>
      </c>
    </row>
    <row r="130" customFormat="false" ht="15" hidden="false" customHeight="true" outlineLevel="0" collapsed="false">
      <c r="A130" s="9" t="str">
        <f aca="false">UPPER(TRIM(Raw_Data!A130))</f>
        <v>ORD-1128</v>
      </c>
      <c r="B130" s="10" t="n">
        <f aca="false">IFERROR(IF(ISNUMBER(Raw_Data!B130),Raw_Data!B130,IF(ISNUMBER(FIND("/",Raw_Data!B130)),DATE(VALUE(RIGHT(TRIM(Raw_Data!B130),4)),VALUE(MID(TRIM(Raw_Data!B130),4,2)),VALUE(LEFT(TRIM(Raw_Data!B130),2))),IF(MID(TRIM(Raw_Data!B130),5,1)="-",DATE(VALUE(LEFT(TRIM(Raw_Data!B130),4)),VALUE(MID(TRIM(Raw_Data!B130),6,2)),VALUE(RIGHT(TRIM(Raw_Data!B130),2))),DATE(VALUE(RIGHT(TRIM(Raw_Data!B130),4)),MATCH(MID(TRIM(Raw_Data!B130),4,3),{"Jan","Feb","Mar","Apr","May","Jun","Jul","Aug","Sep","Oct","Nov","Dec"},0),VALUE(LEFT(TRIM(Raw_Data!B130),2)))))),"")</f>
        <v>45864</v>
      </c>
      <c r="C130" s="9" t="str">
        <f aca="false">IF(TRIM(Raw_Data!C130)="","Unknown",PROPER(TRIM(Raw_Data!C130)))</f>
        <v>Hamza Hussain</v>
      </c>
      <c r="D130" s="9" t="str">
        <f aca="false">IFERROR(INDEX({"Punjab","Sindh","KPK","Balochistan"},MATCH(UPPER(LEFT(TRIM(Raw_Data!D130),1)),{"P","S","K","B"},0)),IFERROR(INDEX(Data_Dictionary!$G$4:$G$16,MATCH(E130,Data_Dictionary!$F$4:$F$16,0)),"Unassigned"))</f>
        <v>Punjab</v>
      </c>
      <c r="E130" s="9" t="str">
        <f aca="false">IF(TRIM(Raw_Data!E130)="","Unknown",PROPER(TRIM(Raw_Data!E130)))</f>
        <v>Gujranwala</v>
      </c>
      <c r="F130" s="9" t="str">
        <f aca="false">IFERROR(INDEX({"Electronics","Home &amp; Kitchen","Clothing","Groceries","Beauty"},MATCH(UPPER(LEFT(TRIM(Raw_Data!F130),3)),{"ELE","HOM","CLO","GRO","BEA"},0)),"Uncategorised")</f>
        <v>Groceries</v>
      </c>
      <c r="G130" s="9" t="str">
        <f aca="false">IF(TRIM(Raw_Data!G130)="","Unknown",PROPER(TRIM(Raw_Data!G130)))</f>
        <v>Cooking Oil 5 Litre</v>
      </c>
      <c r="H130" s="11" t="n">
        <f aca="false">IFERROR(ABS(VALUE(TRIM(Raw_Data!H130))),"")</f>
        <v>3</v>
      </c>
      <c r="I130" s="12" t="n">
        <f aca="false">IFERROR(VALUE(TRIM(SUBSTITUTE(SUBSTITUTE(SUBSTITUTE(SUBSTITUTE(TRIM(Raw_Data!I130),"PKR",""),"Rs.",""),"Rs",""),",",""))),"")</f>
        <v>2350</v>
      </c>
      <c r="J130" s="13" t="n">
        <f aca="false">IFERROR(IF(TRIM(Raw_Data!J130)="",0,IF(VALUE(TRIM(Raw_Data!J130))&gt;1,VALUE(TRIM(Raw_Data!J130))/100,VALUE(TRIM(Raw_Data!J130)))),0)</f>
        <v>0</v>
      </c>
      <c r="K130" s="9" t="str">
        <f aca="false">IF(TRIM(Raw_Data!K130)="","Unassigned",PROPER(TRIM(Raw_Data!K130)))</f>
        <v>Zoya Tariq</v>
      </c>
      <c r="L130" s="9" t="str">
        <f aca="false">IFERROR(INDEX({"Credit Card","Credit Card","Debit Card","Debit Card","Cash","PayPal"},MATCH(UPPER(LEFT(TRIM(Raw_Data!L130),2)),{"CR","CC","DE","DC","CA","PA"},0)),"Other")</f>
        <v>Credit Card</v>
      </c>
      <c r="M130" s="9" t="str">
        <f aca="false">IFERROR(INDEX({"Completed","Returned","Cancelled","Pending"},MATCH(UPPER(LEFT(TRIM(Raw_Data!M130),3)),{"COM","RET","CAN","PEN"},0)),"Unknown")</f>
        <v>Completed</v>
      </c>
      <c r="N130" s="14" t="n">
        <f aca="false">IF(OR(H130="",I130=""),"",H130*I130)</f>
        <v>7050</v>
      </c>
      <c r="O130" s="14" t="n">
        <f aca="false">IF(N130="","",N130*J130)</f>
        <v>0</v>
      </c>
      <c r="P130" s="14" t="n">
        <f aca="false">IF(N130="","",N130-O130)</f>
        <v>7050</v>
      </c>
      <c r="Q130" s="15" t="n">
        <f aca="false">IF(B130="","",DATE(YEAR(B130),MONTH(B130),1))</f>
        <v>45839</v>
      </c>
      <c r="R130" s="16" t="str">
        <f aca="false">IF(A130="","Invalid - Exclude",IF(COUNTIF($A$2:A130,A130)&gt;1,"Duplicate - Exclude",IF(OR(B130="",H130="",I130=""),"Invalid - Exclude","Valid")))</f>
        <v>Valid</v>
      </c>
      <c r="S130" s="16" t="str">
        <f aca="false">IF(R130="Valid","",IF(R130="Duplicate - Exclude","Repeat of an earlier Order ID",IF(B130="","Date missing or unreadable",IF(H130="","Quantity missing or unreadable",IF(I130="","Unit price missing or unreadable","Order ID missing")))))</f>
        <v/>
      </c>
    </row>
    <row r="131" customFormat="false" ht="15" hidden="false" customHeight="true" outlineLevel="0" collapsed="false">
      <c r="A131" s="17" t="str">
        <f aca="false">UPPER(TRIM(Raw_Data!A131))</f>
        <v>ORD-1129</v>
      </c>
      <c r="B131" s="18" t="n">
        <f aca="false">IFERROR(IF(ISNUMBER(Raw_Data!B131),Raw_Data!B131,IF(ISNUMBER(FIND("/",Raw_Data!B131)),DATE(VALUE(RIGHT(TRIM(Raw_Data!B131),4)),VALUE(MID(TRIM(Raw_Data!B131),4,2)),VALUE(LEFT(TRIM(Raw_Data!B131),2))),IF(MID(TRIM(Raw_Data!B131),5,1)="-",DATE(VALUE(LEFT(TRIM(Raw_Data!B131),4)),VALUE(MID(TRIM(Raw_Data!B131),6,2)),VALUE(RIGHT(TRIM(Raw_Data!B131),2))),DATE(VALUE(RIGHT(TRIM(Raw_Data!B131),4)),MATCH(MID(TRIM(Raw_Data!B131),4,3),{"Jan","Feb","Mar","Apr","May","Jun","Jul","Aug","Sep","Oct","Nov","Dec"},0),VALUE(LEFT(TRIM(Raw_Data!B131),2)))))),"")</f>
        <v>45880</v>
      </c>
      <c r="C131" s="17" t="str">
        <f aca="false">IF(TRIM(Raw_Data!C131)="","Unknown",PROPER(TRIM(Raw_Data!C131)))</f>
        <v>Fatima Khan</v>
      </c>
      <c r="D131" s="17" t="str">
        <f aca="false">IFERROR(INDEX({"Punjab","Sindh","KPK","Balochistan"},MATCH(UPPER(LEFT(TRIM(Raw_Data!D131),1)),{"P","S","K","B"},0)),IFERROR(INDEX(Data_Dictionary!$G$4:$G$16,MATCH(E131,Data_Dictionary!$F$4:$F$16,0)),"Unassigned"))</f>
        <v>Punjab</v>
      </c>
      <c r="E131" s="17" t="str">
        <f aca="false">IF(TRIM(Raw_Data!E131)="","Unknown",PROPER(TRIM(Raw_Data!E131)))</f>
        <v>Rawalpindi</v>
      </c>
      <c r="F131" s="17" t="str">
        <f aca="false">IFERROR(INDEX({"Electronics","Home &amp; Kitchen","Clothing","Groceries","Beauty"},MATCH(UPPER(LEFT(TRIM(Raw_Data!F131),3)),{"ELE","HOM","CLO","GRO","BEA"},0)),"Uncategorised")</f>
        <v>Groceries</v>
      </c>
      <c r="G131" s="17" t="str">
        <f aca="false">IF(TRIM(Raw_Data!G131)="","Unknown",PROPER(TRIM(Raw_Data!G131)))</f>
        <v>Cooking Oil 5 Litre</v>
      </c>
      <c r="H131" s="19" t="n">
        <f aca="false">IFERROR(ABS(VALUE(TRIM(Raw_Data!H131))),"")</f>
        <v>3</v>
      </c>
      <c r="I131" s="20" t="n">
        <f aca="false">IFERROR(VALUE(TRIM(SUBSTITUTE(SUBSTITUTE(SUBSTITUTE(SUBSTITUTE(TRIM(Raw_Data!I131),"PKR",""),"Rs.",""),"Rs",""),",",""))),"")</f>
        <v>2300</v>
      </c>
      <c r="J131" s="21" t="n">
        <f aca="false">IFERROR(IF(TRIM(Raw_Data!J131)="",0,IF(VALUE(TRIM(Raw_Data!J131))&gt;1,VALUE(TRIM(Raw_Data!J131))/100,VALUE(TRIM(Raw_Data!J131)))),0)</f>
        <v>0</v>
      </c>
      <c r="K131" s="17" t="str">
        <f aca="false">IF(TRIM(Raw_Data!K131)="","Unassigned",PROPER(TRIM(Raw_Data!K131)))</f>
        <v>Zoya Tariq</v>
      </c>
      <c r="L131" s="17" t="str">
        <f aca="false">IFERROR(INDEX({"Credit Card","Credit Card","Debit Card","Debit Card","Cash","PayPal"},MATCH(UPPER(LEFT(TRIM(Raw_Data!L131),2)),{"CR","CC","DE","DC","CA","PA"},0)),"Other")</f>
        <v>Debit Card</v>
      </c>
      <c r="M131" s="17" t="str">
        <f aca="false">IFERROR(INDEX({"Completed","Returned","Cancelled","Pending"},MATCH(UPPER(LEFT(TRIM(Raw_Data!M131),3)),{"COM","RET","CAN","PEN"},0)),"Unknown")</f>
        <v>Completed</v>
      </c>
      <c r="N131" s="20" t="n">
        <f aca="false">IF(OR(H131="",I131=""),"",H131*I131)</f>
        <v>6900</v>
      </c>
      <c r="O131" s="20" t="n">
        <f aca="false">IF(N131="","",N131*J131)</f>
        <v>0</v>
      </c>
      <c r="P131" s="20" t="n">
        <f aca="false">IF(N131="","",N131-O131)</f>
        <v>6900</v>
      </c>
      <c r="Q131" s="22" t="n">
        <f aca="false">IF(B131="","",DATE(YEAR(B131),MONTH(B131),1))</f>
        <v>45870</v>
      </c>
      <c r="R131" s="17" t="str">
        <f aca="false">IF(A131="","Invalid - Exclude",IF(COUNTIF($A$2:A131,A131)&gt;1,"Duplicate - Exclude",IF(OR(B131="",H131="",I131=""),"Invalid - Exclude","Valid")))</f>
        <v>Valid</v>
      </c>
      <c r="S131" s="17" t="str">
        <f aca="false">IF(R131="Valid","",IF(R131="Duplicate - Exclude","Repeat of an earlier Order ID",IF(B131="","Date missing or unreadable",IF(H131="","Quantity missing or unreadable",IF(I131="","Unit price missing or unreadable","Order ID missing")))))</f>
        <v/>
      </c>
    </row>
    <row r="132" customFormat="false" ht="15" hidden="false" customHeight="true" outlineLevel="0" collapsed="false">
      <c r="A132" s="9" t="str">
        <f aca="false">UPPER(TRIM(Raw_Data!A132))</f>
        <v>ORD-1130</v>
      </c>
      <c r="B132" s="10" t="n">
        <f aca="false">IFERROR(IF(ISNUMBER(Raw_Data!B132),Raw_Data!B132,IF(ISNUMBER(FIND("/",Raw_Data!B132)),DATE(VALUE(RIGHT(TRIM(Raw_Data!B132),4)),VALUE(MID(TRIM(Raw_Data!B132),4,2)),VALUE(LEFT(TRIM(Raw_Data!B132),2))),IF(MID(TRIM(Raw_Data!B132),5,1)="-",DATE(VALUE(LEFT(TRIM(Raw_Data!B132),4)),VALUE(MID(TRIM(Raw_Data!B132),6,2)),VALUE(RIGHT(TRIM(Raw_Data!B132),2))),DATE(VALUE(RIGHT(TRIM(Raw_Data!B132),4)),MATCH(MID(TRIM(Raw_Data!B132),4,3),{"Jan","Feb","Mar","Apr","May","Jun","Jul","Aug","Sep","Oct","Nov","Dec"},0),VALUE(LEFT(TRIM(Raw_Data!B132),2)))))),"")</f>
        <v>45690</v>
      </c>
      <c r="C132" s="9" t="str">
        <f aca="false">IF(TRIM(Raw_Data!C132)="","Unknown",PROPER(TRIM(Raw_Data!C132)))</f>
        <v>Rabia Qureshi</v>
      </c>
      <c r="D132" s="9" t="str">
        <f aca="false">IFERROR(INDEX({"Punjab","Sindh","KPK","Balochistan"},MATCH(UPPER(LEFT(TRIM(Raw_Data!D132),1)),{"P","S","K","B"},0)),IFERROR(INDEX(Data_Dictionary!$G$4:$G$16,MATCH(E132,Data_Dictionary!$F$4:$F$16,0)),"Unassigned"))</f>
        <v>Punjab</v>
      </c>
      <c r="E132" s="9" t="str">
        <f aca="false">IF(TRIM(Raw_Data!E132)="","Unknown",PROPER(TRIM(Raw_Data!E132)))</f>
        <v>Multan</v>
      </c>
      <c r="F132" s="9" t="str">
        <f aca="false">IFERROR(INDEX({"Electronics","Home &amp; Kitchen","Clothing","Groceries","Beauty"},MATCH(UPPER(LEFT(TRIM(Raw_Data!F132),3)),{"ELE","HOM","CLO","GRO","BEA"},0)),"Uncategorised")</f>
        <v>Beauty</v>
      </c>
      <c r="G132" s="9" t="str">
        <f aca="false">IF(TRIM(Raw_Data!G132)="","Unknown",PROPER(TRIM(Raw_Data!G132)))</f>
        <v>Perfume Spray</v>
      </c>
      <c r="H132" s="11" t="n">
        <f aca="false">IFERROR(ABS(VALUE(TRIM(Raw_Data!H132))),"")</f>
        <v>6</v>
      </c>
      <c r="I132" s="12" t="n">
        <f aca="false">IFERROR(VALUE(TRIM(SUBSTITUTE(SUBSTITUTE(SUBSTITUTE(SUBSTITUTE(TRIM(Raw_Data!I132),"PKR",""),"Rs.",""),"Rs",""),",",""))),"")</f>
        <v>4100</v>
      </c>
      <c r="J132" s="13" t="n">
        <f aca="false">IFERROR(IF(TRIM(Raw_Data!J132)="",0,IF(VALUE(TRIM(Raw_Data!J132))&gt;1,VALUE(TRIM(Raw_Data!J132))/100,VALUE(TRIM(Raw_Data!J132)))),0)</f>
        <v>0.1</v>
      </c>
      <c r="K132" s="9" t="str">
        <f aca="false">IF(TRIM(Raw_Data!K132)="","Unassigned",PROPER(TRIM(Raw_Data!K132)))</f>
        <v>Nimra Aslam</v>
      </c>
      <c r="L132" s="9" t="str">
        <f aca="false">IFERROR(INDEX({"Credit Card","Credit Card","Debit Card","Debit Card","Cash","PayPal"},MATCH(UPPER(LEFT(TRIM(Raw_Data!L132),2)),{"CR","CC","DE","DC","CA","PA"},0)),"Other")</f>
        <v>Cash</v>
      </c>
      <c r="M132" s="9" t="str">
        <f aca="false">IFERROR(INDEX({"Completed","Returned","Cancelled","Pending"},MATCH(UPPER(LEFT(TRIM(Raw_Data!M132),3)),{"COM","RET","CAN","PEN"},0)),"Unknown")</f>
        <v>Completed</v>
      </c>
      <c r="N132" s="14" t="n">
        <f aca="false">IF(OR(H132="",I132=""),"",H132*I132)</f>
        <v>24600</v>
      </c>
      <c r="O132" s="14" t="n">
        <f aca="false">IF(N132="","",N132*J132)</f>
        <v>2460</v>
      </c>
      <c r="P132" s="14" t="n">
        <f aca="false">IF(N132="","",N132-O132)</f>
        <v>22140</v>
      </c>
      <c r="Q132" s="15" t="n">
        <f aca="false">IF(B132="","",DATE(YEAR(B132),MONTH(B132),1))</f>
        <v>45689</v>
      </c>
      <c r="R132" s="16" t="str">
        <f aca="false">IF(A132="","Invalid - Exclude",IF(COUNTIF($A$2:A132,A132)&gt;1,"Duplicate - Exclude",IF(OR(B132="",H132="",I132=""),"Invalid - Exclude","Valid")))</f>
        <v>Valid</v>
      </c>
      <c r="S132" s="16" t="str">
        <f aca="false">IF(R132="Valid","",IF(R132="Duplicate - Exclude","Repeat of an earlier Order ID",IF(B132="","Date missing or unreadable",IF(H132="","Quantity missing or unreadable",IF(I132="","Unit price missing or unreadable","Order ID missing")))))</f>
        <v/>
      </c>
    </row>
    <row r="133" customFormat="false" ht="15" hidden="false" customHeight="true" outlineLevel="0" collapsed="false">
      <c r="A133" s="17" t="str">
        <f aca="false">UPPER(TRIM(Raw_Data!A133))</f>
        <v>ORD-1131</v>
      </c>
      <c r="B133" s="18" t="n">
        <f aca="false">IFERROR(IF(ISNUMBER(Raw_Data!B133),Raw_Data!B133,IF(ISNUMBER(FIND("/",Raw_Data!B133)),DATE(VALUE(RIGHT(TRIM(Raw_Data!B133),4)),VALUE(MID(TRIM(Raw_Data!B133),4,2)),VALUE(LEFT(TRIM(Raw_Data!B133),2))),IF(MID(TRIM(Raw_Data!B133),5,1)="-",DATE(VALUE(LEFT(TRIM(Raw_Data!B133),4)),VALUE(MID(TRIM(Raw_Data!B133),6,2)),VALUE(RIGHT(TRIM(Raw_Data!B133),2))),DATE(VALUE(RIGHT(TRIM(Raw_Data!B133),4)),MATCH(MID(TRIM(Raw_Data!B133),4,3),{"Jan","Feb","Mar","Apr","May","Jun","Jul","Aug","Sep","Oct","Nov","Dec"},0),VALUE(LEFT(TRIM(Raw_Data!B133),2)))))),"")</f>
        <v>45926</v>
      </c>
      <c r="C133" s="17" t="str">
        <f aca="false">IF(TRIM(Raw_Data!C133)="","Unknown",PROPER(TRIM(Raw_Data!C133)))</f>
        <v>Rabia Butt</v>
      </c>
      <c r="D133" s="17" t="str">
        <f aca="false">IFERROR(INDEX({"Punjab","Sindh","KPK","Balochistan"},MATCH(UPPER(LEFT(TRIM(Raw_Data!D133),1)),{"P","S","K","B"},0)),IFERROR(INDEX(Data_Dictionary!$G$4:$G$16,MATCH(E133,Data_Dictionary!$F$4:$F$16,0)),"Unassigned"))</f>
        <v>Punjab</v>
      </c>
      <c r="E133" s="17" t="str">
        <f aca="false">IF(TRIM(Raw_Data!E133)="","Unknown",PROPER(TRIM(Raw_Data!E133)))</f>
        <v>Multan</v>
      </c>
      <c r="F133" s="17" t="str">
        <f aca="false">IFERROR(INDEX({"Electronics","Home &amp; Kitchen","Clothing","Groceries","Beauty"},MATCH(UPPER(LEFT(TRIM(Raw_Data!F133),3)),{"ELE","HOM","CLO","GRO","BEA"},0)),"Uncategorised")</f>
        <v>Clothing</v>
      </c>
      <c r="G133" s="17" t="str">
        <f aca="false">IF(TRIM(Raw_Data!G133)="","Unknown",PROPER(TRIM(Raw_Data!G133)))</f>
        <v>Mens Kurta</v>
      </c>
      <c r="H133" s="19" t="n">
        <f aca="false">IFERROR(ABS(VALUE(TRIM(Raw_Data!H133))),"")</f>
        <v>2</v>
      </c>
      <c r="I133" s="20" t="n">
        <f aca="false">IFERROR(VALUE(TRIM(SUBSTITUTE(SUBSTITUTE(SUBSTITUTE(SUBSTITUTE(TRIM(Raw_Data!I133),"PKR",""),"Rs.",""),"Rs",""),",",""))),"")</f>
        <v>3200</v>
      </c>
      <c r="J133" s="21" t="n">
        <f aca="false">IFERROR(IF(TRIM(Raw_Data!J133)="",0,IF(VALUE(TRIM(Raw_Data!J133))&gt;1,VALUE(TRIM(Raw_Data!J133))/100,VALUE(TRIM(Raw_Data!J133)))),0)</f>
        <v>0.1</v>
      </c>
      <c r="K133" s="17" t="str">
        <f aca="false">IF(TRIM(Raw_Data!K133)="","Unassigned",PROPER(TRIM(Raw_Data!K133)))</f>
        <v>Faisal Mehmood</v>
      </c>
      <c r="L133" s="17" t="str">
        <f aca="false">IFERROR(INDEX({"Credit Card","Credit Card","Debit Card","Debit Card","Cash","PayPal"},MATCH(UPPER(LEFT(TRIM(Raw_Data!L133),2)),{"CR","CC","DE","DC","CA","PA"},0)),"Other")</f>
        <v>Debit Card</v>
      </c>
      <c r="M133" s="17" t="str">
        <f aca="false">IFERROR(INDEX({"Completed","Returned","Cancelled","Pending"},MATCH(UPPER(LEFT(TRIM(Raw_Data!M133),3)),{"COM","RET","CAN","PEN"},0)),"Unknown")</f>
        <v>Completed</v>
      </c>
      <c r="N133" s="20" t="n">
        <f aca="false">IF(OR(H133="",I133=""),"",H133*I133)</f>
        <v>6400</v>
      </c>
      <c r="O133" s="20" t="n">
        <f aca="false">IF(N133="","",N133*J133)</f>
        <v>640</v>
      </c>
      <c r="P133" s="20" t="n">
        <f aca="false">IF(N133="","",N133-O133)</f>
        <v>5760</v>
      </c>
      <c r="Q133" s="22" t="n">
        <f aca="false">IF(B133="","",DATE(YEAR(B133),MONTH(B133),1))</f>
        <v>45901</v>
      </c>
      <c r="R133" s="17" t="str">
        <f aca="false">IF(A133="","Invalid - Exclude",IF(COUNTIF($A$2:A133,A133)&gt;1,"Duplicate - Exclude",IF(OR(B133="",H133="",I133=""),"Invalid - Exclude","Valid")))</f>
        <v>Valid</v>
      </c>
      <c r="S133" s="17" t="str">
        <f aca="false">IF(R133="Valid","",IF(R133="Duplicate - Exclude","Repeat of an earlier Order ID",IF(B133="","Date missing or unreadable",IF(H133="","Quantity missing or unreadable",IF(I133="","Unit price missing or unreadable","Order ID missing")))))</f>
        <v/>
      </c>
    </row>
    <row r="134" customFormat="false" ht="15" hidden="false" customHeight="true" outlineLevel="0" collapsed="false">
      <c r="A134" s="9" t="str">
        <f aca="false">UPPER(TRIM(Raw_Data!A134))</f>
        <v>ORD-1132</v>
      </c>
      <c r="B134" s="10" t="n">
        <f aca="false">IFERROR(IF(ISNUMBER(Raw_Data!B134),Raw_Data!B134,IF(ISNUMBER(FIND("/",Raw_Data!B134)),DATE(VALUE(RIGHT(TRIM(Raw_Data!B134),4)),VALUE(MID(TRIM(Raw_Data!B134),4,2)),VALUE(LEFT(TRIM(Raw_Data!B134),2))),IF(MID(TRIM(Raw_Data!B134),5,1)="-",DATE(VALUE(LEFT(TRIM(Raw_Data!B134),4)),VALUE(MID(TRIM(Raw_Data!B134),6,2)),VALUE(RIGHT(TRIM(Raw_Data!B134),2))),DATE(VALUE(RIGHT(TRIM(Raw_Data!B134),4)),MATCH(MID(TRIM(Raw_Data!B134),4,3),{"Jan","Feb","Mar","Apr","May","Jun","Jul","Aug","Sep","Oct","Nov","Dec"},0),VALUE(LEFT(TRIM(Raw_Data!B134),2)))))),"")</f>
        <v>45971</v>
      </c>
      <c r="C134" s="9" t="str">
        <f aca="false">IF(TRIM(Raw_Data!C134)="","Unknown",PROPER(TRIM(Raw_Data!C134)))</f>
        <v>Usman Hussain</v>
      </c>
      <c r="D134" s="9" t="str">
        <f aca="false">IFERROR(INDEX({"Punjab","Sindh","KPK","Balochistan"},MATCH(UPPER(LEFT(TRIM(Raw_Data!D134),1)),{"P","S","K","B"},0)),IFERROR(INDEX(Data_Dictionary!$G$4:$G$16,MATCH(E134,Data_Dictionary!$F$4:$F$16,0)),"Unassigned"))</f>
        <v>Punjab</v>
      </c>
      <c r="E134" s="9" t="str">
        <f aca="false">IF(TRIM(Raw_Data!E134)="","Unknown",PROPER(TRIM(Raw_Data!E134)))</f>
        <v>Rawalpindi</v>
      </c>
      <c r="F134" s="9" t="str">
        <f aca="false">IFERROR(INDEX({"Electronics","Home &amp; Kitchen","Clothing","Groceries","Beauty"},MATCH(UPPER(LEFT(TRIM(Raw_Data!F134),3)),{"ELE","HOM","CLO","GRO","BEA"},0)),"Uncategorised")</f>
        <v>Clothing</v>
      </c>
      <c r="G134" s="9" t="str">
        <f aca="false">IF(TRIM(Raw_Data!G134)="","Unknown",PROPER(TRIM(Raw_Data!G134)))</f>
        <v>Winter Jacket</v>
      </c>
      <c r="H134" s="11" t="n">
        <f aca="false">IFERROR(ABS(VALUE(TRIM(Raw_Data!H134))),"")</f>
        <v>1</v>
      </c>
      <c r="I134" s="12" t="n">
        <f aca="false">IFERROR(VALUE(TRIM(SUBSTITUTE(SUBSTITUTE(SUBSTITUTE(SUBSTITUTE(TRIM(Raw_Data!I134),"PKR",""),"Rs.",""),"Rs",""),",",""))),"")</f>
        <v>9500</v>
      </c>
      <c r="J134" s="13" t="n">
        <f aca="false">IFERROR(IF(TRIM(Raw_Data!J134)="",0,IF(VALUE(TRIM(Raw_Data!J134))&gt;1,VALUE(TRIM(Raw_Data!J134))/100,VALUE(TRIM(Raw_Data!J134)))),0)</f>
        <v>0.1</v>
      </c>
      <c r="K134" s="9" t="str">
        <f aca="false">IF(TRIM(Raw_Data!K134)="","Unassigned",PROPER(TRIM(Raw_Data!K134)))</f>
        <v>Sadia Noor</v>
      </c>
      <c r="L134" s="9" t="str">
        <f aca="false">IFERROR(INDEX({"Credit Card","Credit Card","Debit Card","Debit Card","Cash","PayPal"},MATCH(UPPER(LEFT(TRIM(Raw_Data!L134),2)),{"CR","CC","DE","DC","CA","PA"},0)),"Other")</f>
        <v>Credit Card</v>
      </c>
      <c r="M134" s="9" t="str">
        <f aca="false">IFERROR(INDEX({"Completed","Returned","Cancelled","Pending"},MATCH(UPPER(LEFT(TRIM(Raw_Data!M134),3)),{"COM","RET","CAN","PEN"},0)),"Unknown")</f>
        <v>Completed</v>
      </c>
      <c r="N134" s="14" t="n">
        <f aca="false">IF(OR(H134="",I134=""),"",H134*I134)</f>
        <v>9500</v>
      </c>
      <c r="O134" s="14" t="n">
        <f aca="false">IF(N134="","",N134*J134)</f>
        <v>950</v>
      </c>
      <c r="P134" s="14" t="n">
        <f aca="false">IF(N134="","",N134-O134)</f>
        <v>8550</v>
      </c>
      <c r="Q134" s="15" t="n">
        <f aca="false">IF(B134="","",DATE(YEAR(B134),MONTH(B134),1))</f>
        <v>45962</v>
      </c>
      <c r="R134" s="16" t="str">
        <f aca="false">IF(A134="","Invalid - Exclude",IF(COUNTIF($A$2:A134,A134)&gt;1,"Duplicate - Exclude",IF(OR(B134="",H134="",I134=""),"Invalid - Exclude","Valid")))</f>
        <v>Valid</v>
      </c>
      <c r="S134" s="16" t="str">
        <f aca="false">IF(R134="Valid","",IF(R134="Duplicate - Exclude","Repeat of an earlier Order ID",IF(B134="","Date missing or unreadable",IF(H134="","Quantity missing or unreadable",IF(I134="","Unit price missing or unreadable","Order ID missing")))))</f>
        <v/>
      </c>
    </row>
    <row r="135" customFormat="false" ht="15" hidden="false" customHeight="true" outlineLevel="0" collapsed="false">
      <c r="A135" s="17" t="str">
        <f aca="false">UPPER(TRIM(Raw_Data!A135))</f>
        <v>ORD-1133</v>
      </c>
      <c r="B135" s="18" t="n">
        <f aca="false">IFERROR(IF(ISNUMBER(Raw_Data!B135),Raw_Data!B135,IF(ISNUMBER(FIND("/",Raw_Data!B135)),DATE(VALUE(RIGHT(TRIM(Raw_Data!B135),4)),VALUE(MID(TRIM(Raw_Data!B135),4,2)),VALUE(LEFT(TRIM(Raw_Data!B135),2))),IF(MID(TRIM(Raw_Data!B135),5,1)="-",DATE(VALUE(LEFT(TRIM(Raw_Data!B135),4)),VALUE(MID(TRIM(Raw_Data!B135),6,2)),VALUE(RIGHT(TRIM(Raw_Data!B135),2))),DATE(VALUE(RIGHT(TRIM(Raw_Data!B135),4)),MATCH(MID(TRIM(Raw_Data!B135),4,3),{"Jan","Feb","Mar","Apr","May","Jun","Jul","Aug","Sep","Oct","Nov","Dec"},0),VALUE(LEFT(TRIM(Raw_Data!B135),2)))))),"")</f>
        <v>45839</v>
      </c>
      <c r="C135" s="17" t="str">
        <f aca="false">IF(TRIM(Raw_Data!C135)="","Unknown",PROPER(TRIM(Raw_Data!C135)))</f>
        <v>Iqra Sheikh</v>
      </c>
      <c r="D135" s="17" t="str">
        <f aca="false">IFERROR(INDEX({"Punjab","Sindh","KPK","Balochistan"},MATCH(UPPER(LEFT(TRIM(Raw_Data!D135),1)),{"P","S","K","B"},0)),IFERROR(INDEX(Data_Dictionary!$G$4:$G$16,MATCH(E135,Data_Dictionary!$F$4:$F$16,0)),"Unassigned"))</f>
        <v>Punjab</v>
      </c>
      <c r="E135" s="17" t="str">
        <f aca="false">IF(TRIM(Raw_Data!E135)="","Unknown",PROPER(TRIM(Raw_Data!E135)))</f>
        <v>Gujranwala</v>
      </c>
      <c r="F135" s="17" t="str">
        <f aca="false">IFERROR(INDEX({"Electronics","Home &amp; Kitchen","Clothing","Groceries","Beauty"},MATCH(UPPER(LEFT(TRIM(Raw_Data!F135),3)),{"ELE","HOM","CLO","GRO","BEA"},0)),"Uncategorised")</f>
        <v>Home &amp; Kitchen</v>
      </c>
      <c r="G135" s="17" t="str">
        <f aca="false">IF(TRIM(Raw_Data!G135)="","Unknown",PROPER(TRIM(Raw_Data!G135)))</f>
        <v>Hand Blender</v>
      </c>
      <c r="H135" s="19" t="n">
        <f aca="false">IFERROR(ABS(VALUE(TRIM(Raw_Data!H135))),"")</f>
        <v>3</v>
      </c>
      <c r="I135" s="20" t="n">
        <f aca="false">IFERROR(VALUE(TRIM(SUBSTITUTE(SUBSTITUTE(SUBSTITUTE(SUBSTITUTE(TRIM(Raw_Data!I135),"PKR",""),"Rs.",""),"Rs",""),",",""))),"")</f>
        <v>3650</v>
      </c>
      <c r="J135" s="21" t="n">
        <f aca="false">IFERROR(IF(TRIM(Raw_Data!J135)="",0,IF(VALUE(TRIM(Raw_Data!J135))&gt;1,VALUE(TRIM(Raw_Data!J135))/100,VALUE(TRIM(Raw_Data!J135)))),0)</f>
        <v>0</v>
      </c>
      <c r="K135" s="17" t="str">
        <f aca="false">IF(TRIM(Raw_Data!K135)="","Unassigned",PROPER(TRIM(Raw_Data!K135)))</f>
        <v>Unassigned</v>
      </c>
      <c r="L135" s="17" t="str">
        <f aca="false">IFERROR(INDEX({"Credit Card","Credit Card","Debit Card","Debit Card","Cash","PayPal"},MATCH(UPPER(LEFT(TRIM(Raw_Data!L135),2)),{"CR","CC","DE","DC","CA","PA"},0)),"Other")</f>
        <v>Cash</v>
      </c>
      <c r="M135" s="17" t="str">
        <f aca="false">IFERROR(INDEX({"Completed","Returned","Cancelled","Pending"},MATCH(UPPER(LEFT(TRIM(Raw_Data!M135),3)),{"COM","RET","CAN","PEN"},0)),"Unknown")</f>
        <v>Completed</v>
      </c>
      <c r="N135" s="20" t="n">
        <f aca="false">IF(OR(H135="",I135=""),"",H135*I135)</f>
        <v>10950</v>
      </c>
      <c r="O135" s="20" t="n">
        <f aca="false">IF(N135="","",N135*J135)</f>
        <v>0</v>
      </c>
      <c r="P135" s="20" t="n">
        <f aca="false">IF(N135="","",N135-O135)</f>
        <v>10950</v>
      </c>
      <c r="Q135" s="22" t="n">
        <f aca="false">IF(B135="","",DATE(YEAR(B135),MONTH(B135),1))</f>
        <v>45839</v>
      </c>
      <c r="R135" s="17" t="str">
        <f aca="false">IF(A135="","Invalid - Exclude",IF(COUNTIF($A$2:A135,A135)&gt;1,"Duplicate - Exclude",IF(OR(B135="",H135="",I135=""),"Invalid - Exclude","Valid")))</f>
        <v>Valid</v>
      </c>
      <c r="S135" s="17" t="str">
        <f aca="false">IF(R135="Valid","",IF(R135="Duplicate - Exclude","Repeat of an earlier Order ID",IF(B135="","Date missing or unreadable",IF(H135="","Quantity missing or unreadable",IF(I135="","Unit price missing or unreadable","Order ID missing")))))</f>
        <v/>
      </c>
    </row>
    <row r="136" customFormat="false" ht="15" hidden="false" customHeight="true" outlineLevel="0" collapsed="false">
      <c r="A136" s="9" t="str">
        <f aca="false">UPPER(TRIM(Raw_Data!A136))</f>
        <v>ORD-1134</v>
      </c>
      <c r="B136" s="10" t="n">
        <f aca="false">IFERROR(IF(ISNUMBER(Raw_Data!B136),Raw_Data!B136,IF(ISNUMBER(FIND("/",Raw_Data!B136)),DATE(VALUE(RIGHT(TRIM(Raw_Data!B136),4)),VALUE(MID(TRIM(Raw_Data!B136),4,2)),VALUE(LEFT(TRIM(Raw_Data!B136),2))),IF(MID(TRIM(Raw_Data!B136),5,1)="-",DATE(VALUE(LEFT(TRIM(Raw_Data!B136),4)),VALUE(MID(TRIM(Raw_Data!B136),6,2)),VALUE(RIGHT(TRIM(Raw_Data!B136),2))),DATE(VALUE(RIGHT(TRIM(Raw_Data!B136),4)),MATCH(MID(TRIM(Raw_Data!B136),4,3),{"Jan","Feb","Mar","Apr","May","Jun","Jul","Aug","Sep","Oct","Nov","Dec"},0),VALUE(LEFT(TRIM(Raw_Data!B136),2)))))),"")</f>
        <v>45893</v>
      </c>
      <c r="C136" s="9" t="str">
        <f aca="false">IF(TRIM(Raw_Data!C136)="","Unknown",PROPER(TRIM(Raw_Data!C136)))</f>
        <v>Omar Raza</v>
      </c>
      <c r="D136" s="9" t="str">
        <f aca="false">IFERROR(INDEX({"Punjab","Sindh","KPK","Balochistan"},MATCH(UPPER(LEFT(TRIM(Raw_Data!D136),1)),{"P","S","K","B"},0)),IFERROR(INDEX(Data_Dictionary!$G$4:$G$16,MATCH(E136,Data_Dictionary!$F$4:$F$16,0)),"Unassigned"))</f>
        <v>Sindh</v>
      </c>
      <c r="E136" s="9" t="str">
        <f aca="false">IF(TRIM(Raw_Data!E136)="","Unknown",PROPER(TRIM(Raw_Data!E136)))</f>
        <v>Unknown</v>
      </c>
      <c r="F136" s="9" t="str">
        <f aca="false">IFERROR(INDEX({"Electronics","Home &amp; Kitchen","Clothing","Groceries","Beauty"},MATCH(UPPER(LEFT(TRIM(Raw_Data!F136),3)),{"ELE","HOM","CLO","GRO","BEA"},0)),"Uncategorised")</f>
        <v>Electronics</v>
      </c>
      <c r="G136" s="9" t="str">
        <f aca="false">IF(TRIM(Raw_Data!G136)="","Unknown",PROPER(TRIM(Raw_Data!G136)))</f>
        <v>Smart Television 43 Inch</v>
      </c>
      <c r="H136" s="11" t="n">
        <f aca="false">IFERROR(ABS(VALUE(TRIM(Raw_Data!H136))),"")</f>
        <v>1</v>
      </c>
      <c r="I136" s="12" t="n">
        <f aca="false">IFERROR(VALUE(TRIM(SUBSTITUTE(SUBSTITUTE(SUBSTITUTE(SUBSTITUTE(TRIM(Raw_Data!I136),"PKR",""),"Rs.",""),"Rs",""),",",""))),"")</f>
        <v>53250</v>
      </c>
      <c r="J136" s="13" t="n">
        <f aca="false">IFERROR(IF(TRIM(Raw_Data!J136)="",0,IF(VALUE(TRIM(Raw_Data!J136))&gt;1,VALUE(TRIM(Raw_Data!J136))/100,VALUE(TRIM(Raw_Data!J136)))),0)</f>
        <v>0.05</v>
      </c>
      <c r="K136" s="9" t="str">
        <f aca="false">IF(TRIM(Raw_Data!K136)="","Unassigned",PROPER(TRIM(Raw_Data!K136)))</f>
        <v>Faisal Mehmood</v>
      </c>
      <c r="L136" s="9" t="str">
        <f aca="false">IFERROR(INDEX({"Credit Card","Credit Card","Debit Card","Debit Card","Cash","PayPal"},MATCH(UPPER(LEFT(TRIM(Raw_Data!L136),2)),{"CR","CC","DE","DC","CA","PA"},0)),"Other")</f>
        <v>PayPal</v>
      </c>
      <c r="M136" s="9" t="str">
        <f aca="false">IFERROR(INDEX({"Completed","Returned","Cancelled","Pending"},MATCH(UPPER(LEFT(TRIM(Raw_Data!M136),3)),{"COM","RET","CAN","PEN"},0)),"Unknown")</f>
        <v>Cancelled</v>
      </c>
      <c r="N136" s="14" t="n">
        <f aca="false">IF(OR(H136="",I136=""),"",H136*I136)</f>
        <v>53250</v>
      </c>
      <c r="O136" s="14" t="n">
        <f aca="false">IF(N136="","",N136*J136)</f>
        <v>2662.5</v>
      </c>
      <c r="P136" s="14" t="n">
        <f aca="false">IF(N136="","",N136-O136)</f>
        <v>50587.5</v>
      </c>
      <c r="Q136" s="15" t="n">
        <f aca="false">IF(B136="","",DATE(YEAR(B136),MONTH(B136),1))</f>
        <v>45870</v>
      </c>
      <c r="R136" s="16" t="str">
        <f aca="false">IF(A136="","Invalid - Exclude",IF(COUNTIF($A$2:A136,A136)&gt;1,"Duplicate - Exclude",IF(OR(B136="",H136="",I136=""),"Invalid - Exclude","Valid")))</f>
        <v>Valid</v>
      </c>
      <c r="S136" s="16" t="str">
        <f aca="false">IF(R136="Valid","",IF(R136="Duplicate - Exclude","Repeat of an earlier Order ID",IF(B136="","Date missing or unreadable",IF(H136="","Quantity missing or unreadable",IF(I136="","Unit price missing or unreadable","Order ID missing")))))</f>
        <v/>
      </c>
    </row>
    <row r="137" customFormat="false" ht="15" hidden="false" customHeight="true" outlineLevel="0" collapsed="false">
      <c r="A137" s="17" t="str">
        <f aca="false">UPPER(TRIM(Raw_Data!A137))</f>
        <v>ORD-1135</v>
      </c>
      <c r="B137" s="18" t="n">
        <f aca="false">IFERROR(IF(ISNUMBER(Raw_Data!B137),Raw_Data!B137,IF(ISNUMBER(FIND("/",Raw_Data!B137)),DATE(VALUE(RIGHT(TRIM(Raw_Data!B137),4)),VALUE(MID(TRIM(Raw_Data!B137),4,2)),VALUE(LEFT(TRIM(Raw_Data!B137),2))),IF(MID(TRIM(Raw_Data!B137),5,1)="-",DATE(VALUE(LEFT(TRIM(Raw_Data!B137),4)),VALUE(MID(TRIM(Raw_Data!B137),6,2)),VALUE(RIGHT(TRIM(Raw_Data!B137),2))),DATE(VALUE(RIGHT(TRIM(Raw_Data!B137),4)),MATCH(MID(TRIM(Raw_Data!B137),4,3),{"Jan","Feb","Mar","Apr","May","Jun","Jul","Aug","Sep","Oct","Nov","Dec"},0),VALUE(LEFT(TRIM(Raw_Data!B137),2)))))),"")</f>
        <v>45855</v>
      </c>
      <c r="C137" s="17" t="str">
        <f aca="false">IF(TRIM(Raw_Data!C137)="","Unknown",PROPER(TRIM(Raw_Data!C137)))</f>
        <v>Iqra Sheikh</v>
      </c>
      <c r="D137" s="17" t="str">
        <f aca="false">IFERROR(INDEX({"Punjab","Sindh","KPK","Balochistan"},MATCH(UPPER(LEFT(TRIM(Raw_Data!D137),1)),{"P","S","K","B"},0)),IFERROR(INDEX(Data_Dictionary!$G$4:$G$16,MATCH(E137,Data_Dictionary!$F$4:$F$16,0)),"Unassigned"))</f>
        <v>Balochistan</v>
      </c>
      <c r="E137" s="17" t="str">
        <f aca="false">IF(TRIM(Raw_Data!E137)="","Unknown",PROPER(TRIM(Raw_Data!E137)))</f>
        <v>Gwadar</v>
      </c>
      <c r="F137" s="17" t="str">
        <f aca="false">IFERROR(INDEX({"Electronics","Home &amp; Kitchen","Clothing","Groceries","Beauty"},MATCH(UPPER(LEFT(TRIM(Raw_Data!F137),3)),{"ELE","HOM","CLO","GRO","BEA"},0)),"Uncategorised")</f>
        <v>Beauty</v>
      </c>
      <c r="G137" s="17" t="str">
        <f aca="false">IF(TRIM(Raw_Data!G137)="","Unknown",PROPER(TRIM(Raw_Data!G137)))</f>
        <v>Face Wash</v>
      </c>
      <c r="H137" s="19" t="n">
        <f aca="false">IFERROR(ABS(VALUE(TRIM(Raw_Data!H137))),"")</f>
        <v>1</v>
      </c>
      <c r="I137" s="20" t="n">
        <f aca="false">IFERROR(VALUE(TRIM(SUBSTITUTE(SUBSTITUTE(SUBSTITUTE(SUBSTITUTE(TRIM(Raw_Data!I137),"PKR",""),"Rs.",""),"Rs",""),",",""))),"")</f>
        <v>800</v>
      </c>
      <c r="J137" s="21" t="n">
        <f aca="false">IFERROR(IF(TRIM(Raw_Data!J137)="",0,IF(VALUE(TRIM(Raw_Data!J137))&gt;1,VALUE(TRIM(Raw_Data!J137))/100,VALUE(TRIM(Raw_Data!J137)))),0)</f>
        <v>0.15</v>
      </c>
      <c r="K137" s="17" t="str">
        <f aca="false">IF(TRIM(Raw_Data!K137)="","Unassigned",PROPER(TRIM(Raw_Data!K137)))</f>
        <v>Unassigned</v>
      </c>
      <c r="L137" s="17" t="str">
        <f aca="false">IFERROR(INDEX({"Credit Card","Credit Card","Debit Card","Debit Card","Cash","PayPal"},MATCH(UPPER(LEFT(TRIM(Raw_Data!L137),2)),{"CR","CC","DE","DC","CA","PA"},0)),"Other")</f>
        <v>Credit Card</v>
      </c>
      <c r="M137" s="17" t="str">
        <f aca="false">IFERROR(INDEX({"Completed","Returned","Cancelled","Pending"},MATCH(UPPER(LEFT(TRIM(Raw_Data!M137),3)),{"COM","RET","CAN","PEN"},0)),"Unknown")</f>
        <v>Completed</v>
      </c>
      <c r="N137" s="20" t="n">
        <f aca="false">IF(OR(H137="",I137=""),"",H137*I137)</f>
        <v>800</v>
      </c>
      <c r="O137" s="20" t="n">
        <f aca="false">IF(N137="","",N137*J137)</f>
        <v>120</v>
      </c>
      <c r="P137" s="20" t="n">
        <f aca="false">IF(N137="","",N137-O137)</f>
        <v>680</v>
      </c>
      <c r="Q137" s="22" t="n">
        <f aca="false">IF(B137="","",DATE(YEAR(B137),MONTH(B137),1))</f>
        <v>45839</v>
      </c>
      <c r="R137" s="17" t="str">
        <f aca="false">IF(A137="","Invalid - Exclude",IF(COUNTIF($A$2:A137,A137)&gt;1,"Duplicate - Exclude",IF(OR(B137="",H137="",I137=""),"Invalid - Exclude","Valid")))</f>
        <v>Valid</v>
      </c>
      <c r="S137" s="17" t="str">
        <f aca="false">IF(R137="Valid","",IF(R137="Duplicate - Exclude","Repeat of an earlier Order ID",IF(B137="","Date missing or unreadable",IF(H137="","Quantity missing or unreadable",IF(I137="","Unit price missing or unreadable","Order ID missing")))))</f>
        <v/>
      </c>
    </row>
    <row r="138" customFormat="false" ht="15" hidden="false" customHeight="true" outlineLevel="0" collapsed="false">
      <c r="A138" s="9" t="str">
        <f aca="false">UPPER(TRIM(Raw_Data!A138))</f>
        <v>ORD-1136</v>
      </c>
      <c r="B138" s="10" t="n">
        <f aca="false">IFERROR(IF(ISNUMBER(Raw_Data!B138),Raw_Data!B138,IF(ISNUMBER(FIND("/",Raw_Data!B138)),DATE(VALUE(RIGHT(TRIM(Raw_Data!B138),4)),VALUE(MID(TRIM(Raw_Data!B138),4,2)),VALUE(LEFT(TRIM(Raw_Data!B138),2))),IF(MID(TRIM(Raw_Data!B138),5,1)="-",DATE(VALUE(LEFT(TRIM(Raw_Data!B138),4)),VALUE(MID(TRIM(Raw_Data!B138),6,2)),VALUE(RIGHT(TRIM(Raw_Data!B138),2))),DATE(VALUE(RIGHT(TRIM(Raw_Data!B138),4)),MATCH(MID(TRIM(Raw_Data!B138),4,3),{"Jan","Feb","Mar","Apr","May","Jun","Jul","Aug","Sep","Oct","Nov","Dec"},0),VALUE(LEFT(TRIM(Raw_Data!B138),2)))))),"")</f>
        <v>45662</v>
      </c>
      <c r="C138" s="9" t="str">
        <f aca="false">IF(TRIM(Raw_Data!C138)="","Unknown",PROPER(TRIM(Raw_Data!C138)))</f>
        <v>Usman Hussain</v>
      </c>
      <c r="D138" s="9" t="str">
        <f aca="false">IFERROR(INDEX({"Punjab","Sindh","KPK","Balochistan"},MATCH(UPPER(LEFT(TRIM(Raw_Data!D138),1)),{"P","S","K","B"},0)),IFERROR(INDEX(Data_Dictionary!$G$4:$G$16,MATCH(E138,Data_Dictionary!$F$4:$F$16,0)),"Unassigned"))</f>
        <v>Punjab</v>
      </c>
      <c r="E138" s="9" t="str">
        <f aca="false">IF(TRIM(Raw_Data!E138)="","Unknown",PROPER(TRIM(Raw_Data!E138)))</f>
        <v>Faisalabad</v>
      </c>
      <c r="F138" s="9" t="str">
        <f aca="false">IFERROR(INDEX({"Electronics","Home &amp; Kitchen","Clothing","Groceries","Beauty"},MATCH(UPPER(LEFT(TRIM(Raw_Data!F138),3)),{"ELE","HOM","CLO","GRO","BEA"},0)),"Uncategorised")</f>
        <v>Beauty</v>
      </c>
      <c r="G138" s="9" t="str">
        <f aca="false">IF(TRIM(Raw_Data!G138)="","Unknown",PROPER(TRIM(Raw_Data!G138)))</f>
        <v>Face Wash</v>
      </c>
      <c r="H138" s="11" t="n">
        <f aca="false">IFERROR(ABS(VALUE(TRIM(Raw_Data!H138))),"")</f>
        <v>5</v>
      </c>
      <c r="I138" s="12" t="n">
        <f aca="false">IFERROR(VALUE(TRIM(SUBSTITUTE(SUBSTITUTE(SUBSTITUTE(SUBSTITUTE(TRIM(Raw_Data!I138),"PKR",""),"Rs.",""),"Rs",""),",",""))),"")</f>
        <v>850</v>
      </c>
      <c r="J138" s="13" t="n">
        <f aca="false">IFERROR(IF(TRIM(Raw_Data!J138)="",0,IF(VALUE(TRIM(Raw_Data!J138))&gt;1,VALUE(TRIM(Raw_Data!J138))/100,VALUE(TRIM(Raw_Data!J138)))),0)</f>
        <v>0.05</v>
      </c>
      <c r="K138" s="9" t="str">
        <f aca="false">IF(TRIM(Raw_Data!K138)="","Unassigned",PROPER(TRIM(Raw_Data!K138)))</f>
        <v>Faisal Mehmood</v>
      </c>
      <c r="L138" s="9" t="str">
        <f aca="false">IFERROR(INDEX({"Credit Card","Credit Card","Debit Card","Debit Card","Cash","PayPal"},MATCH(UPPER(LEFT(TRIM(Raw_Data!L138),2)),{"CR","CC","DE","DC","CA","PA"},0)),"Other")</f>
        <v>Cash</v>
      </c>
      <c r="M138" s="9" t="str">
        <f aca="false">IFERROR(INDEX({"Completed","Returned","Cancelled","Pending"},MATCH(UPPER(LEFT(TRIM(Raw_Data!M138),3)),{"COM","RET","CAN","PEN"},0)),"Unknown")</f>
        <v>Completed</v>
      </c>
      <c r="N138" s="14" t="n">
        <f aca="false">IF(OR(H138="",I138=""),"",H138*I138)</f>
        <v>4250</v>
      </c>
      <c r="O138" s="14" t="n">
        <f aca="false">IF(N138="","",N138*J138)</f>
        <v>212.5</v>
      </c>
      <c r="P138" s="14" t="n">
        <f aca="false">IF(N138="","",N138-O138)</f>
        <v>4037.5</v>
      </c>
      <c r="Q138" s="15" t="n">
        <f aca="false">IF(B138="","",DATE(YEAR(B138),MONTH(B138),1))</f>
        <v>45658</v>
      </c>
      <c r="R138" s="16" t="str">
        <f aca="false">IF(A138="","Invalid - Exclude",IF(COUNTIF($A$2:A138,A138)&gt;1,"Duplicate - Exclude",IF(OR(B138="",H138="",I138=""),"Invalid - Exclude","Valid")))</f>
        <v>Valid</v>
      </c>
      <c r="S138" s="16" t="str">
        <f aca="false">IF(R138="Valid","",IF(R138="Duplicate - Exclude","Repeat of an earlier Order ID",IF(B138="","Date missing or unreadable",IF(H138="","Quantity missing or unreadable",IF(I138="","Unit price missing or unreadable","Order ID missing")))))</f>
        <v/>
      </c>
    </row>
    <row r="139" customFormat="false" ht="15" hidden="false" customHeight="true" outlineLevel="0" collapsed="false">
      <c r="A139" s="17" t="str">
        <f aca="false">UPPER(TRIM(Raw_Data!A139))</f>
        <v>ORD-1137</v>
      </c>
      <c r="B139" s="18" t="n">
        <f aca="false">IFERROR(IF(ISNUMBER(Raw_Data!B139),Raw_Data!B139,IF(ISNUMBER(FIND("/",Raw_Data!B139)),DATE(VALUE(RIGHT(TRIM(Raw_Data!B139),4)),VALUE(MID(TRIM(Raw_Data!B139),4,2)),VALUE(LEFT(TRIM(Raw_Data!B139),2))),IF(MID(TRIM(Raw_Data!B139),5,1)="-",DATE(VALUE(LEFT(TRIM(Raw_Data!B139),4)),VALUE(MID(TRIM(Raw_Data!B139),6,2)),VALUE(RIGHT(TRIM(Raw_Data!B139),2))),DATE(VALUE(RIGHT(TRIM(Raw_Data!B139),4)),MATCH(MID(TRIM(Raw_Data!B139),4,3),{"Jan","Feb","Mar","Apr","May","Jun","Jul","Aug","Sep","Oct","Nov","Dec"},0),VALUE(LEFT(TRIM(Raw_Data!B139),2)))))),"")</f>
        <v>45826</v>
      </c>
      <c r="C139" s="17" t="str">
        <f aca="false">IF(TRIM(Raw_Data!C139)="","Unknown",PROPER(TRIM(Raw_Data!C139)))</f>
        <v>Usman Hussain</v>
      </c>
      <c r="D139" s="17" t="str">
        <f aca="false">IFERROR(INDEX({"Punjab","Sindh","KPK","Balochistan"},MATCH(UPPER(LEFT(TRIM(Raw_Data!D139),1)),{"P","S","K","B"},0)),IFERROR(INDEX(Data_Dictionary!$G$4:$G$16,MATCH(E139,Data_Dictionary!$F$4:$F$16,0)),"Unassigned"))</f>
        <v>Punjab</v>
      </c>
      <c r="E139" s="17" t="str">
        <f aca="false">IF(TRIM(Raw_Data!E139)="","Unknown",PROPER(TRIM(Raw_Data!E139)))</f>
        <v>Lahore</v>
      </c>
      <c r="F139" s="17" t="str">
        <f aca="false">IFERROR(INDEX({"Electronics","Home &amp; Kitchen","Clothing","Groceries","Beauty"},MATCH(UPPER(LEFT(TRIM(Raw_Data!F139),3)),{"ELE","HOM","CLO","GRO","BEA"},0)),"Uncategorised")</f>
        <v>Electronics</v>
      </c>
      <c r="G139" s="17" t="str">
        <f aca="false">IF(TRIM(Raw_Data!G139)="","Unknown",PROPER(TRIM(Raw_Data!G139)))</f>
        <v>Smart Watch</v>
      </c>
      <c r="H139" s="19" t="n">
        <f aca="false">IFERROR(ABS(VALUE(TRIM(Raw_Data!H139))),"")</f>
        <v>6</v>
      </c>
      <c r="I139" s="20" t="n">
        <f aca="false">IFERROR(VALUE(TRIM(SUBSTITUTE(SUBSTITUTE(SUBSTITUTE(SUBSTITUTE(TRIM(Raw_Data!I139),"PKR",""),"Rs.",""),"Rs",""),",",""))),"")</f>
        <v>9300</v>
      </c>
      <c r="J139" s="21" t="n">
        <f aca="false">IFERROR(IF(TRIM(Raw_Data!J139)="",0,IF(VALUE(TRIM(Raw_Data!J139))&gt;1,VALUE(TRIM(Raw_Data!J139))/100,VALUE(TRIM(Raw_Data!J139)))),0)</f>
        <v>0.1</v>
      </c>
      <c r="K139" s="17" t="str">
        <f aca="false">IF(TRIM(Raw_Data!K139)="","Unassigned",PROPER(TRIM(Raw_Data!K139)))</f>
        <v>Waqar Ahmed</v>
      </c>
      <c r="L139" s="17" t="str">
        <f aca="false">IFERROR(INDEX({"Credit Card","Credit Card","Debit Card","Debit Card","Cash","PayPal"},MATCH(UPPER(LEFT(TRIM(Raw_Data!L139),2)),{"CR","CC","DE","DC","CA","PA"},0)),"Other")</f>
        <v>Cash</v>
      </c>
      <c r="M139" s="17" t="str">
        <f aca="false">IFERROR(INDEX({"Completed","Returned","Cancelled","Pending"},MATCH(UPPER(LEFT(TRIM(Raw_Data!M139),3)),{"COM","RET","CAN","PEN"},0)),"Unknown")</f>
        <v>Completed</v>
      </c>
      <c r="N139" s="20" t="n">
        <f aca="false">IF(OR(H139="",I139=""),"",H139*I139)</f>
        <v>55800</v>
      </c>
      <c r="O139" s="20" t="n">
        <f aca="false">IF(N139="","",N139*J139)</f>
        <v>5580</v>
      </c>
      <c r="P139" s="20" t="n">
        <f aca="false">IF(N139="","",N139-O139)</f>
        <v>50220</v>
      </c>
      <c r="Q139" s="22" t="n">
        <f aca="false">IF(B139="","",DATE(YEAR(B139),MONTH(B139),1))</f>
        <v>45809</v>
      </c>
      <c r="R139" s="17" t="str">
        <f aca="false">IF(A139="","Invalid - Exclude",IF(COUNTIF($A$2:A139,A139)&gt;1,"Duplicate - Exclude",IF(OR(B139="",H139="",I139=""),"Invalid - Exclude","Valid")))</f>
        <v>Valid</v>
      </c>
      <c r="S139" s="17" t="str">
        <f aca="false">IF(R139="Valid","",IF(R139="Duplicate - Exclude","Repeat of an earlier Order ID",IF(B139="","Date missing or unreadable",IF(H139="","Quantity missing or unreadable",IF(I139="","Unit price missing or unreadable","Order ID missing")))))</f>
        <v/>
      </c>
    </row>
    <row r="140" customFormat="false" ht="15" hidden="false" customHeight="true" outlineLevel="0" collapsed="false">
      <c r="A140" s="9" t="str">
        <f aca="false">UPPER(TRIM(Raw_Data!A140))</f>
        <v>ORD-1138</v>
      </c>
      <c r="B140" s="10" t="str">
        <f aca="false">IFERROR(IF(ISNUMBER(Raw_Data!B140),Raw_Data!B140,IF(ISNUMBER(FIND("/",Raw_Data!B140)),DATE(VALUE(RIGHT(TRIM(Raw_Data!B140),4)),VALUE(MID(TRIM(Raw_Data!B140),4,2)),VALUE(LEFT(TRIM(Raw_Data!B140),2))),IF(MID(TRIM(Raw_Data!B140),5,1)="-",DATE(VALUE(LEFT(TRIM(Raw_Data!B140),4)),VALUE(MID(TRIM(Raw_Data!B140),6,2)),VALUE(RIGHT(TRIM(Raw_Data!B140),2))),DATE(VALUE(RIGHT(TRIM(Raw_Data!B140),4)),MATCH(MID(TRIM(Raw_Data!B140),4,3),{"Jan","Feb","Mar","Apr","May","Jun","Jul","Aug","Sep","Oct","Nov","Dec"},0),VALUE(LEFT(TRIM(Raw_Data!B140),2)))))),"")</f>
        <v/>
      </c>
      <c r="C140" s="9" t="str">
        <f aca="false">IF(TRIM(Raw_Data!C140)="","Unknown",PROPER(TRIM(Raw_Data!C140)))</f>
        <v>Rabia Khan</v>
      </c>
      <c r="D140" s="9" t="str">
        <f aca="false">IFERROR(INDEX({"Punjab","Sindh","KPK","Balochistan"},MATCH(UPPER(LEFT(TRIM(Raw_Data!D140),1)),{"P","S","K","B"},0)),IFERROR(INDEX(Data_Dictionary!$G$4:$G$16,MATCH(E140,Data_Dictionary!$F$4:$F$16,0)),"Unassigned"))</f>
        <v>Punjab</v>
      </c>
      <c r="E140" s="9" t="str">
        <f aca="false">IF(TRIM(Raw_Data!E140)="","Unknown",PROPER(TRIM(Raw_Data!E140)))</f>
        <v>Gujranwala</v>
      </c>
      <c r="F140" s="9" t="str">
        <f aca="false">IFERROR(INDEX({"Electronics","Home &amp; Kitchen","Clothing","Groceries","Beauty"},MATCH(UPPER(LEFT(TRIM(Raw_Data!F140),3)),{"ELE","HOM","CLO","GRO","BEA"},0)),"Uncategorised")</f>
        <v>Groceries</v>
      </c>
      <c r="G140" s="9" t="str">
        <f aca="false">IF(TRIM(Raw_Data!G140)="","Unknown",PROPER(TRIM(Raw_Data!G140)))</f>
        <v>Refined Sugar 10 Kg</v>
      </c>
      <c r="H140" s="11" t="n">
        <f aca="false">IFERROR(ABS(VALUE(TRIM(Raw_Data!H140))),"")</f>
        <v>5</v>
      </c>
      <c r="I140" s="12" t="n">
        <f aca="false">IFERROR(VALUE(TRIM(SUBSTITUTE(SUBSTITUTE(SUBSTITUTE(SUBSTITUTE(TRIM(Raw_Data!I140),"PKR",""),"Rs.",""),"Rs",""),",",""))),"")</f>
        <v>1650</v>
      </c>
      <c r="J140" s="13" t="n">
        <f aca="false">IFERROR(IF(TRIM(Raw_Data!J140)="",0,IF(VALUE(TRIM(Raw_Data!J140))&gt;1,VALUE(TRIM(Raw_Data!J140))/100,VALUE(TRIM(Raw_Data!J140)))),0)</f>
        <v>0</v>
      </c>
      <c r="K140" s="9" t="str">
        <f aca="false">IF(TRIM(Raw_Data!K140)="","Unassigned",PROPER(TRIM(Raw_Data!K140)))</f>
        <v>Nimra Aslam</v>
      </c>
      <c r="L140" s="9" t="str">
        <f aca="false">IFERROR(INDEX({"Credit Card","Credit Card","Debit Card","Debit Card","Cash","PayPal"},MATCH(UPPER(LEFT(TRIM(Raw_Data!L140),2)),{"CR","CC","DE","DC","CA","PA"},0)),"Other")</f>
        <v>Cash</v>
      </c>
      <c r="M140" s="9" t="str">
        <f aca="false">IFERROR(INDEX({"Completed","Returned","Cancelled","Pending"},MATCH(UPPER(LEFT(TRIM(Raw_Data!M140),3)),{"COM","RET","CAN","PEN"},0)),"Unknown")</f>
        <v>Completed</v>
      </c>
      <c r="N140" s="14" t="n">
        <f aca="false">IF(OR(H140="",I140=""),"",H140*I140)</f>
        <v>8250</v>
      </c>
      <c r="O140" s="14" t="n">
        <f aca="false">IF(N140="","",N140*J140)</f>
        <v>0</v>
      </c>
      <c r="P140" s="14" t="n">
        <f aca="false">IF(N140="","",N140-O140)</f>
        <v>8250</v>
      </c>
      <c r="Q140" s="15" t="str">
        <f aca="false">IF(B140="","",DATE(YEAR(B140),MONTH(B140),1))</f>
        <v/>
      </c>
      <c r="R140" s="16" t="str">
        <f aca="false">IF(A140="","Invalid - Exclude",IF(COUNTIF($A$2:A140,A140)&gt;1,"Duplicate - Exclude",IF(OR(B140="",H140="",I140=""),"Invalid - Exclude","Valid")))</f>
        <v>Invalid - Exclude</v>
      </c>
      <c r="S140" s="16" t="str">
        <f aca="false">IF(R140="Valid","",IF(R140="Duplicate - Exclude","Repeat of an earlier Order ID",IF(B140="","Date missing or unreadable",IF(H140="","Quantity missing or unreadable",IF(I140="","Unit price missing or unreadable","Order ID missing")))))</f>
        <v>Date missing or unreadable</v>
      </c>
    </row>
    <row r="141" customFormat="false" ht="15" hidden="false" customHeight="true" outlineLevel="0" collapsed="false">
      <c r="A141" s="17" t="str">
        <f aca="false">UPPER(TRIM(Raw_Data!A141))</f>
        <v>ORD-1139</v>
      </c>
      <c r="B141" s="18" t="n">
        <f aca="false">IFERROR(IF(ISNUMBER(Raw_Data!B141),Raw_Data!B141,IF(ISNUMBER(FIND("/",Raw_Data!B141)),DATE(VALUE(RIGHT(TRIM(Raw_Data!B141),4)),VALUE(MID(TRIM(Raw_Data!B141),4,2)),VALUE(LEFT(TRIM(Raw_Data!B141),2))),IF(MID(TRIM(Raw_Data!B141),5,1)="-",DATE(VALUE(LEFT(TRIM(Raw_Data!B141),4)),VALUE(MID(TRIM(Raw_Data!B141),6,2)),VALUE(RIGHT(TRIM(Raw_Data!B141),2))),DATE(VALUE(RIGHT(TRIM(Raw_Data!B141),4)),MATCH(MID(TRIM(Raw_Data!B141),4,3),{"Jan","Feb","Mar","Apr","May","Jun","Jul","Aug","Sep","Oct","Nov","Dec"},0),VALUE(LEFT(TRIM(Raw_Data!B141),2)))))),"")</f>
        <v>45762</v>
      </c>
      <c r="C141" s="17" t="str">
        <f aca="false">IF(TRIM(Raw_Data!C141)="","Unknown",PROPER(TRIM(Raw_Data!C141)))</f>
        <v>Tariq Khan</v>
      </c>
      <c r="D141" s="17" t="str">
        <f aca="false">IFERROR(INDEX({"Punjab","Sindh","KPK","Balochistan"},MATCH(UPPER(LEFT(TRIM(Raw_Data!D141),1)),{"P","S","K","B"},0)),IFERROR(INDEX(Data_Dictionary!$G$4:$G$16,MATCH(E141,Data_Dictionary!$F$4:$F$16,0)),"Unassigned"))</f>
        <v>Punjab</v>
      </c>
      <c r="E141" s="17" t="str">
        <f aca="false">IF(TRIM(Raw_Data!E141)="","Unknown",PROPER(TRIM(Raw_Data!E141)))</f>
        <v>Faisalabad</v>
      </c>
      <c r="F141" s="17" t="str">
        <f aca="false">IFERROR(INDEX({"Electronics","Home &amp; Kitchen","Clothing","Groceries","Beauty"},MATCH(UPPER(LEFT(TRIM(Raw_Data!F141),3)),{"ELE","HOM","CLO","GRO","BEA"},0)),"Uncategorised")</f>
        <v>Groceries</v>
      </c>
      <c r="G141" s="17" t="str">
        <f aca="false">IF(TRIM(Raw_Data!G141)="","Unknown",PROPER(TRIM(Raw_Data!G141)))</f>
        <v>Cooking Oil 5 Litre</v>
      </c>
      <c r="H141" s="19" t="n">
        <f aca="false">IFERROR(ABS(VALUE(TRIM(Raw_Data!H141))),"")</f>
        <v>4</v>
      </c>
      <c r="I141" s="20" t="n">
        <f aca="false">IFERROR(VALUE(TRIM(SUBSTITUTE(SUBSTITUTE(SUBSTITUTE(SUBSTITUTE(TRIM(Raw_Data!I141),"PKR",""),"Rs.",""),"Rs",""),",",""))),"")</f>
        <v>2250</v>
      </c>
      <c r="J141" s="21" t="n">
        <f aca="false">IFERROR(IF(TRIM(Raw_Data!J141)="",0,IF(VALUE(TRIM(Raw_Data!J141))&gt;1,VALUE(TRIM(Raw_Data!J141))/100,VALUE(TRIM(Raw_Data!J141)))),0)</f>
        <v>0</v>
      </c>
      <c r="K141" s="17" t="str">
        <f aca="false">IF(TRIM(Raw_Data!K141)="","Unassigned",PROPER(TRIM(Raw_Data!K141)))</f>
        <v>Sadia Noor</v>
      </c>
      <c r="L141" s="17" t="str">
        <f aca="false">IFERROR(INDEX({"Credit Card","Credit Card","Debit Card","Debit Card","Cash","PayPal"},MATCH(UPPER(LEFT(TRIM(Raw_Data!L141),2)),{"CR","CC","DE","DC","CA","PA"},0)),"Other")</f>
        <v>Credit Card</v>
      </c>
      <c r="M141" s="17" t="str">
        <f aca="false">IFERROR(INDEX({"Completed","Returned","Cancelled","Pending"},MATCH(UPPER(LEFT(TRIM(Raw_Data!M141),3)),{"COM","RET","CAN","PEN"},0)),"Unknown")</f>
        <v>Completed</v>
      </c>
      <c r="N141" s="20" t="n">
        <f aca="false">IF(OR(H141="",I141=""),"",H141*I141)</f>
        <v>9000</v>
      </c>
      <c r="O141" s="20" t="n">
        <f aca="false">IF(N141="","",N141*J141)</f>
        <v>0</v>
      </c>
      <c r="P141" s="20" t="n">
        <f aca="false">IF(N141="","",N141-O141)</f>
        <v>9000</v>
      </c>
      <c r="Q141" s="22" t="n">
        <f aca="false">IF(B141="","",DATE(YEAR(B141),MONTH(B141),1))</f>
        <v>45748</v>
      </c>
      <c r="R141" s="17" t="str">
        <f aca="false">IF(A141="","Invalid - Exclude",IF(COUNTIF($A$2:A141,A141)&gt;1,"Duplicate - Exclude",IF(OR(B141="",H141="",I141=""),"Invalid - Exclude","Valid")))</f>
        <v>Valid</v>
      </c>
      <c r="S141" s="17" t="str">
        <f aca="false">IF(R141="Valid","",IF(R141="Duplicate - Exclude","Repeat of an earlier Order ID",IF(B141="","Date missing or unreadable",IF(H141="","Quantity missing or unreadable",IF(I141="","Unit price missing or unreadable","Order ID missing")))))</f>
        <v/>
      </c>
    </row>
    <row r="142" customFormat="false" ht="15" hidden="false" customHeight="true" outlineLevel="0" collapsed="false">
      <c r="A142" s="9" t="str">
        <f aca="false">UPPER(TRIM(Raw_Data!A142))</f>
        <v>ORD-1140</v>
      </c>
      <c r="B142" s="10" t="n">
        <f aca="false">IFERROR(IF(ISNUMBER(Raw_Data!B142),Raw_Data!B142,IF(ISNUMBER(FIND("/",Raw_Data!B142)),DATE(VALUE(RIGHT(TRIM(Raw_Data!B142),4)),VALUE(MID(TRIM(Raw_Data!B142),4,2)),VALUE(LEFT(TRIM(Raw_Data!B142),2))),IF(MID(TRIM(Raw_Data!B142),5,1)="-",DATE(VALUE(LEFT(TRIM(Raw_Data!B142),4)),VALUE(MID(TRIM(Raw_Data!B142),6,2)),VALUE(RIGHT(TRIM(Raw_Data!B142),2))),DATE(VALUE(RIGHT(TRIM(Raw_Data!B142),4)),MATCH(MID(TRIM(Raw_Data!B142),4,3),{"Jan","Feb","Mar","Apr","May","Jun","Jul","Aug","Sep","Oct","Nov","Dec"},0),VALUE(LEFT(TRIM(Raw_Data!B142),2)))))),"")</f>
        <v>45697</v>
      </c>
      <c r="C142" s="9" t="str">
        <f aca="false">IF(TRIM(Raw_Data!C142)="","Unknown",PROPER(TRIM(Raw_Data!C142)))</f>
        <v>Noor Sheikh</v>
      </c>
      <c r="D142" s="9" t="str">
        <f aca="false">IFERROR(INDEX({"Punjab","Sindh","KPK","Balochistan"},MATCH(UPPER(LEFT(TRIM(Raw_Data!D142),1)),{"P","S","K","B"},0)),IFERROR(INDEX(Data_Dictionary!$G$4:$G$16,MATCH(E142,Data_Dictionary!$F$4:$F$16,0)),"Unassigned"))</f>
        <v>Punjab</v>
      </c>
      <c r="E142" s="9" t="str">
        <f aca="false">IF(TRIM(Raw_Data!E142)="","Unknown",PROPER(TRIM(Raw_Data!E142)))</f>
        <v>Lahore</v>
      </c>
      <c r="F142" s="9" t="str">
        <f aca="false">IFERROR(INDEX({"Electronics","Home &amp; Kitchen","Clothing","Groceries","Beauty"},MATCH(UPPER(LEFT(TRIM(Raw_Data!F142),3)),{"ELE","HOM","CLO","GRO","BEA"},0)),"Uncategorised")</f>
        <v>Electronics</v>
      </c>
      <c r="G142" s="9" t="str">
        <f aca="false">IF(TRIM(Raw_Data!G142)="","Unknown",PROPER(TRIM(Raw_Data!G142)))</f>
        <v>Bluetooth Speaker</v>
      </c>
      <c r="H142" s="11" t="n">
        <f aca="false">IFERROR(ABS(VALUE(TRIM(Raw_Data!H142))),"")</f>
        <v>2</v>
      </c>
      <c r="I142" s="12" t="n">
        <f aca="false">IFERROR(VALUE(TRIM(SUBSTITUTE(SUBSTITUTE(SUBSTITUTE(SUBSTITUTE(TRIM(Raw_Data!I142),"PKR",""),"Rs.",""),"Rs",""),",",""))),"")</f>
        <v>4650</v>
      </c>
      <c r="J142" s="13" t="n">
        <f aca="false">IFERROR(IF(TRIM(Raw_Data!J142)="",0,IF(VALUE(TRIM(Raw_Data!J142))&gt;1,VALUE(TRIM(Raw_Data!J142))/100,VALUE(TRIM(Raw_Data!J142)))),0)</f>
        <v>0.1</v>
      </c>
      <c r="K142" s="9" t="str">
        <f aca="false">IF(TRIM(Raw_Data!K142)="","Unassigned",PROPER(TRIM(Raw_Data!K142)))</f>
        <v>Imran Shah</v>
      </c>
      <c r="L142" s="9" t="str">
        <f aca="false">IFERROR(INDEX({"Credit Card","Credit Card","Debit Card","Debit Card","Cash","PayPal"},MATCH(UPPER(LEFT(TRIM(Raw_Data!L142),2)),{"CR","CC","DE","DC","CA","PA"},0)),"Other")</f>
        <v>Credit Card</v>
      </c>
      <c r="M142" s="9" t="str">
        <f aca="false">IFERROR(INDEX({"Completed","Returned","Cancelled","Pending"},MATCH(UPPER(LEFT(TRIM(Raw_Data!M142),3)),{"COM","RET","CAN","PEN"},0)),"Unknown")</f>
        <v>Completed</v>
      </c>
      <c r="N142" s="14" t="n">
        <f aca="false">IF(OR(H142="",I142=""),"",H142*I142)</f>
        <v>9300</v>
      </c>
      <c r="O142" s="14" t="n">
        <f aca="false">IF(N142="","",N142*J142)</f>
        <v>930</v>
      </c>
      <c r="P142" s="14" t="n">
        <f aca="false">IF(N142="","",N142-O142)</f>
        <v>8370</v>
      </c>
      <c r="Q142" s="15" t="n">
        <f aca="false">IF(B142="","",DATE(YEAR(B142),MONTH(B142),1))</f>
        <v>45689</v>
      </c>
      <c r="R142" s="16" t="str">
        <f aca="false">IF(A142="","Invalid - Exclude",IF(COUNTIF($A$2:A142,A142)&gt;1,"Duplicate - Exclude",IF(OR(B142="",H142="",I142=""),"Invalid - Exclude","Valid")))</f>
        <v>Valid</v>
      </c>
      <c r="S142" s="16" t="str">
        <f aca="false">IF(R142="Valid","",IF(R142="Duplicate - Exclude","Repeat of an earlier Order ID",IF(B142="","Date missing or unreadable",IF(H142="","Quantity missing or unreadable",IF(I142="","Unit price missing or unreadable","Order ID missing")))))</f>
        <v/>
      </c>
    </row>
    <row r="143" customFormat="false" ht="15" hidden="false" customHeight="true" outlineLevel="0" collapsed="false">
      <c r="A143" s="17" t="str">
        <f aca="false">UPPER(TRIM(Raw_Data!A143))</f>
        <v>ORD-1141</v>
      </c>
      <c r="B143" s="18" t="n">
        <f aca="false">IFERROR(IF(ISNUMBER(Raw_Data!B143),Raw_Data!B143,IF(ISNUMBER(FIND("/",Raw_Data!B143)),DATE(VALUE(RIGHT(TRIM(Raw_Data!B143),4)),VALUE(MID(TRIM(Raw_Data!B143),4,2)),VALUE(LEFT(TRIM(Raw_Data!B143),2))),IF(MID(TRIM(Raw_Data!B143),5,1)="-",DATE(VALUE(LEFT(TRIM(Raw_Data!B143),4)),VALUE(MID(TRIM(Raw_Data!B143),6,2)),VALUE(RIGHT(TRIM(Raw_Data!B143),2))),DATE(VALUE(RIGHT(TRIM(Raw_Data!B143),4)),MATCH(MID(TRIM(Raw_Data!B143),4,3),{"Jan","Feb","Mar","Apr","May","Jun","Jul","Aug","Sep","Oct","Nov","Dec"},0),VALUE(LEFT(TRIM(Raw_Data!B143),2)))))),"")</f>
        <v>45756</v>
      </c>
      <c r="C143" s="17" t="str">
        <f aca="false">IF(TRIM(Raw_Data!C143)="","Unknown",PROPER(TRIM(Raw_Data!C143)))</f>
        <v>Unknown</v>
      </c>
      <c r="D143" s="17" t="str">
        <f aca="false">IFERROR(INDEX({"Punjab","Sindh","KPK","Balochistan"},MATCH(UPPER(LEFT(TRIM(Raw_Data!D143),1)),{"P","S","K","B"},0)),IFERROR(INDEX(Data_Dictionary!$G$4:$G$16,MATCH(E143,Data_Dictionary!$F$4:$F$16,0)),"Unassigned"))</f>
        <v>Punjab</v>
      </c>
      <c r="E143" s="17" t="str">
        <f aca="false">IF(TRIM(Raw_Data!E143)="","Unknown",PROPER(TRIM(Raw_Data!E143)))</f>
        <v>Lahore</v>
      </c>
      <c r="F143" s="17" t="str">
        <f aca="false">IFERROR(INDEX({"Electronics","Home &amp; Kitchen","Clothing","Groceries","Beauty"},MATCH(UPPER(LEFT(TRIM(Raw_Data!F143),3)),{"ELE","HOM","CLO","GRO","BEA"},0)),"Uncategorised")</f>
        <v>Groceries</v>
      </c>
      <c r="G143" s="17" t="str">
        <f aca="false">IF(TRIM(Raw_Data!G143)="","Unknown",PROPER(TRIM(Raw_Data!G143)))</f>
        <v>Refined Sugar 10 Kg</v>
      </c>
      <c r="H143" s="19" t="n">
        <f aca="false">IFERROR(ABS(VALUE(TRIM(Raw_Data!H143))),"")</f>
        <v>1</v>
      </c>
      <c r="I143" s="20" t="n">
        <f aca="false">IFERROR(VALUE(TRIM(SUBSTITUTE(SUBSTITUTE(SUBSTITUTE(SUBSTITUTE(TRIM(Raw_Data!I143),"PKR",""),"Rs.",""),"Rs",""),",",""))),"")</f>
        <v>1650</v>
      </c>
      <c r="J143" s="21" t="n">
        <f aca="false">IFERROR(IF(TRIM(Raw_Data!J143)="",0,IF(VALUE(TRIM(Raw_Data!J143))&gt;1,VALUE(TRIM(Raw_Data!J143))/100,VALUE(TRIM(Raw_Data!J143)))),0)</f>
        <v>0.15</v>
      </c>
      <c r="K143" s="17" t="str">
        <f aca="false">IF(TRIM(Raw_Data!K143)="","Unassigned",PROPER(TRIM(Raw_Data!K143)))</f>
        <v>Faisal Mehmood</v>
      </c>
      <c r="L143" s="17" t="str">
        <f aca="false">IFERROR(INDEX({"Credit Card","Credit Card","Debit Card","Debit Card","Cash","PayPal"},MATCH(UPPER(LEFT(TRIM(Raw_Data!L143),2)),{"CR","CC","DE","DC","CA","PA"},0)),"Other")</f>
        <v>Debit Card</v>
      </c>
      <c r="M143" s="17" t="str">
        <f aca="false">IFERROR(INDEX({"Completed","Returned","Cancelled","Pending"},MATCH(UPPER(LEFT(TRIM(Raw_Data!M143),3)),{"COM","RET","CAN","PEN"},0)),"Unknown")</f>
        <v>Completed</v>
      </c>
      <c r="N143" s="20" t="n">
        <f aca="false">IF(OR(H143="",I143=""),"",H143*I143)</f>
        <v>1650</v>
      </c>
      <c r="O143" s="20" t="n">
        <f aca="false">IF(N143="","",N143*J143)</f>
        <v>247.5</v>
      </c>
      <c r="P143" s="20" t="n">
        <f aca="false">IF(N143="","",N143-O143)</f>
        <v>1402.5</v>
      </c>
      <c r="Q143" s="22" t="n">
        <f aca="false">IF(B143="","",DATE(YEAR(B143),MONTH(B143),1))</f>
        <v>45748</v>
      </c>
      <c r="R143" s="17" t="str">
        <f aca="false">IF(A143="","Invalid - Exclude",IF(COUNTIF($A$2:A143,A143)&gt;1,"Duplicate - Exclude",IF(OR(B143="",H143="",I143=""),"Invalid - Exclude","Valid")))</f>
        <v>Valid</v>
      </c>
      <c r="S143" s="17" t="str">
        <f aca="false">IF(R143="Valid","",IF(R143="Duplicate - Exclude","Repeat of an earlier Order ID",IF(B143="","Date missing or unreadable",IF(H143="","Quantity missing or unreadable",IF(I143="","Unit price missing or unreadable","Order ID missing")))))</f>
        <v/>
      </c>
    </row>
    <row r="144" customFormat="false" ht="15" hidden="false" customHeight="true" outlineLevel="0" collapsed="false">
      <c r="A144" s="9" t="str">
        <f aca="false">UPPER(TRIM(Raw_Data!A144))</f>
        <v>ORD-1142</v>
      </c>
      <c r="B144" s="10" t="str">
        <f aca="false">IFERROR(IF(ISNUMBER(Raw_Data!B144),Raw_Data!B144,IF(ISNUMBER(FIND("/",Raw_Data!B144)),DATE(VALUE(RIGHT(TRIM(Raw_Data!B144),4)),VALUE(MID(TRIM(Raw_Data!B144),4,2)),VALUE(LEFT(TRIM(Raw_Data!B144),2))),IF(MID(TRIM(Raw_Data!B144),5,1)="-",DATE(VALUE(LEFT(TRIM(Raw_Data!B144),4)),VALUE(MID(TRIM(Raw_Data!B144),6,2)),VALUE(RIGHT(TRIM(Raw_Data!B144),2))),DATE(VALUE(RIGHT(TRIM(Raw_Data!B144),4)),MATCH(MID(TRIM(Raw_Data!B144),4,3),{"Jan","Feb","Mar","Apr","May","Jun","Jul","Aug","Sep","Oct","Nov","Dec"},0),VALUE(LEFT(TRIM(Raw_Data!B144),2)))))),"")</f>
        <v/>
      </c>
      <c r="C144" s="9" t="str">
        <f aca="false">IF(TRIM(Raw_Data!C144)="","Unknown",PROPER(TRIM(Raw_Data!C144)))</f>
        <v>Zain Raza</v>
      </c>
      <c r="D144" s="9" t="str">
        <f aca="false">IFERROR(INDEX({"Punjab","Sindh","KPK","Balochistan"},MATCH(UPPER(LEFT(TRIM(Raw_Data!D144),1)),{"P","S","K","B"},0)),IFERROR(INDEX(Data_Dictionary!$G$4:$G$16,MATCH(E144,Data_Dictionary!$F$4:$F$16,0)),"Unassigned"))</f>
        <v>KPK</v>
      </c>
      <c r="E144" s="9" t="str">
        <f aca="false">IF(TRIM(Raw_Data!E144)="","Unknown",PROPER(TRIM(Raw_Data!E144)))</f>
        <v>Peshawar</v>
      </c>
      <c r="F144" s="9" t="str">
        <f aca="false">IFERROR(INDEX({"Electronics","Home &amp; Kitchen","Clothing","Groceries","Beauty"},MATCH(UPPER(LEFT(TRIM(Raw_Data!F144),3)),{"ELE","HOM","CLO","GRO","BEA"},0)),"Uncategorised")</f>
        <v>Clothing</v>
      </c>
      <c r="G144" s="9" t="str">
        <f aca="false">IF(TRIM(Raw_Data!G144)="","Unknown",PROPER(TRIM(Raw_Data!G144)))</f>
        <v>Mens Kurta</v>
      </c>
      <c r="H144" s="11" t="n">
        <f aca="false">IFERROR(ABS(VALUE(TRIM(Raw_Data!H144))),"")</f>
        <v>1</v>
      </c>
      <c r="I144" s="12" t="n">
        <f aca="false">IFERROR(VALUE(TRIM(SUBSTITUTE(SUBSTITUTE(SUBSTITUTE(SUBSTITUTE(TRIM(Raw_Data!I144),"PKR",""),"Rs.",""),"Rs",""),",",""))),"")</f>
        <v>3100</v>
      </c>
      <c r="J144" s="13" t="n">
        <f aca="false">IFERROR(IF(TRIM(Raw_Data!J144)="",0,IF(VALUE(TRIM(Raw_Data!J144))&gt;1,VALUE(TRIM(Raw_Data!J144))/100,VALUE(TRIM(Raw_Data!J144)))),0)</f>
        <v>0</v>
      </c>
      <c r="K144" s="9" t="str">
        <f aca="false">IF(TRIM(Raw_Data!K144)="","Unassigned",PROPER(TRIM(Raw_Data!K144)))</f>
        <v>Waqar Ahmed</v>
      </c>
      <c r="L144" s="9" t="str">
        <f aca="false">IFERROR(INDEX({"Credit Card","Credit Card","Debit Card","Debit Card","Cash","PayPal"},MATCH(UPPER(LEFT(TRIM(Raw_Data!L144),2)),{"CR","CC","DE","DC","CA","PA"},0)),"Other")</f>
        <v>PayPal</v>
      </c>
      <c r="M144" s="9" t="str">
        <f aca="false">IFERROR(INDEX({"Completed","Returned","Cancelled","Pending"},MATCH(UPPER(LEFT(TRIM(Raw_Data!M144),3)),{"COM","RET","CAN","PEN"},0)),"Unknown")</f>
        <v>Completed</v>
      </c>
      <c r="N144" s="14" t="n">
        <f aca="false">IF(OR(H144="",I144=""),"",H144*I144)</f>
        <v>3100</v>
      </c>
      <c r="O144" s="14" t="n">
        <f aca="false">IF(N144="","",N144*J144)</f>
        <v>0</v>
      </c>
      <c r="P144" s="14" t="n">
        <f aca="false">IF(N144="","",N144-O144)</f>
        <v>3100</v>
      </c>
      <c r="Q144" s="15" t="str">
        <f aca="false">IF(B144="","",DATE(YEAR(B144),MONTH(B144),1))</f>
        <v/>
      </c>
      <c r="R144" s="16" t="str">
        <f aca="false">IF(A144="","Invalid - Exclude",IF(COUNTIF($A$2:A144,A144)&gt;1,"Duplicate - Exclude",IF(OR(B144="",H144="",I144=""),"Invalid - Exclude","Valid")))</f>
        <v>Invalid - Exclude</v>
      </c>
      <c r="S144" s="16" t="str">
        <f aca="false">IF(R144="Valid","",IF(R144="Duplicate - Exclude","Repeat of an earlier Order ID",IF(B144="","Date missing or unreadable",IF(H144="","Quantity missing or unreadable",IF(I144="","Unit price missing or unreadable","Order ID missing")))))</f>
        <v>Date missing or unreadable</v>
      </c>
    </row>
    <row r="145" customFormat="false" ht="15" hidden="false" customHeight="true" outlineLevel="0" collapsed="false">
      <c r="A145" s="17" t="str">
        <f aca="false">UPPER(TRIM(Raw_Data!A145))</f>
        <v>ORD-1143</v>
      </c>
      <c r="B145" s="18" t="n">
        <f aca="false">IFERROR(IF(ISNUMBER(Raw_Data!B145),Raw_Data!B145,IF(ISNUMBER(FIND("/",Raw_Data!B145)),DATE(VALUE(RIGHT(TRIM(Raw_Data!B145),4)),VALUE(MID(TRIM(Raw_Data!B145),4,2)),VALUE(LEFT(TRIM(Raw_Data!B145),2))),IF(MID(TRIM(Raw_Data!B145),5,1)="-",DATE(VALUE(LEFT(TRIM(Raw_Data!B145),4)),VALUE(MID(TRIM(Raw_Data!B145),6,2)),VALUE(RIGHT(TRIM(Raw_Data!B145),2))),DATE(VALUE(RIGHT(TRIM(Raw_Data!B145),4)),MATCH(MID(TRIM(Raw_Data!B145),4,3),{"Jan","Feb","Mar","Apr","May","Jun","Jul","Aug","Sep","Oct","Nov","Dec"},0),VALUE(LEFT(TRIM(Raw_Data!B145),2)))))),"")</f>
        <v>45867</v>
      </c>
      <c r="C145" s="17" t="str">
        <f aca="false">IF(TRIM(Raw_Data!C145)="","Unknown",PROPER(TRIM(Raw_Data!C145)))</f>
        <v>Ahmed Qureshi</v>
      </c>
      <c r="D145" s="17" t="str">
        <f aca="false">IFERROR(INDEX({"Punjab","Sindh","KPK","Balochistan"},MATCH(UPPER(LEFT(TRIM(Raw_Data!D145),1)),{"P","S","K","B"},0)),IFERROR(INDEX(Data_Dictionary!$G$4:$G$16,MATCH(E145,Data_Dictionary!$F$4:$F$16,0)),"Unassigned"))</f>
        <v>KPK</v>
      </c>
      <c r="E145" s="17" t="str">
        <f aca="false">IF(TRIM(Raw_Data!E145)="","Unknown",PROPER(TRIM(Raw_Data!E145)))</f>
        <v>Peshawar</v>
      </c>
      <c r="F145" s="17" t="str">
        <f aca="false">IFERROR(INDEX({"Electronics","Home &amp; Kitchen","Clothing","Groceries","Beauty"},MATCH(UPPER(LEFT(TRIM(Raw_Data!F145),3)),{"ELE","HOM","CLO","GRO","BEA"},0)),"Uncategorised")</f>
        <v>Clothing</v>
      </c>
      <c r="G145" s="17" t="str">
        <f aca="false">IF(TRIM(Raw_Data!G145)="","Unknown",PROPER(TRIM(Raw_Data!G145)))</f>
        <v>Winter Jacket</v>
      </c>
      <c r="H145" s="19" t="n">
        <f aca="false">IFERROR(ABS(VALUE(TRIM(Raw_Data!H145))),"")</f>
        <v>6</v>
      </c>
      <c r="I145" s="20" t="n">
        <f aca="false">IFERROR(VALUE(TRIM(SUBSTITUTE(SUBSTITUTE(SUBSTITUTE(SUBSTITUTE(TRIM(Raw_Data!I145),"PKR",""),"Rs.",""),"Rs",""),",",""))),"")</f>
        <v>9850</v>
      </c>
      <c r="J145" s="21" t="n">
        <f aca="false">IFERROR(IF(TRIM(Raw_Data!J145)="",0,IF(VALUE(TRIM(Raw_Data!J145))&gt;1,VALUE(TRIM(Raw_Data!J145))/100,VALUE(TRIM(Raw_Data!J145)))),0)</f>
        <v>0.05</v>
      </c>
      <c r="K145" s="17" t="str">
        <f aca="false">IF(TRIM(Raw_Data!K145)="","Unassigned",PROPER(TRIM(Raw_Data!K145)))</f>
        <v>Zoya Tariq</v>
      </c>
      <c r="L145" s="17" t="str">
        <f aca="false">IFERROR(INDEX({"Credit Card","Credit Card","Debit Card","Debit Card","Cash","PayPal"},MATCH(UPPER(LEFT(TRIM(Raw_Data!L145),2)),{"CR","CC","DE","DC","CA","PA"},0)),"Other")</f>
        <v>PayPal</v>
      </c>
      <c r="M145" s="17" t="str">
        <f aca="false">IFERROR(INDEX({"Completed","Returned","Cancelled","Pending"},MATCH(UPPER(LEFT(TRIM(Raw_Data!M145),3)),{"COM","RET","CAN","PEN"},0)),"Unknown")</f>
        <v>Completed</v>
      </c>
      <c r="N145" s="20" t="n">
        <f aca="false">IF(OR(H145="",I145=""),"",H145*I145)</f>
        <v>59100</v>
      </c>
      <c r="O145" s="20" t="n">
        <f aca="false">IF(N145="","",N145*J145)</f>
        <v>2955</v>
      </c>
      <c r="P145" s="20" t="n">
        <f aca="false">IF(N145="","",N145-O145)</f>
        <v>56145</v>
      </c>
      <c r="Q145" s="22" t="n">
        <f aca="false">IF(B145="","",DATE(YEAR(B145),MONTH(B145),1))</f>
        <v>45839</v>
      </c>
      <c r="R145" s="17" t="str">
        <f aca="false">IF(A145="","Invalid - Exclude",IF(COUNTIF($A$2:A145,A145)&gt;1,"Duplicate - Exclude",IF(OR(B145="",H145="",I145=""),"Invalid - Exclude","Valid")))</f>
        <v>Valid</v>
      </c>
      <c r="S145" s="17" t="str">
        <f aca="false">IF(R145="Valid","",IF(R145="Duplicate - Exclude","Repeat of an earlier Order ID",IF(B145="","Date missing or unreadable",IF(H145="","Quantity missing or unreadable",IF(I145="","Unit price missing or unreadable","Order ID missing")))))</f>
        <v/>
      </c>
    </row>
    <row r="146" customFormat="false" ht="15" hidden="false" customHeight="true" outlineLevel="0" collapsed="false">
      <c r="A146" s="9" t="str">
        <f aca="false">UPPER(TRIM(Raw_Data!A146))</f>
        <v>ORD-1144</v>
      </c>
      <c r="B146" s="10" t="n">
        <f aca="false">IFERROR(IF(ISNUMBER(Raw_Data!B146),Raw_Data!B146,IF(ISNUMBER(FIND("/",Raw_Data!B146)),DATE(VALUE(RIGHT(TRIM(Raw_Data!B146),4)),VALUE(MID(TRIM(Raw_Data!B146),4,2)),VALUE(LEFT(TRIM(Raw_Data!B146),2))),IF(MID(TRIM(Raw_Data!B146),5,1)="-",DATE(VALUE(LEFT(TRIM(Raw_Data!B146),4)),VALUE(MID(TRIM(Raw_Data!B146),6,2)),VALUE(RIGHT(TRIM(Raw_Data!B146),2))),DATE(VALUE(RIGHT(TRIM(Raw_Data!B146),4)),MATCH(MID(TRIM(Raw_Data!B146),4,3),{"Jan","Feb","Mar","Apr","May","Jun","Jul","Aug","Sep","Oct","Nov","Dec"},0),VALUE(LEFT(TRIM(Raw_Data!B146),2)))))),"")</f>
        <v>45867</v>
      </c>
      <c r="C146" s="9" t="str">
        <f aca="false">IF(TRIM(Raw_Data!C146)="","Unknown",PROPER(TRIM(Raw_Data!C146)))</f>
        <v>Hassan Raza</v>
      </c>
      <c r="D146" s="9" t="str">
        <f aca="false">IFERROR(INDEX({"Punjab","Sindh","KPK","Balochistan"},MATCH(UPPER(LEFT(TRIM(Raw_Data!D146),1)),{"P","S","K","B"},0)),IFERROR(INDEX(Data_Dictionary!$G$4:$G$16,MATCH(E146,Data_Dictionary!$F$4:$F$16,0)),"Unassigned"))</f>
        <v>Punjab</v>
      </c>
      <c r="E146" s="9" t="str">
        <f aca="false">IF(TRIM(Raw_Data!E146)="","Unknown",PROPER(TRIM(Raw_Data!E146)))</f>
        <v>Multan</v>
      </c>
      <c r="F146" s="9" t="str">
        <f aca="false">IFERROR(INDEX({"Electronics","Home &amp; Kitchen","Clothing","Groceries","Beauty"},MATCH(UPPER(LEFT(TRIM(Raw_Data!F146),3)),{"ELE","HOM","CLO","GRO","BEA"},0)),"Uncategorised")</f>
        <v>Electronics</v>
      </c>
      <c r="G146" s="9" t="str">
        <f aca="false">IF(TRIM(Raw_Data!G146)="","Unknown",PROPER(TRIM(Raw_Data!G146)))</f>
        <v>Wireless Earbuds</v>
      </c>
      <c r="H146" s="11" t="n">
        <f aca="false">IFERROR(ABS(VALUE(TRIM(Raw_Data!H146))),"")</f>
        <v>3</v>
      </c>
      <c r="I146" s="12" t="n">
        <f aca="false">IFERROR(VALUE(TRIM(SUBSTITUTE(SUBSTITUTE(SUBSTITUTE(SUBSTITUTE(TRIM(Raw_Data!I146),"PKR",""),"Rs.",""),"Rs",""),",",""))),"")</f>
        <v>6600</v>
      </c>
      <c r="J146" s="13" t="n">
        <f aca="false">IFERROR(IF(TRIM(Raw_Data!J146)="",0,IF(VALUE(TRIM(Raw_Data!J146))&gt;1,VALUE(TRIM(Raw_Data!J146))/100,VALUE(TRIM(Raw_Data!J146)))),0)</f>
        <v>0.1</v>
      </c>
      <c r="K146" s="9" t="str">
        <f aca="false">IF(TRIM(Raw_Data!K146)="","Unassigned",PROPER(TRIM(Raw_Data!K146)))</f>
        <v>Sadia Noor</v>
      </c>
      <c r="L146" s="9" t="str">
        <f aca="false">IFERROR(INDEX({"Credit Card","Credit Card","Debit Card","Debit Card","Cash","PayPal"},MATCH(UPPER(LEFT(TRIM(Raw_Data!L146),2)),{"CR","CC","DE","DC","CA","PA"},0)),"Other")</f>
        <v>PayPal</v>
      </c>
      <c r="M146" s="9" t="str">
        <f aca="false">IFERROR(INDEX({"Completed","Returned","Cancelled","Pending"},MATCH(UPPER(LEFT(TRIM(Raw_Data!M146),3)),{"COM","RET","CAN","PEN"},0)),"Unknown")</f>
        <v>Completed</v>
      </c>
      <c r="N146" s="14" t="n">
        <f aca="false">IF(OR(H146="",I146=""),"",H146*I146)</f>
        <v>19800</v>
      </c>
      <c r="O146" s="14" t="n">
        <f aca="false">IF(N146="","",N146*J146)</f>
        <v>1980</v>
      </c>
      <c r="P146" s="14" t="n">
        <f aca="false">IF(N146="","",N146-O146)</f>
        <v>17820</v>
      </c>
      <c r="Q146" s="15" t="n">
        <f aca="false">IF(B146="","",DATE(YEAR(B146),MONTH(B146),1))</f>
        <v>45839</v>
      </c>
      <c r="R146" s="16" t="str">
        <f aca="false">IF(A146="","Invalid - Exclude",IF(COUNTIF($A$2:A146,A146)&gt;1,"Duplicate - Exclude",IF(OR(B146="",H146="",I146=""),"Invalid - Exclude","Valid")))</f>
        <v>Valid</v>
      </c>
      <c r="S146" s="16" t="str">
        <f aca="false">IF(R146="Valid","",IF(R146="Duplicate - Exclude","Repeat of an earlier Order ID",IF(B146="","Date missing or unreadable",IF(H146="","Quantity missing or unreadable",IF(I146="","Unit price missing or unreadable","Order ID missing")))))</f>
        <v/>
      </c>
    </row>
    <row r="147" customFormat="false" ht="15" hidden="false" customHeight="true" outlineLevel="0" collapsed="false">
      <c r="A147" s="17" t="str">
        <f aca="false">UPPER(TRIM(Raw_Data!A147))</f>
        <v>ORD-1145</v>
      </c>
      <c r="B147" s="18" t="n">
        <f aca="false">IFERROR(IF(ISNUMBER(Raw_Data!B147),Raw_Data!B147,IF(ISNUMBER(FIND("/",Raw_Data!B147)),DATE(VALUE(RIGHT(TRIM(Raw_Data!B147),4)),VALUE(MID(TRIM(Raw_Data!B147),4,2)),VALUE(LEFT(TRIM(Raw_Data!B147),2))),IF(MID(TRIM(Raw_Data!B147),5,1)="-",DATE(VALUE(LEFT(TRIM(Raw_Data!B147),4)),VALUE(MID(TRIM(Raw_Data!B147),6,2)),VALUE(RIGHT(TRIM(Raw_Data!B147),2))),DATE(VALUE(RIGHT(TRIM(Raw_Data!B147),4)),MATCH(MID(TRIM(Raw_Data!B147),4,3),{"Jan","Feb","Mar","Apr","May","Jun","Jul","Aug","Sep","Oct","Nov","Dec"},0),VALUE(LEFT(TRIM(Raw_Data!B147),2)))))),"")</f>
        <v>45695</v>
      </c>
      <c r="C147" s="17" t="str">
        <f aca="false">IF(TRIM(Raw_Data!C147)="","Unknown",PROPER(TRIM(Raw_Data!C147)))</f>
        <v>Ali Malik</v>
      </c>
      <c r="D147" s="17" t="str">
        <f aca="false">IFERROR(INDEX({"Punjab","Sindh","KPK","Balochistan"},MATCH(UPPER(LEFT(TRIM(Raw_Data!D147),1)),{"P","S","K","B"},0)),IFERROR(INDEX(Data_Dictionary!$G$4:$G$16,MATCH(E147,Data_Dictionary!$F$4:$F$16,0)),"Unassigned"))</f>
        <v>KPK</v>
      </c>
      <c r="E147" s="17" t="str">
        <f aca="false">IF(TRIM(Raw_Data!E147)="","Unknown",PROPER(TRIM(Raw_Data!E147)))</f>
        <v>Mardan</v>
      </c>
      <c r="F147" s="17" t="str">
        <f aca="false">IFERROR(INDEX({"Electronics","Home &amp; Kitchen","Clothing","Groceries","Beauty"},MATCH(UPPER(LEFT(TRIM(Raw_Data!F147),3)),{"ELE","HOM","CLO","GRO","BEA"},0)),"Uncategorised")</f>
        <v>Electronics</v>
      </c>
      <c r="G147" s="17" t="str">
        <f aca="false">IF(TRIM(Raw_Data!G147)="","Unknown",PROPER(TRIM(Raw_Data!G147)))</f>
        <v>Bluetooth Speaker</v>
      </c>
      <c r="H147" s="19" t="n">
        <f aca="false">IFERROR(ABS(VALUE(TRIM(Raw_Data!H147))),"")</f>
        <v>4</v>
      </c>
      <c r="I147" s="20" t="n">
        <f aca="false">IFERROR(VALUE(TRIM(SUBSTITUTE(SUBSTITUTE(SUBSTITUTE(SUBSTITUTE(TRIM(Raw_Data!I147),"PKR",""),"Rs.",""),"Rs",""),",",""))),"")</f>
        <v>4600</v>
      </c>
      <c r="J147" s="21" t="n">
        <f aca="false">IFERROR(IF(TRIM(Raw_Data!J147)="",0,IF(VALUE(TRIM(Raw_Data!J147))&gt;1,VALUE(TRIM(Raw_Data!J147))/100,VALUE(TRIM(Raw_Data!J147)))),0)</f>
        <v>0</v>
      </c>
      <c r="K147" s="17" t="str">
        <f aca="false">IF(TRIM(Raw_Data!K147)="","Unassigned",PROPER(TRIM(Raw_Data!K147)))</f>
        <v>Waqar Ahmed</v>
      </c>
      <c r="L147" s="17" t="str">
        <f aca="false">IFERROR(INDEX({"Credit Card","Credit Card","Debit Card","Debit Card","Cash","PayPal"},MATCH(UPPER(LEFT(TRIM(Raw_Data!L147),2)),{"CR","CC","DE","DC","CA","PA"},0)),"Other")</f>
        <v>Credit Card</v>
      </c>
      <c r="M147" s="17" t="str">
        <f aca="false">IFERROR(INDEX({"Completed","Returned","Cancelled","Pending"},MATCH(UPPER(LEFT(TRIM(Raw_Data!M147),3)),{"COM","RET","CAN","PEN"},0)),"Unknown")</f>
        <v>Completed</v>
      </c>
      <c r="N147" s="20" t="n">
        <f aca="false">IF(OR(H147="",I147=""),"",H147*I147)</f>
        <v>18400</v>
      </c>
      <c r="O147" s="20" t="n">
        <f aca="false">IF(N147="","",N147*J147)</f>
        <v>0</v>
      </c>
      <c r="P147" s="20" t="n">
        <f aca="false">IF(N147="","",N147-O147)</f>
        <v>18400</v>
      </c>
      <c r="Q147" s="22" t="n">
        <f aca="false">IF(B147="","",DATE(YEAR(B147),MONTH(B147),1))</f>
        <v>45689</v>
      </c>
      <c r="R147" s="17" t="str">
        <f aca="false">IF(A147="","Invalid - Exclude",IF(COUNTIF($A$2:A147,A147)&gt;1,"Duplicate - Exclude",IF(OR(B147="",H147="",I147=""),"Invalid - Exclude","Valid")))</f>
        <v>Valid</v>
      </c>
      <c r="S147" s="17" t="str">
        <f aca="false">IF(R147="Valid","",IF(R147="Duplicate - Exclude","Repeat of an earlier Order ID",IF(B147="","Date missing or unreadable",IF(H147="","Quantity missing or unreadable",IF(I147="","Unit price missing or unreadable","Order ID missing")))))</f>
        <v/>
      </c>
    </row>
    <row r="148" customFormat="false" ht="15" hidden="false" customHeight="true" outlineLevel="0" collapsed="false">
      <c r="A148" s="9" t="str">
        <f aca="false">UPPER(TRIM(Raw_Data!A148))</f>
        <v>ORD-1146</v>
      </c>
      <c r="B148" s="10" t="n">
        <f aca="false">IFERROR(IF(ISNUMBER(Raw_Data!B148),Raw_Data!B148,IF(ISNUMBER(FIND("/",Raw_Data!B148)),DATE(VALUE(RIGHT(TRIM(Raw_Data!B148),4)),VALUE(MID(TRIM(Raw_Data!B148),4,2)),VALUE(LEFT(TRIM(Raw_Data!B148),2))),IF(MID(TRIM(Raw_Data!B148),5,1)="-",DATE(VALUE(LEFT(TRIM(Raw_Data!B148),4)),VALUE(MID(TRIM(Raw_Data!B148),6,2)),VALUE(RIGHT(TRIM(Raw_Data!B148),2))),DATE(VALUE(RIGHT(TRIM(Raw_Data!B148),4)),MATCH(MID(TRIM(Raw_Data!B148),4,3),{"Jan","Feb","Mar","Apr","May","Jun","Jul","Aug","Sep","Oct","Nov","Dec"},0),VALUE(LEFT(TRIM(Raw_Data!B148),2)))))),"")</f>
        <v>46012</v>
      </c>
      <c r="C148" s="9" t="str">
        <f aca="false">IF(TRIM(Raw_Data!C148)="","Unknown",PROPER(TRIM(Raw_Data!C148)))</f>
        <v>Hamza Malik</v>
      </c>
      <c r="D148" s="9" t="str">
        <f aca="false">IFERROR(INDEX({"Punjab","Sindh","KPK","Balochistan"},MATCH(UPPER(LEFT(TRIM(Raw_Data!D148),1)),{"P","S","K","B"},0)),IFERROR(INDEX(Data_Dictionary!$G$4:$G$16,MATCH(E148,Data_Dictionary!$F$4:$F$16,0)),"Unassigned"))</f>
        <v>Punjab</v>
      </c>
      <c r="E148" s="9" t="str">
        <f aca="false">IF(TRIM(Raw_Data!E148)="","Unknown",PROPER(TRIM(Raw_Data!E148)))</f>
        <v>Multan</v>
      </c>
      <c r="F148" s="9" t="str">
        <f aca="false">IFERROR(INDEX({"Electronics","Home &amp; Kitchen","Clothing","Groceries","Beauty"},MATCH(UPPER(LEFT(TRIM(Raw_Data!F148),3)),{"ELE","HOM","CLO","GRO","BEA"},0)),"Uncategorised")</f>
        <v>Beauty</v>
      </c>
      <c r="G148" s="9" t="str">
        <f aca="false">IF(TRIM(Raw_Data!G148)="","Unknown",PROPER(TRIM(Raw_Data!G148)))</f>
        <v>Face Wash</v>
      </c>
      <c r="H148" s="11" t="n">
        <f aca="false">IFERROR(ABS(VALUE(TRIM(Raw_Data!H148))),"")</f>
        <v>4</v>
      </c>
      <c r="I148" s="12" t="n">
        <f aca="false">IFERROR(VALUE(TRIM(SUBSTITUTE(SUBSTITUTE(SUBSTITUTE(SUBSTITUTE(TRIM(Raw_Data!I148),"PKR",""),"Rs.",""),"Rs",""),",",""))),"")</f>
        <v>800</v>
      </c>
      <c r="J148" s="13" t="n">
        <f aca="false">IFERROR(IF(TRIM(Raw_Data!J148)="",0,IF(VALUE(TRIM(Raw_Data!J148))&gt;1,VALUE(TRIM(Raw_Data!J148))/100,VALUE(TRIM(Raw_Data!J148)))),0)</f>
        <v>0</v>
      </c>
      <c r="K148" s="9" t="str">
        <f aca="false">IF(TRIM(Raw_Data!K148)="","Unassigned",PROPER(TRIM(Raw_Data!K148)))</f>
        <v>Nimra Aslam</v>
      </c>
      <c r="L148" s="9" t="str">
        <f aca="false">IFERROR(INDEX({"Credit Card","Credit Card","Debit Card","Debit Card","Cash","PayPal"},MATCH(UPPER(LEFT(TRIM(Raw_Data!L148),2)),{"CR","CC","DE","DC","CA","PA"},0)),"Other")</f>
        <v>Cash</v>
      </c>
      <c r="M148" s="9" t="str">
        <f aca="false">IFERROR(INDEX({"Completed","Returned","Cancelled","Pending"},MATCH(UPPER(LEFT(TRIM(Raw_Data!M148),3)),{"COM","RET","CAN","PEN"},0)),"Unknown")</f>
        <v>Returned</v>
      </c>
      <c r="N148" s="14" t="n">
        <f aca="false">IF(OR(H148="",I148=""),"",H148*I148)</f>
        <v>3200</v>
      </c>
      <c r="O148" s="14" t="n">
        <f aca="false">IF(N148="","",N148*J148)</f>
        <v>0</v>
      </c>
      <c r="P148" s="14" t="n">
        <f aca="false">IF(N148="","",N148-O148)</f>
        <v>3200</v>
      </c>
      <c r="Q148" s="15" t="n">
        <f aca="false">IF(B148="","",DATE(YEAR(B148),MONTH(B148),1))</f>
        <v>45992</v>
      </c>
      <c r="R148" s="16" t="str">
        <f aca="false">IF(A148="","Invalid - Exclude",IF(COUNTIF($A$2:A148,A148)&gt;1,"Duplicate - Exclude",IF(OR(B148="",H148="",I148=""),"Invalid - Exclude","Valid")))</f>
        <v>Valid</v>
      </c>
      <c r="S148" s="16" t="str">
        <f aca="false">IF(R148="Valid","",IF(R148="Duplicate - Exclude","Repeat of an earlier Order ID",IF(B148="","Date missing or unreadable",IF(H148="","Quantity missing or unreadable",IF(I148="","Unit price missing or unreadable","Order ID missing")))))</f>
        <v/>
      </c>
    </row>
    <row r="149" customFormat="false" ht="15" hidden="false" customHeight="true" outlineLevel="0" collapsed="false">
      <c r="A149" s="17" t="str">
        <f aca="false">UPPER(TRIM(Raw_Data!A149))</f>
        <v>ORD-1147</v>
      </c>
      <c r="B149" s="18" t="n">
        <f aca="false">IFERROR(IF(ISNUMBER(Raw_Data!B149),Raw_Data!B149,IF(ISNUMBER(FIND("/",Raw_Data!B149)),DATE(VALUE(RIGHT(TRIM(Raw_Data!B149),4)),VALUE(MID(TRIM(Raw_Data!B149),4,2)),VALUE(LEFT(TRIM(Raw_Data!B149),2))),IF(MID(TRIM(Raw_Data!B149),5,1)="-",DATE(VALUE(LEFT(TRIM(Raw_Data!B149),4)),VALUE(MID(TRIM(Raw_Data!B149),6,2)),VALUE(RIGHT(TRIM(Raw_Data!B149),2))),DATE(VALUE(RIGHT(TRIM(Raw_Data!B149),4)),MATCH(MID(TRIM(Raw_Data!B149),4,3),{"Jan","Feb","Mar","Apr","May","Jun","Jul","Aug","Sep","Oct","Nov","Dec"},0),VALUE(LEFT(TRIM(Raw_Data!B149),2)))))),"")</f>
        <v>46019</v>
      </c>
      <c r="C149" s="17" t="str">
        <f aca="false">IF(TRIM(Raw_Data!C149)="","Unknown",PROPER(TRIM(Raw_Data!C149)))</f>
        <v>Rabia Iqbal</v>
      </c>
      <c r="D149" s="17" t="str">
        <f aca="false">IFERROR(INDEX({"Punjab","Sindh","KPK","Balochistan"},MATCH(UPPER(LEFT(TRIM(Raw_Data!D149),1)),{"P","S","K","B"},0)),IFERROR(INDEX(Data_Dictionary!$G$4:$G$16,MATCH(E149,Data_Dictionary!$F$4:$F$16,0)),"Unassigned"))</f>
        <v>Punjab</v>
      </c>
      <c r="E149" s="17" t="str">
        <f aca="false">IF(TRIM(Raw_Data!E149)="","Unknown",PROPER(TRIM(Raw_Data!E149)))</f>
        <v>Lahore</v>
      </c>
      <c r="F149" s="17" t="str">
        <f aca="false">IFERROR(INDEX({"Electronics","Home &amp; Kitchen","Clothing","Groceries","Beauty"},MATCH(UPPER(LEFT(TRIM(Raw_Data!F149),3)),{"ELE","HOM","CLO","GRO","BEA"},0)),"Uncategorised")</f>
        <v>Electronics</v>
      </c>
      <c r="G149" s="17" t="str">
        <f aca="false">IF(TRIM(Raw_Data!G149)="","Unknown",PROPER(TRIM(Raw_Data!G149)))</f>
        <v>Wireless Earbuds</v>
      </c>
      <c r="H149" s="19" t="n">
        <f aca="false">IFERROR(ABS(VALUE(TRIM(Raw_Data!H149))),"")</f>
        <v>5</v>
      </c>
      <c r="I149" s="20" t="n">
        <f aca="false">IFERROR(VALUE(TRIM(SUBSTITUTE(SUBSTITUTE(SUBSTITUTE(SUBSTITUTE(TRIM(Raw_Data!I149),"PKR",""),"Rs.",""),"Rs",""),",",""))),"")</f>
        <v>6400</v>
      </c>
      <c r="J149" s="21" t="n">
        <f aca="false">IFERROR(IF(TRIM(Raw_Data!J149)="",0,IF(VALUE(TRIM(Raw_Data!J149))&gt;1,VALUE(TRIM(Raw_Data!J149))/100,VALUE(TRIM(Raw_Data!J149)))),0)</f>
        <v>0</v>
      </c>
      <c r="K149" s="17" t="str">
        <f aca="false">IF(TRIM(Raw_Data!K149)="","Unassigned",PROPER(TRIM(Raw_Data!K149)))</f>
        <v>Waqar Ahmed</v>
      </c>
      <c r="L149" s="17" t="str">
        <f aca="false">IFERROR(INDEX({"Credit Card","Credit Card","Debit Card","Debit Card","Cash","PayPal"},MATCH(UPPER(LEFT(TRIM(Raw_Data!L149),2)),{"CR","CC","DE","DC","CA","PA"},0)),"Other")</f>
        <v>Debit Card</v>
      </c>
      <c r="M149" s="17" t="str">
        <f aca="false">IFERROR(INDEX({"Completed","Returned","Cancelled","Pending"},MATCH(UPPER(LEFT(TRIM(Raw_Data!M149),3)),{"COM","RET","CAN","PEN"},0)),"Unknown")</f>
        <v>Completed</v>
      </c>
      <c r="N149" s="20" t="n">
        <f aca="false">IF(OR(H149="",I149=""),"",H149*I149)</f>
        <v>32000</v>
      </c>
      <c r="O149" s="20" t="n">
        <f aca="false">IF(N149="","",N149*J149)</f>
        <v>0</v>
      </c>
      <c r="P149" s="20" t="n">
        <f aca="false">IF(N149="","",N149-O149)</f>
        <v>32000</v>
      </c>
      <c r="Q149" s="22" t="n">
        <f aca="false">IF(B149="","",DATE(YEAR(B149),MONTH(B149),1))</f>
        <v>45992</v>
      </c>
      <c r="R149" s="17" t="str">
        <f aca="false">IF(A149="","Invalid - Exclude",IF(COUNTIF($A$2:A149,A149)&gt;1,"Duplicate - Exclude",IF(OR(B149="",H149="",I149=""),"Invalid - Exclude","Valid")))</f>
        <v>Valid</v>
      </c>
      <c r="S149" s="17" t="str">
        <f aca="false">IF(R149="Valid","",IF(R149="Duplicate - Exclude","Repeat of an earlier Order ID",IF(B149="","Date missing or unreadable",IF(H149="","Quantity missing or unreadable",IF(I149="","Unit price missing or unreadable","Order ID missing")))))</f>
        <v/>
      </c>
    </row>
    <row r="150" customFormat="false" ht="15" hidden="false" customHeight="true" outlineLevel="0" collapsed="false">
      <c r="A150" s="9" t="str">
        <f aca="false">UPPER(TRIM(Raw_Data!A150))</f>
        <v>ORD-1148</v>
      </c>
      <c r="B150" s="10" t="n">
        <f aca="false">IFERROR(IF(ISNUMBER(Raw_Data!B150),Raw_Data!B150,IF(ISNUMBER(FIND("/",Raw_Data!B150)),DATE(VALUE(RIGHT(TRIM(Raw_Data!B150),4)),VALUE(MID(TRIM(Raw_Data!B150),4,2)),VALUE(LEFT(TRIM(Raw_Data!B150),2))),IF(MID(TRIM(Raw_Data!B150),5,1)="-",DATE(VALUE(LEFT(TRIM(Raw_Data!B150),4)),VALUE(MID(TRIM(Raw_Data!B150),6,2)),VALUE(RIGHT(TRIM(Raw_Data!B150),2))),DATE(VALUE(RIGHT(TRIM(Raw_Data!B150),4)),MATCH(MID(TRIM(Raw_Data!B150),4,3),{"Jan","Feb","Mar","Apr","May","Jun","Jul","Aug","Sep","Oct","Nov","Dec"},0),VALUE(LEFT(TRIM(Raw_Data!B150),2)))))),"")</f>
        <v>45766</v>
      </c>
      <c r="C150" s="9" t="str">
        <f aca="false">IF(TRIM(Raw_Data!C150)="","Unknown",PROPER(TRIM(Raw_Data!C150)))</f>
        <v>Fatima Qureshi</v>
      </c>
      <c r="D150" s="9" t="str">
        <f aca="false">IFERROR(INDEX({"Punjab","Sindh","KPK","Balochistan"},MATCH(UPPER(LEFT(TRIM(Raw_Data!D150),1)),{"P","S","K","B"},0)),IFERROR(INDEX(Data_Dictionary!$G$4:$G$16,MATCH(E150,Data_Dictionary!$F$4:$F$16,0)),"Unassigned"))</f>
        <v>KPK</v>
      </c>
      <c r="E150" s="9" t="str">
        <f aca="false">IF(TRIM(Raw_Data!E150)="","Unknown",PROPER(TRIM(Raw_Data!E150)))</f>
        <v>Peshawar</v>
      </c>
      <c r="F150" s="9" t="str">
        <f aca="false">IFERROR(INDEX({"Electronics","Home &amp; Kitchen","Clothing","Groceries","Beauty"},MATCH(UPPER(LEFT(TRIM(Raw_Data!F150),3)),{"ELE","HOM","CLO","GRO","BEA"},0)),"Uncategorised")</f>
        <v>Beauty</v>
      </c>
      <c r="G150" s="9" t="str">
        <f aca="false">IF(TRIM(Raw_Data!G150)="","Unknown",PROPER(TRIM(Raw_Data!G150)))</f>
        <v>Perfume Spray</v>
      </c>
      <c r="H150" s="11" t="n">
        <f aca="false">IFERROR(ABS(VALUE(TRIM(Raw_Data!H150))),"")</f>
        <v>2</v>
      </c>
      <c r="I150" s="12" t="n">
        <f aca="false">IFERROR(VALUE(TRIM(SUBSTITUTE(SUBSTITUTE(SUBSTITUTE(SUBSTITUTE(TRIM(Raw_Data!I150),"PKR",""),"Rs.",""),"Rs",""),",",""))),"")</f>
        <v>4050</v>
      </c>
      <c r="J150" s="13" t="n">
        <f aca="false">IFERROR(IF(TRIM(Raw_Data!J150)="",0,IF(VALUE(TRIM(Raw_Data!J150))&gt;1,VALUE(TRIM(Raw_Data!J150))/100,VALUE(TRIM(Raw_Data!J150)))),0)</f>
        <v>0.1</v>
      </c>
      <c r="K150" s="9" t="str">
        <f aca="false">IF(TRIM(Raw_Data!K150)="","Unassigned",PROPER(TRIM(Raw_Data!K150)))</f>
        <v>Unassigned</v>
      </c>
      <c r="L150" s="9" t="str">
        <f aca="false">IFERROR(INDEX({"Credit Card","Credit Card","Debit Card","Debit Card","Cash","PayPal"},MATCH(UPPER(LEFT(TRIM(Raw_Data!L150),2)),{"CR","CC","DE","DC","CA","PA"},0)),"Other")</f>
        <v>PayPal</v>
      </c>
      <c r="M150" s="9" t="str">
        <f aca="false">IFERROR(INDEX({"Completed","Returned","Cancelled","Pending"},MATCH(UPPER(LEFT(TRIM(Raw_Data!M150),3)),{"COM","RET","CAN","PEN"},0)),"Unknown")</f>
        <v>Completed</v>
      </c>
      <c r="N150" s="14" t="n">
        <f aca="false">IF(OR(H150="",I150=""),"",H150*I150)</f>
        <v>8100</v>
      </c>
      <c r="O150" s="14" t="n">
        <f aca="false">IF(N150="","",N150*J150)</f>
        <v>810</v>
      </c>
      <c r="P150" s="14" t="n">
        <f aca="false">IF(N150="","",N150-O150)</f>
        <v>7290</v>
      </c>
      <c r="Q150" s="15" t="n">
        <f aca="false">IF(B150="","",DATE(YEAR(B150),MONTH(B150),1))</f>
        <v>45748</v>
      </c>
      <c r="R150" s="16" t="str">
        <f aca="false">IF(A150="","Invalid - Exclude",IF(COUNTIF($A$2:A150,A150)&gt;1,"Duplicate - Exclude",IF(OR(B150="",H150="",I150=""),"Invalid - Exclude","Valid")))</f>
        <v>Valid</v>
      </c>
      <c r="S150" s="16" t="str">
        <f aca="false">IF(R150="Valid","",IF(R150="Duplicate - Exclude","Repeat of an earlier Order ID",IF(B150="","Date missing or unreadable",IF(H150="","Quantity missing or unreadable",IF(I150="","Unit price missing or unreadable","Order ID missing")))))</f>
        <v/>
      </c>
    </row>
    <row r="151" customFormat="false" ht="15" hidden="false" customHeight="true" outlineLevel="0" collapsed="false">
      <c r="A151" s="17" t="str">
        <f aca="false">UPPER(TRIM(Raw_Data!A151))</f>
        <v>ORD-1149</v>
      </c>
      <c r="B151" s="18" t="n">
        <f aca="false">IFERROR(IF(ISNUMBER(Raw_Data!B151),Raw_Data!B151,IF(ISNUMBER(FIND("/",Raw_Data!B151)),DATE(VALUE(RIGHT(TRIM(Raw_Data!B151),4)),VALUE(MID(TRIM(Raw_Data!B151),4,2)),VALUE(LEFT(TRIM(Raw_Data!B151),2))),IF(MID(TRIM(Raw_Data!B151),5,1)="-",DATE(VALUE(LEFT(TRIM(Raw_Data!B151),4)),VALUE(MID(TRIM(Raw_Data!B151),6,2)),VALUE(RIGHT(TRIM(Raw_Data!B151),2))),DATE(VALUE(RIGHT(TRIM(Raw_Data!B151),4)),MATCH(MID(TRIM(Raw_Data!B151),4,3),{"Jan","Feb","Mar","Apr","May","Jun","Jul","Aug","Sep","Oct","Nov","Dec"},0),VALUE(LEFT(TRIM(Raw_Data!B151),2)))))),"")</f>
        <v>45942</v>
      </c>
      <c r="C151" s="17" t="str">
        <f aca="false">IF(TRIM(Raw_Data!C151)="","Unknown",PROPER(TRIM(Raw_Data!C151)))</f>
        <v>Tariq Qureshi</v>
      </c>
      <c r="D151" s="17" t="str">
        <f aca="false">IFERROR(INDEX({"Punjab","Sindh","KPK","Balochistan"},MATCH(UPPER(LEFT(TRIM(Raw_Data!D151),1)),{"P","S","K","B"},0)),IFERROR(INDEX(Data_Dictionary!$G$4:$G$16,MATCH(E151,Data_Dictionary!$F$4:$F$16,0)),"Unassigned"))</f>
        <v>Punjab</v>
      </c>
      <c r="E151" s="17" t="str">
        <f aca="false">IF(TRIM(Raw_Data!E151)="","Unknown",PROPER(TRIM(Raw_Data!E151)))</f>
        <v>Rawalpindi</v>
      </c>
      <c r="F151" s="17" t="str">
        <f aca="false">IFERROR(INDEX({"Electronics","Home &amp; Kitchen","Clothing","Groceries","Beauty"},MATCH(UPPER(LEFT(TRIM(Raw_Data!F151),3)),{"ELE","HOM","CLO","GRO","BEA"},0)),"Uncategorised")</f>
        <v>Groceries</v>
      </c>
      <c r="G151" s="17" t="str">
        <f aca="false">IF(TRIM(Raw_Data!G151)="","Unknown",PROPER(TRIM(Raw_Data!G151)))</f>
        <v>Black Tea Pack</v>
      </c>
      <c r="H151" s="19" t="n">
        <f aca="false">IFERROR(ABS(VALUE(TRIM(Raw_Data!H151))),"")</f>
        <v>2</v>
      </c>
      <c r="I151" s="20" t="n">
        <f aca="false">IFERROR(VALUE(TRIM(SUBSTITUTE(SUBSTITUTE(SUBSTITUTE(SUBSTITUTE(TRIM(Raw_Data!I151),"PKR",""),"Rs.",""),"Rs",""),",",""))),"")</f>
        <v>1550</v>
      </c>
      <c r="J151" s="21" t="n">
        <f aca="false">IFERROR(IF(TRIM(Raw_Data!J151)="",0,IF(VALUE(TRIM(Raw_Data!J151))&gt;1,VALUE(TRIM(Raw_Data!J151))/100,VALUE(TRIM(Raw_Data!J151)))),0)</f>
        <v>0.2</v>
      </c>
      <c r="K151" s="17" t="str">
        <f aca="false">IF(TRIM(Raw_Data!K151)="","Unassigned",PROPER(TRIM(Raw_Data!K151)))</f>
        <v>Sadia Noor</v>
      </c>
      <c r="L151" s="17" t="str">
        <f aca="false">IFERROR(INDEX({"Credit Card","Credit Card","Debit Card","Debit Card","Cash","PayPal"},MATCH(UPPER(LEFT(TRIM(Raw_Data!L151),2)),{"CR","CC","DE","DC","CA","PA"},0)),"Other")</f>
        <v>Cash</v>
      </c>
      <c r="M151" s="17" t="str">
        <f aca="false">IFERROR(INDEX({"Completed","Returned","Cancelled","Pending"},MATCH(UPPER(LEFT(TRIM(Raw_Data!M151),3)),{"COM","RET","CAN","PEN"},0)),"Unknown")</f>
        <v>Completed</v>
      </c>
      <c r="N151" s="20" t="n">
        <f aca="false">IF(OR(H151="",I151=""),"",H151*I151)</f>
        <v>3100</v>
      </c>
      <c r="O151" s="20" t="n">
        <f aca="false">IF(N151="","",N151*J151)</f>
        <v>620</v>
      </c>
      <c r="P151" s="20" t="n">
        <f aca="false">IF(N151="","",N151-O151)</f>
        <v>2480</v>
      </c>
      <c r="Q151" s="22" t="n">
        <f aca="false">IF(B151="","",DATE(YEAR(B151),MONTH(B151),1))</f>
        <v>45931</v>
      </c>
      <c r="R151" s="17" t="str">
        <f aca="false">IF(A151="","Invalid - Exclude",IF(COUNTIF($A$2:A151,A151)&gt;1,"Duplicate - Exclude",IF(OR(B151="",H151="",I151=""),"Invalid - Exclude","Valid")))</f>
        <v>Valid</v>
      </c>
      <c r="S151" s="17" t="str">
        <f aca="false">IF(R151="Valid","",IF(R151="Duplicate - Exclude","Repeat of an earlier Order ID",IF(B151="","Date missing or unreadable",IF(H151="","Quantity missing or unreadable",IF(I151="","Unit price missing or unreadable","Order ID missing")))))</f>
        <v/>
      </c>
    </row>
    <row r="152" customFormat="false" ht="15" hidden="false" customHeight="true" outlineLevel="0" collapsed="false">
      <c r="A152" s="9" t="str">
        <f aca="false">UPPER(TRIM(Raw_Data!A152))</f>
        <v>ORD-1150</v>
      </c>
      <c r="B152" s="10" t="n">
        <f aca="false">IFERROR(IF(ISNUMBER(Raw_Data!B152),Raw_Data!B152,IF(ISNUMBER(FIND("/",Raw_Data!B152)),DATE(VALUE(RIGHT(TRIM(Raw_Data!B152),4)),VALUE(MID(TRIM(Raw_Data!B152),4,2)),VALUE(LEFT(TRIM(Raw_Data!B152),2))),IF(MID(TRIM(Raw_Data!B152),5,1)="-",DATE(VALUE(LEFT(TRIM(Raw_Data!B152),4)),VALUE(MID(TRIM(Raw_Data!B152),6,2)),VALUE(RIGHT(TRIM(Raw_Data!B152),2))),DATE(VALUE(RIGHT(TRIM(Raw_Data!B152),4)),MATCH(MID(TRIM(Raw_Data!B152),4,3),{"Jan","Feb","Mar","Apr","May","Jun","Jul","Aug","Sep","Oct","Nov","Dec"},0),VALUE(LEFT(TRIM(Raw_Data!B152),2)))))),"")</f>
        <v>45992</v>
      </c>
      <c r="C152" s="9" t="str">
        <f aca="false">IF(TRIM(Raw_Data!C152)="","Unknown",PROPER(TRIM(Raw_Data!C152)))</f>
        <v>Hina Malik</v>
      </c>
      <c r="D152" s="9" t="str">
        <f aca="false">IFERROR(INDEX({"Punjab","Sindh","KPK","Balochistan"},MATCH(UPPER(LEFT(TRIM(Raw_Data!D152),1)),{"P","S","K","B"},0)),IFERROR(INDEX(Data_Dictionary!$G$4:$G$16,MATCH(E152,Data_Dictionary!$F$4:$F$16,0)),"Unassigned"))</f>
        <v>Punjab</v>
      </c>
      <c r="E152" s="9" t="str">
        <f aca="false">IF(TRIM(Raw_Data!E152)="","Unknown",PROPER(TRIM(Raw_Data!E152)))</f>
        <v>Rawalpindi</v>
      </c>
      <c r="F152" s="9" t="str">
        <f aca="false">IFERROR(INDEX({"Electronics","Home &amp; Kitchen","Clothing","Groceries","Beauty"},MATCH(UPPER(LEFT(TRIM(Raw_Data!F152),3)),{"ELE","HOM","CLO","GRO","BEA"},0)),"Uncategorised")</f>
        <v>Home &amp; Kitchen</v>
      </c>
      <c r="G152" s="9" t="str">
        <f aca="false">IF(TRIM(Raw_Data!G152)="","Unknown",PROPER(TRIM(Raw_Data!G152)))</f>
        <v>Hand Blender</v>
      </c>
      <c r="H152" s="11" t="n">
        <f aca="false">IFERROR(ABS(VALUE(TRIM(Raw_Data!H152))),"")</f>
        <v>3</v>
      </c>
      <c r="I152" s="12" t="n">
        <f aca="false">IFERROR(VALUE(TRIM(SUBSTITUTE(SUBSTITUTE(SUBSTITUTE(SUBSTITUTE(TRIM(Raw_Data!I152),"PKR",""),"Rs.",""),"Rs",""),",",""))),"")</f>
        <v>3650</v>
      </c>
      <c r="J152" s="13" t="n">
        <f aca="false">IFERROR(IF(TRIM(Raw_Data!J152)="",0,IF(VALUE(TRIM(Raw_Data!J152))&gt;1,VALUE(TRIM(Raw_Data!J152))/100,VALUE(TRIM(Raw_Data!J152)))),0)</f>
        <v>0</v>
      </c>
      <c r="K152" s="9" t="str">
        <f aca="false">IF(TRIM(Raw_Data!K152)="","Unassigned",PROPER(TRIM(Raw_Data!K152)))</f>
        <v>Nimra Aslam</v>
      </c>
      <c r="L152" s="9" t="str">
        <f aca="false">IFERROR(INDEX({"Credit Card","Credit Card","Debit Card","Debit Card","Cash","PayPal"},MATCH(UPPER(LEFT(TRIM(Raw_Data!L152),2)),{"CR","CC","DE","DC","CA","PA"},0)),"Other")</f>
        <v>PayPal</v>
      </c>
      <c r="M152" s="9" t="str">
        <f aca="false">IFERROR(INDEX({"Completed","Returned","Cancelled","Pending"},MATCH(UPPER(LEFT(TRIM(Raw_Data!M152),3)),{"COM","RET","CAN","PEN"},0)),"Unknown")</f>
        <v>Returned</v>
      </c>
      <c r="N152" s="14" t="n">
        <f aca="false">IF(OR(H152="",I152=""),"",H152*I152)</f>
        <v>10950</v>
      </c>
      <c r="O152" s="14" t="n">
        <f aca="false">IF(N152="","",N152*J152)</f>
        <v>0</v>
      </c>
      <c r="P152" s="14" t="n">
        <f aca="false">IF(N152="","",N152-O152)</f>
        <v>10950</v>
      </c>
      <c r="Q152" s="15" t="n">
        <f aca="false">IF(B152="","",DATE(YEAR(B152),MONTH(B152),1))</f>
        <v>45992</v>
      </c>
      <c r="R152" s="16" t="str">
        <f aca="false">IF(A152="","Invalid - Exclude",IF(COUNTIF($A$2:A152,A152)&gt;1,"Duplicate - Exclude",IF(OR(B152="",H152="",I152=""),"Invalid - Exclude","Valid")))</f>
        <v>Valid</v>
      </c>
      <c r="S152" s="16" t="str">
        <f aca="false">IF(R152="Valid","",IF(R152="Duplicate - Exclude","Repeat of an earlier Order ID",IF(B152="","Date missing or unreadable",IF(H152="","Quantity missing or unreadable",IF(I152="","Unit price missing or unreadable","Order ID missing")))))</f>
        <v/>
      </c>
    </row>
    <row r="153" customFormat="false" ht="15" hidden="false" customHeight="true" outlineLevel="0" collapsed="false">
      <c r="A153" s="17" t="str">
        <f aca="false">UPPER(TRIM(Raw_Data!A153))</f>
        <v>ORD-1151</v>
      </c>
      <c r="B153" s="18" t="n">
        <f aca="false">IFERROR(IF(ISNUMBER(Raw_Data!B153),Raw_Data!B153,IF(ISNUMBER(FIND("/",Raw_Data!B153)),DATE(VALUE(RIGHT(TRIM(Raw_Data!B153),4)),VALUE(MID(TRIM(Raw_Data!B153),4,2)),VALUE(LEFT(TRIM(Raw_Data!B153),2))),IF(MID(TRIM(Raw_Data!B153),5,1)="-",DATE(VALUE(LEFT(TRIM(Raw_Data!B153),4)),VALUE(MID(TRIM(Raw_Data!B153),6,2)),VALUE(RIGHT(TRIM(Raw_Data!B153),2))),DATE(VALUE(RIGHT(TRIM(Raw_Data!B153),4)),MATCH(MID(TRIM(Raw_Data!B153),4,3),{"Jan","Feb","Mar","Apr","May","Jun","Jul","Aug","Sep","Oct","Nov","Dec"},0),VALUE(LEFT(TRIM(Raw_Data!B153),2)))))),"")</f>
        <v>45867</v>
      </c>
      <c r="C153" s="17" t="str">
        <f aca="false">IF(TRIM(Raw_Data!C153)="","Unknown",PROPER(TRIM(Raw_Data!C153)))</f>
        <v>Hamza Malik</v>
      </c>
      <c r="D153" s="17" t="str">
        <f aca="false">IFERROR(INDEX({"Punjab","Sindh","KPK","Balochistan"},MATCH(UPPER(LEFT(TRIM(Raw_Data!D153),1)),{"P","S","K","B"},0)),IFERROR(INDEX(Data_Dictionary!$G$4:$G$16,MATCH(E153,Data_Dictionary!$F$4:$F$16,0)),"Unassigned"))</f>
        <v>Punjab</v>
      </c>
      <c r="E153" s="17" t="str">
        <f aca="false">IF(TRIM(Raw_Data!E153)="","Unknown",PROPER(TRIM(Raw_Data!E153)))</f>
        <v>Faisalabad</v>
      </c>
      <c r="F153" s="17" t="str">
        <f aca="false">IFERROR(INDEX({"Electronics","Home &amp; Kitchen","Clothing","Groceries","Beauty"},MATCH(UPPER(LEFT(TRIM(Raw_Data!F153),3)),{"ELE","HOM","CLO","GRO","BEA"},0)),"Uncategorised")</f>
        <v>Electronics</v>
      </c>
      <c r="G153" s="17" t="str">
        <f aca="false">IF(TRIM(Raw_Data!G153)="","Unknown",PROPER(TRIM(Raw_Data!G153)))</f>
        <v>Smart Television 43 Inch</v>
      </c>
      <c r="H153" s="19" t="n">
        <f aca="false">IFERROR(ABS(VALUE(TRIM(Raw_Data!H153))),"")</f>
        <v>2</v>
      </c>
      <c r="I153" s="20" t="n">
        <f aca="false">IFERROR(VALUE(TRIM(SUBSTITUTE(SUBSTITUTE(SUBSTITUTE(SUBSTITUTE(TRIM(Raw_Data!I153),"PKR",""),"Rs.",""),"Rs",""),",",""))),"")</f>
        <v>52650</v>
      </c>
      <c r="J153" s="21" t="n">
        <f aca="false">IFERROR(IF(TRIM(Raw_Data!J153)="",0,IF(VALUE(TRIM(Raw_Data!J153))&gt;1,VALUE(TRIM(Raw_Data!J153))/100,VALUE(TRIM(Raw_Data!J153)))),0)</f>
        <v>0</v>
      </c>
      <c r="K153" s="17" t="str">
        <f aca="false">IF(TRIM(Raw_Data!K153)="","Unassigned",PROPER(TRIM(Raw_Data!K153)))</f>
        <v>Waqar Ahmed</v>
      </c>
      <c r="L153" s="17" t="str">
        <f aca="false">IFERROR(INDEX({"Credit Card","Credit Card","Debit Card","Debit Card","Cash","PayPal"},MATCH(UPPER(LEFT(TRIM(Raw_Data!L153),2)),{"CR","CC","DE","DC","CA","PA"},0)),"Other")</f>
        <v>Cash</v>
      </c>
      <c r="M153" s="17" t="str">
        <f aca="false">IFERROR(INDEX({"Completed","Returned","Cancelled","Pending"},MATCH(UPPER(LEFT(TRIM(Raw_Data!M153),3)),{"COM","RET","CAN","PEN"},0)),"Unknown")</f>
        <v>Completed</v>
      </c>
      <c r="N153" s="20" t="n">
        <f aca="false">IF(OR(H153="",I153=""),"",H153*I153)</f>
        <v>105300</v>
      </c>
      <c r="O153" s="20" t="n">
        <f aca="false">IF(N153="","",N153*J153)</f>
        <v>0</v>
      </c>
      <c r="P153" s="20" t="n">
        <f aca="false">IF(N153="","",N153-O153)</f>
        <v>105300</v>
      </c>
      <c r="Q153" s="22" t="n">
        <f aca="false">IF(B153="","",DATE(YEAR(B153),MONTH(B153),1))</f>
        <v>45839</v>
      </c>
      <c r="R153" s="17" t="str">
        <f aca="false">IF(A153="","Invalid - Exclude",IF(COUNTIF($A$2:A153,A153)&gt;1,"Duplicate - Exclude",IF(OR(B153="",H153="",I153=""),"Invalid - Exclude","Valid")))</f>
        <v>Valid</v>
      </c>
      <c r="S153" s="17" t="str">
        <f aca="false">IF(R153="Valid","",IF(R153="Duplicate - Exclude","Repeat of an earlier Order ID",IF(B153="","Date missing or unreadable",IF(H153="","Quantity missing or unreadable",IF(I153="","Unit price missing or unreadable","Order ID missing")))))</f>
        <v/>
      </c>
    </row>
    <row r="154" customFormat="false" ht="15" hidden="false" customHeight="true" outlineLevel="0" collapsed="false">
      <c r="A154" s="9" t="str">
        <f aca="false">UPPER(TRIM(Raw_Data!A154))</f>
        <v>ORD-1152</v>
      </c>
      <c r="B154" s="10" t="n">
        <f aca="false">IFERROR(IF(ISNUMBER(Raw_Data!B154),Raw_Data!B154,IF(ISNUMBER(FIND("/",Raw_Data!B154)),DATE(VALUE(RIGHT(TRIM(Raw_Data!B154),4)),VALUE(MID(TRIM(Raw_Data!B154),4,2)),VALUE(LEFT(TRIM(Raw_Data!B154),2))),IF(MID(TRIM(Raw_Data!B154),5,1)="-",DATE(VALUE(LEFT(TRIM(Raw_Data!B154),4)),VALUE(MID(TRIM(Raw_Data!B154),6,2)),VALUE(RIGHT(TRIM(Raw_Data!B154),2))),DATE(VALUE(RIGHT(TRIM(Raw_Data!B154),4)),MATCH(MID(TRIM(Raw_Data!B154),4,3),{"Jan","Feb","Mar","Apr","May","Jun","Jul","Aug","Sep","Oct","Nov","Dec"},0),VALUE(LEFT(TRIM(Raw_Data!B154),2)))))),"")</f>
        <v>45668</v>
      </c>
      <c r="C154" s="9" t="str">
        <f aca="false">IF(TRIM(Raw_Data!C154)="","Unknown",PROPER(TRIM(Raw_Data!C154)))</f>
        <v>Ayesha Qureshi</v>
      </c>
      <c r="D154" s="9" t="str">
        <f aca="false">IFERROR(INDEX({"Punjab","Sindh","KPK","Balochistan"},MATCH(UPPER(LEFT(TRIM(Raw_Data!D154),1)),{"P","S","K","B"},0)),IFERROR(INDEX(Data_Dictionary!$G$4:$G$16,MATCH(E154,Data_Dictionary!$F$4:$F$16,0)),"Unassigned"))</f>
        <v>Punjab</v>
      </c>
      <c r="E154" s="9" t="str">
        <f aca="false">IF(TRIM(Raw_Data!E154)="","Unknown",PROPER(TRIM(Raw_Data!E154)))</f>
        <v>Lahore</v>
      </c>
      <c r="F154" s="9" t="str">
        <f aca="false">IFERROR(INDEX({"Electronics","Home &amp; Kitchen","Clothing","Groceries","Beauty"},MATCH(UPPER(LEFT(TRIM(Raw_Data!F154),3)),{"ELE","HOM","CLO","GRO","BEA"},0)),"Uncategorised")</f>
        <v>Beauty</v>
      </c>
      <c r="G154" s="9" t="str">
        <f aca="false">IF(TRIM(Raw_Data!G154)="","Unknown",PROPER(TRIM(Raw_Data!G154)))</f>
        <v>Perfume Spray</v>
      </c>
      <c r="H154" s="11" t="n">
        <f aca="false">IFERROR(ABS(VALUE(TRIM(Raw_Data!H154))),"")</f>
        <v>4</v>
      </c>
      <c r="I154" s="12" t="n">
        <f aca="false">IFERROR(VALUE(TRIM(SUBSTITUTE(SUBSTITUTE(SUBSTITUTE(SUBSTITUTE(TRIM(Raw_Data!I154),"PKR",""),"Rs.",""),"Rs",""),",",""))),"")</f>
        <v>3700</v>
      </c>
      <c r="J154" s="13" t="n">
        <f aca="false">IFERROR(IF(TRIM(Raw_Data!J154)="",0,IF(VALUE(TRIM(Raw_Data!J154))&gt;1,VALUE(TRIM(Raw_Data!J154))/100,VALUE(TRIM(Raw_Data!J154)))),0)</f>
        <v>0</v>
      </c>
      <c r="K154" s="9" t="str">
        <f aca="false">IF(TRIM(Raw_Data!K154)="","Unassigned",PROPER(TRIM(Raw_Data!K154)))</f>
        <v>Faisal Mehmood</v>
      </c>
      <c r="L154" s="9" t="str">
        <f aca="false">IFERROR(INDEX({"Credit Card","Credit Card","Debit Card","Debit Card","Cash","PayPal"},MATCH(UPPER(LEFT(TRIM(Raw_Data!L154),2)),{"CR","CC","DE","DC","CA","PA"},0)),"Other")</f>
        <v>Cash</v>
      </c>
      <c r="M154" s="9" t="str">
        <f aca="false">IFERROR(INDEX({"Completed","Returned","Cancelled","Pending"},MATCH(UPPER(LEFT(TRIM(Raw_Data!M154),3)),{"COM","RET","CAN","PEN"},0)),"Unknown")</f>
        <v>Completed</v>
      </c>
      <c r="N154" s="14" t="n">
        <f aca="false">IF(OR(H154="",I154=""),"",H154*I154)</f>
        <v>14800</v>
      </c>
      <c r="O154" s="14" t="n">
        <f aca="false">IF(N154="","",N154*J154)</f>
        <v>0</v>
      </c>
      <c r="P154" s="14" t="n">
        <f aca="false">IF(N154="","",N154-O154)</f>
        <v>14800</v>
      </c>
      <c r="Q154" s="15" t="n">
        <f aca="false">IF(B154="","",DATE(YEAR(B154),MONTH(B154),1))</f>
        <v>45658</v>
      </c>
      <c r="R154" s="16" t="str">
        <f aca="false">IF(A154="","Invalid - Exclude",IF(COUNTIF($A$2:A154,A154)&gt;1,"Duplicate - Exclude",IF(OR(B154="",H154="",I154=""),"Invalid - Exclude","Valid")))</f>
        <v>Valid</v>
      </c>
      <c r="S154" s="16" t="str">
        <f aca="false">IF(R154="Valid","",IF(R154="Duplicate - Exclude","Repeat of an earlier Order ID",IF(B154="","Date missing or unreadable",IF(H154="","Quantity missing or unreadable",IF(I154="","Unit price missing or unreadable","Order ID missing")))))</f>
        <v/>
      </c>
    </row>
    <row r="155" customFormat="false" ht="15" hidden="false" customHeight="true" outlineLevel="0" collapsed="false">
      <c r="A155" s="17" t="str">
        <f aca="false">UPPER(TRIM(Raw_Data!A155))</f>
        <v>ORD-1153</v>
      </c>
      <c r="B155" s="18" t="n">
        <f aca="false">IFERROR(IF(ISNUMBER(Raw_Data!B155),Raw_Data!B155,IF(ISNUMBER(FIND("/",Raw_Data!B155)),DATE(VALUE(RIGHT(TRIM(Raw_Data!B155),4)),VALUE(MID(TRIM(Raw_Data!B155),4,2)),VALUE(LEFT(TRIM(Raw_Data!B155),2))),IF(MID(TRIM(Raw_Data!B155),5,1)="-",DATE(VALUE(LEFT(TRIM(Raw_Data!B155),4)),VALUE(MID(TRIM(Raw_Data!B155),6,2)),VALUE(RIGHT(TRIM(Raw_Data!B155),2))),DATE(VALUE(RIGHT(TRIM(Raw_Data!B155),4)),MATCH(MID(TRIM(Raw_Data!B155),4,3),{"Jan","Feb","Mar","Apr","May","Jun","Jul","Aug","Sep","Oct","Nov","Dec"},0),VALUE(LEFT(TRIM(Raw_Data!B155),2)))))),"")</f>
        <v>45674</v>
      </c>
      <c r="C155" s="17" t="str">
        <f aca="false">IF(TRIM(Raw_Data!C155)="","Unknown",PROPER(TRIM(Raw_Data!C155)))</f>
        <v>Hamza Hussain</v>
      </c>
      <c r="D155" s="17" t="str">
        <f aca="false">IFERROR(INDEX({"Punjab","Sindh","KPK","Balochistan"},MATCH(UPPER(LEFT(TRIM(Raw_Data!D155),1)),{"P","S","K","B"},0)),IFERROR(INDEX(Data_Dictionary!$G$4:$G$16,MATCH(E155,Data_Dictionary!$F$4:$F$16,0)),"Unassigned"))</f>
        <v>KPK</v>
      </c>
      <c r="E155" s="17" t="str">
        <f aca="false">IF(TRIM(Raw_Data!E155)="","Unknown",PROPER(TRIM(Raw_Data!E155)))</f>
        <v>Peshawar</v>
      </c>
      <c r="F155" s="17" t="str">
        <f aca="false">IFERROR(INDEX({"Electronics","Home &amp; Kitchen","Clothing","Groceries","Beauty"},MATCH(UPPER(LEFT(TRIM(Raw_Data!F155),3)),{"ELE","HOM","CLO","GRO","BEA"},0)),"Uncategorised")</f>
        <v>Clothing</v>
      </c>
      <c r="G155" s="17" t="str">
        <f aca="false">IF(TRIM(Raw_Data!G155)="","Unknown",PROPER(TRIM(Raw_Data!G155)))</f>
        <v>Winter Jacket</v>
      </c>
      <c r="H155" s="19" t="n">
        <f aca="false">IFERROR(ABS(VALUE(TRIM(Raw_Data!H155))),"")</f>
        <v>3</v>
      </c>
      <c r="I155" s="20" t="n">
        <f aca="false">IFERROR(VALUE(TRIM(SUBSTITUTE(SUBSTITUTE(SUBSTITUTE(SUBSTITUTE(TRIM(Raw_Data!I155),"PKR",""),"Rs.",""),"Rs",""),",",""))),"")</f>
        <v>9350</v>
      </c>
      <c r="J155" s="21" t="n">
        <f aca="false">IFERROR(IF(TRIM(Raw_Data!J155)="",0,IF(VALUE(TRIM(Raw_Data!J155))&gt;1,VALUE(TRIM(Raw_Data!J155))/100,VALUE(TRIM(Raw_Data!J155)))),0)</f>
        <v>0.15</v>
      </c>
      <c r="K155" s="17" t="str">
        <f aca="false">IF(TRIM(Raw_Data!K155)="","Unassigned",PROPER(TRIM(Raw_Data!K155)))</f>
        <v>Imran Shah</v>
      </c>
      <c r="L155" s="17" t="str">
        <f aca="false">IFERROR(INDEX({"Credit Card","Credit Card","Debit Card","Debit Card","Cash","PayPal"},MATCH(UPPER(LEFT(TRIM(Raw_Data!L155),2)),{"CR","CC","DE","DC","CA","PA"},0)),"Other")</f>
        <v>Cash</v>
      </c>
      <c r="M155" s="17" t="str">
        <f aca="false">IFERROR(INDEX({"Completed","Returned","Cancelled","Pending"},MATCH(UPPER(LEFT(TRIM(Raw_Data!M155),3)),{"COM","RET","CAN","PEN"},0)),"Unknown")</f>
        <v>Completed</v>
      </c>
      <c r="N155" s="20" t="n">
        <f aca="false">IF(OR(H155="",I155=""),"",H155*I155)</f>
        <v>28050</v>
      </c>
      <c r="O155" s="20" t="n">
        <f aca="false">IF(N155="","",N155*J155)</f>
        <v>4207.5</v>
      </c>
      <c r="P155" s="20" t="n">
        <f aca="false">IF(N155="","",N155-O155)</f>
        <v>23842.5</v>
      </c>
      <c r="Q155" s="22" t="n">
        <f aca="false">IF(B155="","",DATE(YEAR(B155),MONTH(B155),1))</f>
        <v>45658</v>
      </c>
      <c r="R155" s="17" t="str">
        <f aca="false">IF(A155="","Invalid - Exclude",IF(COUNTIF($A$2:A155,A155)&gt;1,"Duplicate - Exclude",IF(OR(B155="",H155="",I155=""),"Invalid - Exclude","Valid")))</f>
        <v>Valid</v>
      </c>
      <c r="S155" s="17" t="str">
        <f aca="false">IF(R155="Valid","",IF(R155="Duplicate - Exclude","Repeat of an earlier Order ID",IF(B155="","Date missing or unreadable",IF(H155="","Quantity missing or unreadable",IF(I155="","Unit price missing or unreadable","Order ID missing")))))</f>
        <v/>
      </c>
    </row>
    <row r="156" customFormat="false" ht="15" hidden="false" customHeight="true" outlineLevel="0" collapsed="false">
      <c r="A156" s="9" t="str">
        <f aca="false">UPPER(TRIM(Raw_Data!A156))</f>
        <v>ORD-1154</v>
      </c>
      <c r="B156" s="10" t="n">
        <f aca="false">IFERROR(IF(ISNUMBER(Raw_Data!B156),Raw_Data!B156,IF(ISNUMBER(FIND("/",Raw_Data!B156)),DATE(VALUE(RIGHT(TRIM(Raw_Data!B156),4)),VALUE(MID(TRIM(Raw_Data!B156),4,2)),VALUE(LEFT(TRIM(Raw_Data!B156),2))),IF(MID(TRIM(Raw_Data!B156),5,1)="-",DATE(VALUE(LEFT(TRIM(Raw_Data!B156),4)),VALUE(MID(TRIM(Raw_Data!B156),6,2)),VALUE(RIGHT(TRIM(Raw_Data!B156),2))),DATE(VALUE(RIGHT(TRIM(Raw_Data!B156),4)),MATCH(MID(TRIM(Raw_Data!B156),4,3),{"Jan","Feb","Mar","Apr","May","Jun","Jul","Aug","Sep","Oct","Nov","Dec"},0),VALUE(LEFT(TRIM(Raw_Data!B156),2)))))),"")</f>
        <v>45759</v>
      </c>
      <c r="C156" s="9" t="str">
        <f aca="false">IF(TRIM(Raw_Data!C156)="","Unknown",PROPER(TRIM(Raw_Data!C156)))</f>
        <v>Bilal Qureshi</v>
      </c>
      <c r="D156" s="9" t="str">
        <f aca="false">IFERROR(INDEX({"Punjab","Sindh","KPK","Balochistan"},MATCH(UPPER(LEFT(TRIM(Raw_Data!D156),1)),{"P","S","K","B"},0)),IFERROR(INDEX(Data_Dictionary!$G$4:$G$16,MATCH(E156,Data_Dictionary!$F$4:$F$16,0)),"Unassigned"))</f>
        <v>Sindh</v>
      </c>
      <c r="E156" s="9" t="str">
        <f aca="false">IF(TRIM(Raw_Data!E156)="","Unknown",PROPER(TRIM(Raw_Data!E156)))</f>
        <v>Karachi</v>
      </c>
      <c r="F156" s="9" t="str">
        <f aca="false">IFERROR(INDEX({"Electronics","Home &amp; Kitchen","Clothing","Groceries","Beauty"},MATCH(UPPER(LEFT(TRIM(Raw_Data!F156),3)),{"ELE","HOM","CLO","GRO","BEA"},0)),"Uncategorised")</f>
        <v>Clothing</v>
      </c>
      <c r="G156" s="9" t="str">
        <f aca="false">IF(TRIM(Raw_Data!G156)="","Unknown",PROPER(TRIM(Raw_Data!G156)))</f>
        <v>Mens Kurta</v>
      </c>
      <c r="H156" s="11" t="n">
        <f aca="false">IFERROR(ABS(VALUE(TRIM(Raw_Data!H156))),"")</f>
        <v>1</v>
      </c>
      <c r="I156" s="12" t="n">
        <f aca="false">IFERROR(VALUE(TRIM(SUBSTITUTE(SUBSTITUTE(SUBSTITUTE(SUBSTITUTE(TRIM(Raw_Data!I156),"PKR",""),"Rs.",""),"Rs",""),",",""))),"")</f>
        <v>3100</v>
      </c>
      <c r="J156" s="13" t="n">
        <f aca="false">IFERROR(IF(TRIM(Raw_Data!J156)="",0,IF(VALUE(TRIM(Raw_Data!J156))&gt;1,VALUE(TRIM(Raw_Data!J156))/100,VALUE(TRIM(Raw_Data!J156)))),0)</f>
        <v>0.1</v>
      </c>
      <c r="K156" s="9" t="str">
        <f aca="false">IF(TRIM(Raw_Data!K156)="","Unassigned",PROPER(TRIM(Raw_Data!K156)))</f>
        <v>Faisal Mehmood</v>
      </c>
      <c r="L156" s="9" t="str">
        <f aca="false">IFERROR(INDEX({"Credit Card","Credit Card","Debit Card","Debit Card","Cash","PayPal"},MATCH(UPPER(LEFT(TRIM(Raw_Data!L156),2)),{"CR","CC","DE","DC","CA","PA"},0)),"Other")</f>
        <v>Credit Card</v>
      </c>
      <c r="M156" s="9" t="str">
        <f aca="false">IFERROR(INDEX({"Completed","Returned","Cancelled","Pending"},MATCH(UPPER(LEFT(TRIM(Raw_Data!M156),3)),{"COM","RET","CAN","PEN"},0)),"Unknown")</f>
        <v>Completed</v>
      </c>
      <c r="N156" s="14" t="n">
        <f aca="false">IF(OR(H156="",I156=""),"",H156*I156)</f>
        <v>3100</v>
      </c>
      <c r="O156" s="14" t="n">
        <f aca="false">IF(N156="","",N156*J156)</f>
        <v>310</v>
      </c>
      <c r="P156" s="14" t="n">
        <f aca="false">IF(N156="","",N156-O156)</f>
        <v>2790</v>
      </c>
      <c r="Q156" s="15" t="n">
        <f aca="false">IF(B156="","",DATE(YEAR(B156),MONTH(B156),1))</f>
        <v>45748</v>
      </c>
      <c r="R156" s="16" t="str">
        <f aca="false">IF(A156="","Invalid - Exclude",IF(COUNTIF($A$2:A156,A156)&gt;1,"Duplicate - Exclude",IF(OR(B156="",H156="",I156=""),"Invalid - Exclude","Valid")))</f>
        <v>Valid</v>
      </c>
      <c r="S156" s="16" t="str">
        <f aca="false">IF(R156="Valid","",IF(R156="Duplicate - Exclude","Repeat of an earlier Order ID",IF(B156="","Date missing or unreadable",IF(H156="","Quantity missing or unreadable",IF(I156="","Unit price missing or unreadable","Order ID missing")))))</f>
        <v/>
      </c>
    </row>
    <row r="157" customFormat="false" ht="15" hidden="false" customHeight="true" outlineLevel="0" collapsed="false">
      <c r="A157" s="17" t="str">
        <f aca="false">UPPER(TRIM(Raw_Data!A157))</f>
        <v>ORD-1155</v>
      </c>
      <c r="B157" s="18" t="n">
        <f aca="false">IFERROR(IF(ISNUMBER(Raw_Data!B157),Raw_Data!B157,IF(ISNUMBER(FIND("/",Raw_Data!B157)),DATE(VALUE(RIGHT(TRIM(Raw_Data!B157),4)),VALUE(MID(TRIM(Raw_Data!B157),4,2)),VALUE(LEFT(TRIM(Raw_Data!B157),2))),IF(MID(TRIM(Raw_Data!B157),5,1)="-",DATE(VALUE(LEFT(TRIM(Raw_Data!B157),4)),VALUE(MID(TRIM(Raw_Data!B157),6,2)),VALUE(RIGHT(TRIM(Raw_Data!B157),2))),DATE(VALUE(RIGHT(TRIM(Raw_Data!B157),4)),MATCH(MID(TRIM(Raw_Data!B157),4,3),{"Jan","Feb","Mar","Apr","May","Jun","Jul","Aug","Sep","Oct","Nov","Dec"},0),VALUE(LEFT(TRIM(Raw_Data!B157),2)))))),"")</f>
        <v>45686</v>
      </c>
      <c r="C157" s="17" t="str">
        <f aca="false">IF(TRIM(Raw_Data!C157)="","Unknown",PROPER(TRIM(Raw_Data!C157)))</f>
        <v>Saad Chaudhry</v>
      </c>
      <c r="D157" s="17" t="str">
        <f aca="false">IFERROR(INDEX({"Punjab","Sindh","KPK","Balochistan"},MATCH(UPPER(LEFT(TRIM(Raw_Data!D157),1)),{"P","S","K","B"},0)),IFERROR(INDEX(Data_Dictionary!$G$4:$G$16,MATCH(E157,Data_Dictionary!$F$4:$F$16,0)),"Unassigned"))</f>
        <v>Punjab</v>
      </c>
      <c r="E157" s="17" t="str">
        <f aca="false">IF(TRIM(Raw_Data!E157)="","Unknown",PROPER(TRIM(Raw_Data!E157)))</f>
        <v>Lahore</v>
      </c>
      <c r="F157" s="17" t="str">
        <f aca="false">IFERROR(INDEX({"Electronics","Home &amp; Kitchen","Clothing","Groceries","Beauty"},MATCH(UPPER(LEFT(TRIM(Raw_Data!F157),3)),{"ELE","HOM","CLO","GRO","BEA"},0)),"Uncategorised")</f>
        <v>Groceries</v>
      </c>
      <c r="G157" s="17" t="str">
        <f aca="false">IF(TRIM(Raw_Data!G157)="","Unknown",PROPER(TRIM(Raw_Data!G157)))</f>
        <v>Black Tea Pack</v>
      </c>
      <c r="H157" s="19" t="n">
        <f aca="false">IFERROR(ABS(VALUE(TRIM(Raw_Data!H157))),"")</f>
        <v>5</v>
      </c>
      <c r="I157" s="20" t="n">
        <f aca="false">IFERROR(VALUE(TRIM(SUBSTITUTE(SUBSTITUTE(SUBSTITUTE(SUBSTITUTE(TRIM(Raw_Data!I157),"PKR",""),"Rs.",""),"Rs",""),",",""))),"")</f>
        <v>1500</v>
      </c>
      <c r="J157" s="21" t="n">
        <f aca="false">IFERROR(IF(TRIM(Raw_Data!J157)="",0,IF(VALUE(TRIM(Raw_Data!J157))&gt;1,VALUE(TRIM(Raw_Data!J157))/100,VALUE(TRIM(Raw_Data!J157)))),0)</f>
        <v>0.1</v>
      </c>
      <c r="K157" s="17" t="str">
        <f aca="false">IF(TRIM(Raw_Data!K157)="","Unassigned",PROPER(TRIM(Raw_Data!K157)))</f>
        <v>Sadia Noor</v>
      </c>
      <c r="L157" s="17" t="str">
        <f aca="false">IFERROR(INDEX({"Credit Card","Credit Card","Debit Card","Debit Card","Cash","PayPal"},MATCH(UPPER(LEFT(TRIM(Raw_Data!L157),2)),{"CR","CC","DE","DC","CA","PA"},0)),"Other")</f>
        <v>Credit Card</v>
      </c>
      <c r="M157" s="17" t="str">
        <f aca="false">IFERROR(INDEX({"Completed","Returned","Cancelled","Pending"},MATCH(UPPER(LEFT(TRIM(Raw_Data!M157),3)),{"COM","RET","CAN","PEN"},0)),"Unknown")</f>
        <v>Returned</v>
      </c>
      <c r="N157" s="20" t="n">
        <f aca="false">IF(OR(H157="",I157=""),"",H157*I157)</f>
        <v>7500</v>
      </c>
      <c r="O157" s="20" t="n">
        <f aca="false">IF(N157="","",N157*J157)</f>
        <v>750</v>
      </c>
      <c r="P157" s="20" t="n">
        <f aca="false">IF(N157="","",N157-O157)</f>
        <v>6750</v>
      </c>
      <c r="Q157" s="22" t="n">
        <f aca="false">IF(B157="","",DATE(YEAR(B157),MONTH(B157),1))</f>
        <v>45658</v>
      </c>
      <c r="R157" s="17" t="str">
        <f aca="false">IF(A157="","Invalid - Exclude",IF(COUNTIF($A$2:A157,A157)&gt;1,"Duplicate - Exclude",IF(OR(B157="",H157="",I157=""),"Invalid - Exclude","Valid")))</f>
        <v>Valid</v>
      </c>
      <c r="S157" s="17" t="str">
        <f aca="false">IF(R157="Valid","",IF(R157="Duplicate - Exclude","Repeat of an earlier Order ID",IF(B157="","Date missing or unreadable",IF(H157="","Quantity missing or unreadable",IF(I157="","Unit price missing or unreadable","Order ID missing")))))</f>
        <v/>
      </c>
    </row>
    <row r="158" customFormat="false" ht="15" hidden="false" customHeight="true" outlineLevel="0" collapsed="false">
      <c r="A158" s="9" t="str">
        <f aca="false">UPPER(TRIM(Raw_Data!A158))</f>
        <v>ORD-1156</v>
      </c>
      <c r="B158" s="10" t="n">
        <f aca="false">IFERROR(IF(ISNUMBER(Raw_Data!B158),Raw_Data!B158,IF(ISNUMBER(FIND("/",Raw_Data!B158)),DATE(VALUE(RIGHT(TRIM(Raw_Data!B158),4)),VALUE(MID(TRIM(Raw_Data!B158),4,2)),VALUE(LEFT(TRIM(Raw_Data!B158),2))),IF(MID(TRIM(Raw_Data!B158),5,1)="-",DATE(VALUE(LEFT(TRIM(Raw_Data!B158),4)),VALUE(MID(TRIM(Raw_Data!B158),6,2)),VALUE(RIGHT(TRIM(Raw_Data!B158),2))),DATE(VALUE(RIGHT(TRIM(Raw_Data!B158),4)),MATCH(MID(TRIM(Raw_Data!B158),4,3),{"Jan","Feb","Mar","Apr","May","Jun","Jul","Aug","Sep","Oct","Nov","Dec"},0),VALUE(LEFT(TRIM(Raw_Data!B158),2)))))),"")</f>
        <v>45779</v>
      </c>
      <c r="C158" s="9" t="str">
        <f aca="false">IF(TRIM(Raw_Data!C158)="","Unknown",PROPER(TRIM(Raw_Data!C158)))</f>
        <v>Hassan Iqbal</v>
      </c>
      <c r="D158" s="9" t="str">
        <f aca="false">IFERROR(INDEX({"Punjab","Sindh","KPK","Balochistan"},MATCH(UPPER(LEFT(TRIM(Raw_Data!D158),1)),{"P","S","K","B"},0)),IFERROR(INDEX(Data_Dictionary!$G$4:$G$16,MATCH(E158,Data_Dictionary!$F$4:$F$16,0)),"Unassigned"))</f>
        <v>KPK</v>
      </c>
      <c r="E158" s="9" t="str">
        <f aca="false">IF(TRIM(Raw_Data!E158)="","Unknown",PROPER(TRIM(Raw_Data!E158)))</f>
        <v>Mardan</v>
      </c>
      <c r="F158" s="9" t="str">
        <f aca="false">IFERROR(INDEX({"Electronics","Home &amp; Kitchen","Clothing","Groceries","Beauty"},MATCH(UPPER(LEFT(TRIM(Raw_Data!F158),3)),{"ELE","HOM","CLO","GRO","BEA"},0)),"Uncategorised")</f>
        <v>Home &amp; Kitchen</v>
      </c>
      <c r="G158" s="9" t="str">
        <f aca="false">IF(TRIM(Raw_Data!G158)="","Unknown",PROPER(TRIM(Raw_Data!G158)))</f>
        <v>Hand Blender</v>
      </c>
      <c r="H158" s="11" t="n">
        <f aca="false">IFERROR(ABS(VALUE(TRIM(Raw_Data!H158))),"")</f>
        <v>1</v>
      </c>
      <c r="I158" s="12" t="n">
        <f aca="false">IFERROR(VALUE(TRIM(SUBSTITUTE(SUBSTITUTE(SUBSTITUTE(SUBSTITUTE(TRIM(Raw_Data!I158),"PKR",""),"Rs.",""),"Rs",""),",",""))),"")</f>
        <v>3750</v>
      </c>
      <c r="J158" s="13" t="n">
        <f aca="false">IFERROR(IF(TRIM(Raw_Data!J158)="",0,IF(VALUE(TRIM(Raw_Data!J158))&gt;1,VALUE(TRIM(Raw_Data!J158))/100,VALUE(TRIM(Raw_Data!J158)))),0)</f>
        <v>0</v>
      </c>
      <c r="K158" s="9" t="str">
        <f aca="false">IF(TRIM(Raw_Data!K158)="","Unassigned",PROPER(TRIM(Raw_Data!K158)))</f>
        <v>Nimra Aslam</v>
      </c>
      <c r="L158" s="9" t="str">
        <f aca="false">IFERROR(INDEX({"Credit Card","Credit Card","Debit Card","Debit Card","Cash","PayPal"},MATCH(UPPER(LEFT(TRIM(Raw_Data!L158),2)),{"CR","CC","DE","DC","CA","PA"},0)),"Other")</f>
        <v>Debit Card</v>
      </c>
      <c r="M158" s="9" t="str">
        <f aca="false">IFERROR(INDEX({"Completed","Returned","Cancelled","Pending"},MATCH(UPPER(LEFT(TRIM(Raw_Data!M158),3)),{"COM","RET","CAN","PEN"},0)),"Unknown")</f>
        <v>Completed</v>
      </c>
      <c r="N158" s="14" t="n">
        <f aca="false">IF(OR(H158="",I158=""),"",H158*I158)</f>
        <v>3750</v>
      </c>
      <c r="O158" s="14" t="n">
        <f aca="false">IF(N158="","",N158*J158)</f>
        <v>0</v>
      </c>
      <c r="P158" s="14" t="n">
        <f aca="false">IF(N158="","",N158-O158)</f>
        <v>3750</v>
      </c>
      <c r="Q158" s="15" t="n">
        <f aca="false">IF(B158="","",DATE(YEAR(B158),MONTH(B158),1))</f>
        <v>45778</v>
      </c>
      <c r="R158" s="16" t="str">
        <f aca="false">IF(A158="","Invalid - Exclude",IF(COUNTIF($A$2:A158,A158)&gt;1,"Duplicate - Exclude",IF(OR(B158="",H158="",I158=""),"Invalid - Exclude","Valid")))</f>
        <v>Valid</v>
      </c>
      <c r="S158" s="16" t="str">
        <f aca="false">IF(R158="Valid","",IF(R158="Duplicate - Exclude","Repeat of an earlier Order ID",IF(B158="","Date missing or unreadable",IF(H158="","Quantity missing or unreadable",IF(I158="","Unit price missing or unreadable","Order ID missing")))))</f>
        <v/>
      </c>
    </row>
    <row r="159" customFormat="false" ht="15" hidden="false" customHeight="true" outlineLevel="0" collapsed="false">
      <c r="A159" s="17" t="str">
        <f aca="false">UPPER(TRIM(Raw_Data!A159))</f>
        <v>ORD-1077</v>
      </c>
      <c r="B159" s="18" t="n">
        <f aca="false">IFERROR(IF(ISNUMBER(Raw_Data!B159),Raw_Data!B159,IF(ISNUMBER(FIND("/",Raw_Data!B159)),DATE(VALUE(RIGHT(TRIM(Raw_Data!B159),4)),VALUE(MID(TRIM(Raw_Data!B159),4,2)),VALUE(LEFT(TRIM(Raw_Data!B159),2))),IF(MID(TRIM(Raw_Data!B159),5,1)="-",DATE(VALUE(LEFT(TRIM(Raw_Data!B159),4)),VALUE(MID(TRIM(Raw_Data!B159),6,2)),VALUE(RIGHT(TRIM(Raw_Data!B159),2))),DATE(VALUE(RIGHT(TRIM(Raw_Data!B159),4)),MATCH(MID(TRIM(Raw_Data!B159),4,3),{"Jan","Feb","Mar","Apr","May","Jun","Jul","Aug","Sep","Oct","Nov","Dec"},0),VALUE(LEFT(TRIM(Raw_Data!B159),2)))))),"")</f>
        <v>46002</v>
      </c>
      <c r="C159" s="17" t="str">
        <f aca="false">IF(TRIM(Raw_Data!C159)="","Unknown",PROPER(TRIM(Raw_Data!C159)))</f>
        <v>Sana Raza</v>
      </c>
      <c r="D159" s="17" t="str">
        <f aca="false">IFERROR(INDEX({"Punjab","Sindh","KPK","Balochistan"},MATCH(UPPER(LEFT(TRIM(Raw_Data!D159),1)),{"P","S","K","B"},0)),IFERROR(INDEX(Data_Dictionary!$G$4:$G$16,MATCH(E159,Data_Dictionary!$F$4:$F$16,0)),"Unassigned"))</f>
        <v>Punjab</v>
      </c>
      <c r="E159" s="17" t="str">
        <f aca="false">IF(TRIM(Raw_Data!E159)="","Unknown",PROPER(TRIM(Raw_Data!E159)))</f>
        <v>Multan</v>
      </c>
      <c r="F159" s="17" t="str">
        <f aca="false">IFERROR(INDEX({"Electronics","Home &amp; Kitchen","Clothing","Groceries","Beauty"},MATCH(UPPER(LEFT(TRIM(Raw_Data!F159),3)),{"ELE","HOM","CLO","GRO","BEA"},0)),"Uncategorised")</f>
        <v>Groceries</v>
      </c>
      <c r="G159" s="17" t="str">
        <f aca="false">IF(TRIM(Raw_Data!G159)="","Unknown",PROPER(TRIM(Raw_Data!G159)))</f>
        <v>Black Tea Pack</v>
      </c>
      <c r="H159" s="19" t="n">
        <f aca="false">IFERROR(ABS(VALUE(TRIM(Raw_Data!H159))),"")</f>
        <v>2</v>
      </c>
      <c r="I159" s="20" t="n">
        <f aca="false">IFERROR(VALUE(TRIM(SUBSTITUTE(SUBSTITUTE(SUBSTITUTE(SUBSTITUTE(TRIM(Raw_Data!I159),"PKR",""),"Rs.",""),"Rs",""),",",""))),"")</f>
        <v>1450</v>
      </c>
      <c r="J159" s="21" t="n">
        <f aca="false">IFERROR(IF(TRIM(Raw_Data!J159)="",0,IF(VALUE(TRIM(Raw_Data!J159))&gt;1,VALUE(TRIM(Raw_Data!J159))/100,VALUE(TRIM(Raw_Data!J159)))),0)</f>
        <v>0.05</v>
      </c>
      <c r="K159" s="17" t="str">
        <f aca="false">IF(TRIM(Raw_Data!K159)="","Unassigned",PROPER(TRIM(Raw_Data!K159)))</f>
        <v>Nimra Aslam</v>
      </c>
      <c r="L159" s="17" t="str">
        <f aca="false">IFERROR(INDEX({"Credit Card","Credit Card","Debit Card","Debit Card","Cash","PayPal"},MATCH(UPPER(LEFT(TRIM(Raw_Data!L159),2)),{"CR","CC","DE","DC","CA","PA"},0)),"Other")</f>
        <v>Credit Card</v>
      </c>
      <c r="M159" s="17" t="str">
        <f aca="false">IFERROR(INDEX({"Completed","Returned","Cancelled","Pending"},MATCH(UPPER(LEFT(TRIM(Raw_Data!M159),3)),{"COM","RET","CAN","PEN"},0)),"Unknown")</f>
        <v>Completed</v>
      </c>
      <c r="N159" s="20" t="n">
        <f aca="false">IF(OR(H159="",I159=""),"",H159*I159)</f>
        <v>2900</v>
      </c>
      <c r="O159" s="20" t="n">
        <f aca="false">IF(N159="","",N159*J159)</f>
        <v>145</v>
      </c>
      <c r="P159" s="20" t="n">
        <f aca="false">IF(N159="","",N159-O159)</f>
        <v>2755</v>
      </c>
      <c r="Q159" s="22" t="n">
        <f aca="false">IF(B159="","",DATE(YEAR(B159),MONTH(B159),1))</f>
        <v>45992</v>
      </c>
      <c r="R159" s="17" t="str">
        <f aca="false">IF(A159="","Invalid - Exclude",IF(COUNTIF($A$2:A159,A159)&gt;1,"Duplicate - Exclude",IF(OR(B159="",H159="",I159=""),"Invalid - Exclude","Valid")))</f>
        <v>Duplicate - Exclude</v>
      </c>
      <c r="S159" s="17" t="str">
        <f aca="false">IF(R159="Valid","",IF(R159="Duplicate - Exclude","Repeat of an earlier Order ID",IF(B159="","Date missing or unreadable",IF(H159="","Quantity missing or unreadable",IF(I159="","Unit price missing or unreadable","Order ID missing")))))</f>
        <v>Repeat of an earlier Order ID</v>
      </c>
    </row>
    <row r="160" customFormat="false" ht="15" hidden="false" customHeight="true" outlineLevel="0" collapsed="false">
      <c r="A160" s="9" t="str">
        <f aca="false">UPPER(TRIM(Raw_Data!A160))</f>
        <v>ORD-1157</v>
      </c>
      <c r="B160" s="10" t="n">
        <f aca="false">IFERROR(IF(ISNUMBER(Raw_Data!B160),Raw_Data!B160,IF(ISNUMBER(FIND("/",Raw_Data!B160)),DATE(VALUE(RIGHT(TRIM(Raw_Data!B160),4)),VALUE(MID(TRIM(Raw_Data!B160),4,2)),VALUE(LEFT(TRIM(Raw_Data!B160),2))),IF(MID(TRIM(Raw_Data!B160),5,1)="-",DATE(VALUE(LEFT(TRIM(Raw_Data!B160),4)),VALUE(MID(TRIM(Raw_Data!B160),6,2)),VALUE(RIGHT(TRIM(Raw_Data!B160),2))),DATE(VALUE(RIGHT(TRIM(Raw_Data!B160),4)),MATCH(MID(TRIM(Raw_Data!B160),4,3),{"Jan","Feb","Mar","Apr","May","Jun","Jul","Aug","Sep","Oct","Nov","Dec"},0),VALUE(LEFT(TRIM(Raw_Data!B160),2)))))),"")</f>
        <v>45997</v>
      </c>
      <c r="C160" s="9" t="str">
        <f aca="false">IF(TRIM(Raw_Data!C160)="","Unknown",PROPER(TRIM(Raw_Data!C160)))</f>
        <v>Hassan Butt</v>
      </c>
      <c r="D160" s="9" t="str">
        <f aca="false">IFERROR(INDEX({"Punjab","Sindh","KPK","Balochistan"},MATCH(UPPER(LEFT(TRIM(Raw_Data!D160),1)),{"P","S","K","B"},0)),IFERROR(INDEX(Data_Dictionary!$G$4:$G$16,MATCH(E160,Data_Dictionary!$F$4:$F$16,0)),"Unassigned"))</f>
        <v>Sindh</v>
      </c>
      <c r="E160" s="9" t="str">
        <f aca="false">IF(TRIM(Raw_Data!E160)="","Unknown",PROPER(TRIM(Raw_Data!E160)))</f>
        <v>Karachi</v>
      </c>
      <c r="F160" s="9" t="str">
        <f aca="false">IFERROR(INDEX({"Electronics","Home &amp; Kitchen","Clothing","Groceries","Beauty"},MATCH(UPPER(LEFT(TRIM(Raw_Data!F160),3)),{"ELE","HOM","CLO","GRO","BEA"},0)),"Uncategorised")</f>
        <v>Beauty</v>
      </c>
      <c r="G160" s="9" t="str">
        <f aca="false">IF(TRIM(Raw_Data!G160)="","Unknown",PROPER(TRIM(Raw_Data!G160)))</f>
        <v>Perfume Spray</v>
      </c>
      <c r="H160" s="11" t="n">
        <f aca="false">IFERROR(ABS(VALUE(TRIM(Raw_Data!H160))),"")</f>
        <v>8</v>
      </c>
      <c r="I160" s="12" t="n">
        <f aca="false">IFERROR(VALUE(TRIM(SUBSTITUTE(SUBSTITUTE(SUBSTITUTE(SUBSTITUTE(TRIM(Raw_Data!I160),"PKR",""),"Rs.",""),"Rs",""),",",""))),"")</f>
        <v>3950</v>
      </c>
      <c r="J160" s="13" t="n">
        <f aca="false">IFERROR(IF(TRIM(Raw_Data!J160)="",0,IF(VALUE(TRIM(Raw_Data!J160))&gt;1,VALUE(TRIM(Raw_Data!J160))/100,VALUE(TRIM(Raw_Data!J160)))),0)</f>
        <v>0</v>
      </c>
      <c r="K160" s="9" t="str">
        <f aca="false">IF(TRIM(Raw_Data!K160)="","Unassigned",PROPER(TRIM(Raw_Data!K160)))</f>
        <v>Nimra Aslam</v>
      </c>
      <c r="L160" s="9" t="str">
        <f aca="false">IFERROR(INDEX({"Credit Card","Credit Card","Debit Card","Debit Card","Cash","PayPal"},MATCH(UPPER(LEFT(TRIM(Raw_Data!L160),2)),{"CR","CC","DE","DC","CA","PA"},0)),"Other")</f>
        <v>Cash</v>
      </c>
      <c r="M160" s="9" t="str">
        <f aca="false">IFERROR(INDEX({"Completed","Returned","Cancelled","Pending"},MATCH(UPPER(LEFT(TRIM(Raw_Data!M160),3)),{"COM","RET","CAN","PEN"},0)),"Unknown")</f>
        <v>Pending</v>
      </c>
      <c r="N160" s="14" t="n">
        <f aca="false">IF(OR(H160="",I160=""),"",H160*I160)</f>
        <v>31600</v>
      </c>
      <c r="O160" s="14" t="n">
        <f aca="false">IF(N160="","",N160*J160)</f>
        <v>0</v>
      </c>
      <c r="P160" s="14" t="n">
        <f aca="false">IF(N160="","",N160-O160)</f>
        <v>31600</v>
      </c>
      <c r="Q160" s="15" t="n">
        <f aca="false">IF(B160="","",DATE(YEAR(B160),MONTH(B160),1))</f>
        <v>45992</v>
      </c>
      <c r="R160" s="16" t="str">
        <f aca="false">IF(A160="","Invalid - Exclude",IF(COUNTIF($A$2:A160,A160)&gt;1,"Duplicate - Exclude",IF(OR(B160="",H160="",I160=""),"Invalid - Exclude","Valid")))</f>
        <v>Valid</v>
      </c>
      <c r="S160" s="16" t="str">
        <f aca="false">IF(R160="Valid","",IF(R160="Duplicate - Exclude","Repeat of an earlier Order ID",IF(B160="","Date missing or unreadable",IF(H160="","Quantity missing or unreadable",IF(I160="","Unit price missing or unreadable","Order ID missing")))))</f>
        <v/>
      </c>
    </row>
    <row r="161" customFormat="false" ht="15" hidden="false" customHeight="true" outlineLevel="0" collapsed="false">
      <c r="A161" s="17" t="str">
        <f aca="false">UPPER(TRIM(Raw_Data!A161))</f>
        <v>ORD-1158</v>
      </c>
      <c r="B161" s="18" t="n">
        <f aca="false">IFERROR(IF(ISNUMBER(Raw_Data!B161),Raw_Data!B161,IF(ISNUMBER(FIND("/",Raw_Data!B161)),DATE(VALUE(RIGHT(TRIM(Raw_Data!B161),4)),VALUE(MID(TRIM(Raw_Data!B161),4,2)),VALUE(LEFT(TRIM(Raw_Data!B161),2))),IF(MID(TRIM(Raw_Data!B161),5,1)="-",DATE(VALUE(LEFT(TRIM(Raw_Data!B161),4)),VALUE(MID(TRIM(Raw_Data!B161),6,2)),VALUE(RIGHT(TRIM(Raw_Data!B161),2))),DATE(VALUE(RIGHT(TRIM(Raw_Data!B161),4)),MATCH(MID(TRIM(Raw_Data!B161),4,3),{"Jan","Feb","Mar","Apr","May","Jun","Jul","Aug","Sep","Oct","Nov","Dec"},0),VALUE(LEFT(TRIM(Raw_Data!B161),2)))))),"")</f>
        <v>45876</v>
      </c>
      <c r="C161" s="17" t="str">
        <f aca="false">IF(TRIM(Raw_Data!C161)="","Unknown",PROPER(TRIM(Raw_Data!C161)))</f>
        <v>Omar Sheikh</v>
      </c>
      <c r="D161" s="17" t="str">
        <f aca="false">IFERROR(INDEX({"Punjab","Sindh","KPK","Balochistan"},MATCH(UPPER(LEFT(TRIM(Raw_Data!D161),1)),{"P","S","K","B"},0)),IFERROR(INDEX(Data_Dictionary!$G$4:$G$16,MATCH(E161,Data_Dictionary!$F$4:$F$16,0)),"Unassigned"))</f>
        <v>Balochistan</v>
      </c>
      <c r="E161" s="17" t="str">
        <f aca="false">IF(TRIM(Raw_Data!E161)="","Unknown",PROPER(TRIM(Raw_Data!E161)))</f>
        <v>Quetta</v>
      </c>
      <c r="F161" s="17" t="str">
        <f aca="false">IFERROR(INDEX({"Electronics","Home &amp; Kitchen","Clothing","Groceries","Beauty"},MATCH(UPPER(LEFT(TRIM(Raw_Data!F161),3)),{"ELE","HOM","CLO","GRO","BEA"},0)),"Uncategorised")</f>
        <v>Clothing</v>
      </c>
      <c r="G161" s="17" t="str">
        <f aca="false">IF(TRIM(Raw_Data!G161)="","Unknown",PROPER(TRIM(Raw_Data!G161)))</f>
        <v>Running Shoes</v>
      </c>
      <c r="H161" s="19" t="n">
        <f aca="false">IFERROR(ABS(VALUE(TRIM(Raw_Data!H161))),"")</f>
        <v>5</v>
      </c>
      <c r="I161" s="20" t="n">
        <f aca="false">IFERROR(VALUE(TRIM(SUBSTITUTE(SUBSTITUTE(SUBSTITUTE(SUBSTITUTE(TRIM(Raw_Data!I161),"PKR",""),"Rs.",""),"Rs",""),",",""))),"")</f>
        <v>7550</v>
      </c>
      <c r="J161" s="21" t="n">
        <f aca="false">IFERROR(IF(TRIM(Raw_Data!J161)="",0,IF(VALUE(TRIM(Raw_Data!J161))&gt;1,VALUE(TRIM(Raw_Data!J161))/100,VALUE(TRIM(Raw_Data!J161)))),0)</f>
        <v>0.15</v>
      </c>
      <c r="K161" s="17" t="str">
        <f aca="false">IF(TRIM(Raw_Data!K161)="","Unassigned",PROPER(TRIM(Raw_Data!K161)))</f>
        <v>Sadia Noor</v>
      </c>
      <c r="L161" s="17" t="str">
        <f aca="false">IFERROR(INDEX({"Credit Card","Credit Card","Debit Card","Debit Card","Cash","PayPal"},MATCH(UPPER(LEFT(TRIM(Raw_Data!L161),2)),{"CR","CC","DE","DC","CA","PA"},0)),"Other")</f>
        <v>PayPal</v>
      </c>
      <c r="M161" s="17" t="str">
        <f aca="false">IFERROR(INDEX({"Completed","Returned","Cancelled","Pending"},MATCH(UPPER(LEFT(TRIM(Raw_Data!M161),3)),{"COM","RET","CAN","PEN"},0)),"Unknown")</f>
        <v>Cancelled</v>
      </c>
      <c r="N161" s="20" t="n">
        <f aca="false">IF(OR(H161="",I161=""),"",H161*I161)</f>
        <v>37750</v>
      </c>
      <c r="O161" s="20" t="n">
        <f aca="false">IF(N161="","",N161*J161)</f>
        <v>5662.5</v>
      </c>
      <c r="P161" s="20" t="n">
        <f aca="false">IF(N161="","",N161-O161)</f>
        <v>32087.5</v>
      </c>
      <c r="Q161" s="22" t="n">
        <f aca="false">IF(B161="","",DATE(YEAR(B161),MONTH(B161),1))</f>
        <v>45870</v>
      </c>
      <c r="R161" s="17" t="str">
        <f aca="false">IF(A161="","Invalid - Exclude",IF(COUNTIF($A$2:A161,A161)&gt;1,"Duplicate - Exclude",IF(OR(B161="",H161="",I161=""),"Invalid - Exclude","Valid")))</f>
        <v>Valid</v>
      </c>
      <c r="S161" s="17" t="str">
        <f aca="false">IF(R161="Valid","",IF(R161="Duplicate - Exclude","Repeat of an earlier Order ID",IF(B161="","Date missing or unreadable",IF(H161="","Quantity missing or unreadable",IF(I161="","Unit price missing or unreadable","Order ID missing")))))</f>
        <v/>
      </c>
    </row>
    <row r="162" customFormat="false" ht="15" hidden="false" customHeight="true" outlineLevel="0" collapsed="false">
      <c r="A162" s="9" t="str">
        <f aca="false">UPPER(TRIM(Raw_Data!A162))</f>
        <v>ORD-1191</v>
      </c>
      <c r="B162" s="10" t="n">
        <f aca="false">IFERROR(IF(ISNUMBER(Raw_Data!B162),Raw_Data!B162,IF(ISNUMBER(FIND("/",Raw_Data!B162)),DATE(VALUE(RIGHT(TRIM(Raw_Data!B162),4)),VALUE(MID(TRIM(Raw_Data!B162),4,2)),VALUE(LEFT(TRIM(Raw_Data!B162),2))),IF(MID(TRIM(Raw_Data!B162),5,1)="-",DATE(VALUE(LEFT(TRIM(Raw_Data!B162),4)),VALUE(MID(TRIM(Raw_Data!B162),6,2)),VALUE(RIGHT(TRIM(Raw_Data!B162),2))),DATE(VALUE(RIGHT(TRIM(Raw_Data!B162),4)),MATCH(MID(TRIM(Raw_Data!B162),4,3),{"Jan","Feb","Mar","Apr","May","Jun","Jul","Aug","Sep","Oct","Nov","Dec"},0),VALUE(LEFT(TRIM(Raw_Data!B162),2)))))),"")</f>
        <v>45818</v>
      </c>
      <c r="C162" s="9" t="str">
        <f aca="false">IF(TRIM(Raw_Data!C162)="","Unknown",PROPER(TRIM(Raw_Data!C162)))</f>
        <v>Kashif Malik</v>
      </c>
      <c r="D162" s="9" t="str">
        <f aca="false">IFERROR(INDEX({"Punjab","Sindh","KPK","Balochistan"},MATCH(UPPER(LEFT(TRIM(Raw_Data!D162),1)),{"P","S","K","B"},0)),IFERROR(INDEX(Data_Dictionary!$G$4:$G$16,MATCH(E162,Data_Dictionary!$F$4:$F$16,0)),"Unassigned"))</f>
        <v>KPK</v>
      </c>
      <c r="E162" s="9" t="str">
        <f aca="false">IF(TRIM(Raw_Data!E162)="","Unknown",PROPER(TRIM(Raw_Data!E162)))</f>
        <v>Peshawar</v>
      </c>
      <c r="F162" s="9" t="str">
        <f aca="false">IFERROR(INDEX({"Electronics","Home &amp; Kitchen","Clothing","Groceries","Beauty"},MATCH(UPPER(LEFT(TRIM(Raw_Data!F162),3)),{"ELE","HOM","CLO","GRO","BEA"},0)),"Uncategorised")</f>
        <v>Electronics</v>
      </c>
      <c r="G162" s="9" t="str">
        <f aca="false">IF(TRIM(Raw_Data!G162)="","Unknown",PROPER(TRIM(Raw_Data!G162)))</f>
        <v>Bluetooth Speaker</v>
      </c>
      <c r="H162" s="11" t="n">
        <f aca="false">IFERROR(ABS(VALUE(TRIM(Raw_Data!H162))),"")</f>
        <v>2</v>
      </c>
      <c r="I162" s="12" t="n">
        <f aca="false">IFERROR(VALUE(TRIM(SUBSTITUTE(SUBSTITUTE(SUBSTITUTE(SUBSTITUTE(TRIM(Raw_Data!I162),"PKR",""),"Rs.",""),"Rs",""),",",""))),"")</f>
        <v>4350</v>
      </c>
      <c r="J162" s="13" t="n">
        <f aca="false">IFERROR(IF(TRIM(Raw_Data!J162)="",0,IF(VALUE(TRIM(Raw_Data!J162))&gt;1,VALUE(TRIM(Raw_Data!J162))/100,VALUE(TRIM(Raw_Data!J162)))),0)</f>
        <v>0.2</v>
      </c>
      <c r="K162" s="9" t="str">
        <f aca="false">IF(TRIM(Raw_Data!K162)="","Unassigned",PROPER(TRIM(Raw_Data!K162)))</f>
        <v>Sadia Noor</v>
      </c>
      <c r="L162" s="9" t="str">
        <f aca="false">IFERROR(INDEX({"Credit Card","Credit Card","Debit Card","Debit Card","Cash","PayPal"},MATCH(UPPER(LEFT(TRIM(Raw_Data!L162),2)),{"CR","CC","DE","DC","CA","PA"},0)),"Other")</f>
        <v>Credit Card</v>
      </c>
      <c r="M162" s="9" t="str">
        <f aca="false">IFERROR(INDEX({"Completed","Returned","Cancelled","Pending"},MATCH(UPPER(LEFT(TRIM(Raw_Data!M162),3)),{"COM","RET","CAN","PEN"},0)),"Unknown")</f>
        <v>Completed</v>
      </c>
      <c r="N162" s="14" t="n">
        <f aca="false">IF(OR(H162="",I162=""),"",H162*I162)</f>
        <v>8700</v>
      </c>
      <c r="O162" s="14" t="n">
        <f aca="false">IF(N162="","",N162*J162)</f>
        <v>1740</v>
      </c>
      <c r="P162" s="14" t="n">
        <f aca="false">IF(N162="","",N162-O162)</f>
        <v>6960</v>
      </c>
      <c r="Q162" s="15" t="n">
        <f aca="false">IF(B162="","",DATE(YEAR(B162),MONTH(B162),1))</f>
        <v>45809</v>
      </c>
      <c r="R162" s="16" t="str">
        <f aca="false">IF(A162="","Invalid - Exclude",IF(COUNTIF($A$2:A162,A162)&gt;1,"Duplicate - Exclude",IF(OR(B162="",H162="",I162=""),"Invalid - Exclude","Valid")))</f>
        <v>Valid</v>
      </c>
      <c r="S162" s="16" t="str">
        <f aca="false">IF(R162="Valid","",IF(R162="Duplicate - Exclude","Repeat of an earlier Order ID",IF(B162="","Date missing or unreadable",IF(H162="","Quantity missing or unreadable",IF(I162="","Unit price missing or unreadable","Order ID missing")))))</f>
        <v/>
      </c>
    </row>
    <row r="163" customFormat="false" ht="15" hidden="false" customHeight="true" outlineLevel="0" collapsed="false">
      <c r="A163" s="17" t="str">
        <f aca="false">UPPER(TRIM(Raw_Data!A163))</f>
        <v>ORD-1159</v>
      </c>
      <c r="B163" s="18" t="n">
        <f aca="false">IFERROR(IF(ISNUMBER(Raw_Data!B163),Raw_Data!B163,IF(ISNUMBER(FIND("/",Raw_Data!B163)),DATE(VALUE(RIGHT(TRIM(Raw_Data!B163),4)),VALUE(MID(TRIM(Raw_Data!B163),4,2)),VALUE(LEFT(TRIM(Raw_Data!B163),2))),IF(MID(TRIM(Raw_Data!B163),5,1)="-",DATE(VALUE(LEFT(TRIM(Raw_Data!B163),4)),VALUE(MID(TRIM(Raw_Data!B163),6,2)),VALUE(RIGHT(TRIM(Raw_Data!B163),2))),DATE(VALUE(RIGHT(TRIM(Raw_Data!B163),4)),MATCH(MID(TRIM(Raw_Data!B163),4,3),{"Jan","Feb","Mar","Apr","May","Jun","Jul","Aug","Sep","Oct","Nov","Dec"},0),VALUE(LEFT(TRIM(Raw_Data!B163),2)))))),"")</f>
        <v>45737</v>
      </c>
      <c r="C163" s="17" t="str">
        <f aca="false">IF(TRIM(Raw_Data!C163)="","Unknown",PROPER(TRIM(Raw_Data!C163)))</f>
        <v>Fatima Qureshi</v>
      </c>
      <c r="D163" s="17" t="str">
        <f aca="false">IFERROR(INDEX({"Punjab","Sindh","KPK","Balochistan"},MATCH(UPPER(LEFT(TRIM(Raw_Data!D163),1)),{"P","S","K","B"},0)),IFERROR(INDEX(Data_Dictionary!$G$4:$G$16,MATCH(E163,Data_Dictionary!$F$4:$F$16,0)),"Unassigned"))</f>
        <v>Balochistan</v>
      </c>
      <c r="E163" s="17" t="str">
        <f aca="false">IF(TRIM(Raw_Data!E163)="","Unknown",PROPER(TRIM(Raw_Data!E163)))</f>
        <v>Gwadar</v>
      </c>
      <c r="F163" s="17" t="str">
        <f aca="false">IFERROR(INDEX({"Electronics","Home &amp; Kitchen","Clothing","Groceries","Beauty"},MATCH(UPPER(LEFT(TRIM(Raw_Data!F163),3)),{"ELE","HOM","CLO","GRO","BEA"},0)),"Uncategorised")</f>
        <v>Groceries</v>
      </c>
      <c r="G163" s="17" t="str">
        <f aca="false">IF(TRIM(Raw_Data!G163)="","Unknown",PROPER(TRIM(Raw_Data!G163)))</f>
        <v>Basmati Rice 5 Kg</v>
      </c>
      <c r="H163" s="19" t="n">
        <f aca="false">IFERROR(ABS(VALUE(TRIM(Raw_Data!H163))),"")</f>
        <v>2</v>
      </c>
      <c r="I163" s="20" t="n">
        <f aca="false">IFERROR(VALUE(TRIM(SUBSTITUTE(SUBSTITUTE(SUBSTITUTE(SUBSTITUTE(TRIM(Raw_Data!I163),"PKR",""),"Rs.",""),"Rs",""),",",""))),"")</f>
        <v>2700</v>
      </c>
      <c r="J163" s="21" t="n">
        <f aca="false">IFERROR(IF(TRIM(Raw_Data!J163)="",0,IF(VALUE(TRIM(Raw_Data!J163))&gt;1,VALUE(TRIM(Raw_Data!J163))/100,VALUE(TRIM(Raw_Data!J163)))),0)</f>
        <v>0</v>
      </c>
      <c r="K163" s="17" t="str">
        <f aca="false">IF(TRIM(Raw_Data!K163)="","Unassigned",PROPER(TRIM(Raw_Data!K163)))</f>
        <v>Sadia Noor</v>
      </c>
      <c r="L163" s="17" t="str">
        <f aca="false">IFERROR(INDEX({"Credit Card","Credit Card","Debit Card","Debit Card","Cash","PayPal"},MATCH(UPPER(LEFT(TRIM(Raw_Data!L163),2)),{"CR","CC","DE","DC","CA","PA"},0)),"Other")</f>
        <v>Cash</v>
      </c>
      <c r="M163" s="17" t="str">
        <f aca="false">IFERROR(INDEX({"Completed","Returned","Cancelled","Pending"},MATCH(UPPER(LEFT(TRIM(Raw_Data!M163),3)),{"COM","RET","CAN","PEN"},0)),"Unknown")</f>
        <v>Completed</v>
      </c>
      <c r="N163" s="20" t="n">
        <f aca="false">IF(OR(H163="",I163=""),"",H163*I163)</f>
        <v>5400</v>
      </c>
      <c r="O163" s="20" t="n">
        <f aca="false">IF(N163="","",N163*J163)</f>
        <v>0</v>
      </c>
      <c r="P163" s="20" t="n">
        <f aca="false">IF(N163="","",N163-O163)</f>
        <v>5400</v>
      </c>
      <c r="Q163" s="22" t="n">
        <f aca="false">IF(B163="","",DATE(YEAR(B163),MONTH(B163),1))</f>
        <v>45717</v>
      </c>
      <c r="R163" s="17" t="str">
        <f aca="false">IF(A163="","Invalid - Exclude",IF(COUNTIF($A$2:A163,A163)&gt;1,"Duplicate - Exclude",IF(OR(B163="",H163="",I163=""),"Invalid - Exclude","Valid")))</f>
        <v>Valid</v>
      </c>
      <c r="S163" s="17" t="str">
        <f aca="false">IF(R163="Valid","",IF(R163="Duplicate - Exclude","Repeat of an earlier Order ID",IF(B163="","Date missing or unreadable",IF(H163="","Quantity missing or unreadable",IF(I163="","Unit price missing or unreadable","Order ID missing")))))</f>
        <v/>
      </c>
    </row>
    <row r="164" customFormat="false" ht="15" hidden="false" customHeight="true" outlineLevel="0" collapsed="false">
      <c r="A164" s="9" t="str">
        <f aca="false">UPPER(TRIM(Raw_Data!A164))</f>
        <v>ORD-1160</v>
      </c>
      <c r="B164" s="10" t="n">
        <f aca="false">IFERROR(IF(ISNUMBER(Raw_Data!B164),Raw_Data!B164,IF(ISNUMBER(FIND("/",Raw_Data!B164)),DATE(VALUE(RIGHT(TRIM(Raw_Data!B164),4)),VALUE(MID(TRIM(Raw_Data!B164),4,2)),VALUE(LEFT(TRIM(Raw_Data!B164),2))),IF(MID(TRIM(Raw_Data!B164),5,1)="-",DATE(VALUE(LEFT(TRIM(Raw_Data!B164),4)),VALUE(MID(TRIM(Raw_Data!B164),6,2)),VALUE(RIGHT(TRIM(Raw_Data!B164),2))),DATE(VALUE(RIGHT(TRIM(Raw_Data!B164),4)),MATCH(MID(TRIM(Raw_Data!B164),4,3),{"Jan","Feb","Mar","Apr","May","Jun","Jul","Aug","Sep","Oct","Nov","Dec"},0),VALUE(LEFT(TRIM(Raw_Data!B164),2)))))),"")</f>
        <v>46010</v>
      </c>
      <c r="C164" s="9" t="str">
        <f aca="false">IF(TRIM(Raw_Data!C164)="","Unknown",PROPER(TRIM(Raw_Data!C164)))</f>
        <v>Tariq Ansari</v>
      </c>
      <c r="D164" s="9" t="str">
        <f aca="false">IFERROR(INDEX({"Punjab","Sindh","KPK","Balochistan"},MATCH(UPPER(LEFT(TRIM(Raw_Data!D164),1)),{"P","S","K","B"},0)),IFERROR(INDEX(Data_Dictionary!$G$4:$G$16,MATCH(E164,Data_Dictionary!$F$4:$F$16,0)),"Unassigned"))</f>
        <v>KPK</v>
      </c>
      <c r="E164" s="9" t="str">
        <f aca="false">IF(TRIM(Raw_Data!E164)="","Unknown",PROPER(TRIM(Raw_Data!E164)))</f>
        <v>Mardan</v>
      </c>
      <c r="F164" s="9" t="str">
        <f aca="false">IFERROR(INDEX({"Electronics","Home &amp; Kitchen","Clothing","Groceries","Beauty"},MATCH(UPPER(LEFT(TRIM(Raw_Data!F164),3)),{"ELE","HOM","CLO","GRO","BEA"},0)),"Uncategorised")</f>
        <v>Clothing</v>
      </c>
      <c r="G164" s="9" t="str">
        <f aca="false">IF(TRIM(Raw_Data!G164)="","Unknown",PROPER(TRIM(Raw_Data!G164)))</f>
        <v>Winter Jacket</v>
      </c>
      <c r="H164" s="11" t="n">
        <f aca="false">IFERROR(ABS(VALUE(TRIM(Raw_Data!H164))),"")</f>
        <v>2</v>
      </c>
      <c r="I164" s="12" t="n">
        <f aca="false">IFERROR(VALUE(TRIM(SUBSTITUTE(SUBSTITUTE(SUBSTITUTE(SUBSTITUTE(TRIM(Raw_Data!I164),"PKR",""),"Rs.",""),"Rs",""),",",""))),"")</f>
        <v>10150</v>
      </c>
      <c r="J164" s="13" t="n">
        <f aca="false">IFERROR(IF(TRIM(Raw_Data!J164)="",0,IF(VALUE(TRIM(Raw_Data!J164))&gt;1,VALUE(TRIM(Raw_Data!J164))/100,VALUE(TRIM(Raw_Data!J164)))),0)</f>
        <v>0.15</v>
      </c>
      <c r="K164" s="9" t="str">
        <f aca="false">IF(TRIM(Raw_Data!K164)="","Unassigned",PROPER(TRIM(Raw_Data!K164)))</f>
        <v>Imran Shah</v>
      </c>
      <c r="L164" s="9" t="str">
        <f aca="false">IFERROR(INDEX({"Credit Card","Credit Card","Debit Card","Debit Card","Cash","PayPal"},MATCH(UPPER(LEFT(TRIM(Raw_Data!L164),2)),{"CR","CC","DE","DC","CA","PA"},0)),"Other")</f>
        <v>Cash</v>
      </c>
      <c r="M164" s="9" t="str">
        <f aca="false">IFERROR(INDEX({"Completed","Returned","Cancelled","Pending"},MATCH(UPPER(LEFT(TRIM(Raw_Data!M164),3)),{"COM","RET","CAN","PEN"},0)),"Unknown")</f>
        <v>Cancelled</v>
      </c>
      <c r="N164" s="14" t="n">
        <f aca="false">IF(OR(H164="",I164=""),"",H164*I164)</f>
        <v>20300</v>
      </c>
      <c r="O164" s="14" t="n">
        <f aca="false">IF(N164="","",N164*J164)</f>
        <v>3045</v>
      </c>
      <c r="P164" s="14" t="n">
        <f aca="false">IF(N164="","",N164-O164)</f>
        <v>17255</v>
      </c>
      <c r="Q164" s="15" t="n">
        <f aca="false">IF(B164="","",DATE(YEAR(B164),MONTH(B164),1))</f>
        <v>45992</v>
      </c>
      <c r="R164" s="16" t="str">
        <f aca="false">IF(A164="","Invalid - Exclude",IF(COUNTIF($A$2:A164,A164)&gt;1,"Duplicate - Exclude",IF(OR(B164="",H164="",I164=""),"Invalid - Exclude","Valid")))</f>
        <v>Valid</v>
      </c>
      <c r="S164" s="16" t="str">
        <f aca="false">IF(R164="Valid","",IF(R164="Duplicate - Exclude","Repeat of an earlier Order ID",IF(B164="","Date missing or unreadable",IF(H164="","Quantity missing or unreadable",IF(I164="","Unit price missing or unreadable","Order ID missing")))))</f>
        <v/>
      </c>
    </row>
    <row r="165" customFormat="false" ht="15" hidden="false" customHeight="true" outlineLevel="0" collapsed="false">
      <c r="A165" s="17" t="str">
        <f aca="false">UPPER(TRIM(Raw_Data!A165))</f>
        <v>ORD-1161</v>
      </c>
      <c r="B165" s="18" t="n">
        <f aca="false">IFERROR(IF(ISNUMBER(Raw_Data!B165),Raw_Data!B165,IF(ISNUMBER(FIND("/",Raw_Data!B165)),DATE(VALUE(RIGHT(TRIM(Raw_Data!B165),4)),VALUE(MID(TRIM(Raw_Data!B165),4,2)),VALUE(LEFT(TRIM(Raw_Data!B165),2))),IF(MID(TRIM(Raw_Data!B165),5,1)="-",DATE(VALUE(LEFT(TRIM(Raw_Data!B165),4)),VALUE(MID(TRIM(Raw_Data!B165),6,2)),VALUE(RIGHT(TRIM(Raw_Data!B165),2))),DATE(VALUE(RIGHT(TRIM(Raw_Data!B165),4)),MATCH(MID(TRIM(Raw_Data!B165),4,3),{"Jan","Feb","Mar","Apr","May","Jun","Jul","Aug","Sep","Oct","Nov","Dec"},0),VALUE(LEFT(TRIM(Raw_Data!B165),2)))))),"")</f>
        <v>45917</v>
      </c>
      <c r="C165" s="17" t="str">
        <f aca="false">IF(TRIM(Raw_Data!C165)="","Unknown",PROPER(TRIM(Raw_Data!C165)))</f>
        <v>Ayesha Malik</v>
      </c>
      <c r="D165" s="17" t="str">
        <f aca="false">IFERROR(INDEX({"Punjab","Sindh","KPK","Balochistan"},MATCH(UPPER(LEFT(TRIM(Raw_Data!D165),1)),{"P","S","K","B"},0)),IFERROR(INDEX(Data_Dictionary!$G$4:$G$16,MATCH(E165,Data_Dictionary!$F$4:$F$16,0)),"Unassigned"))</f>
        <v>Sindh</v>
      </c>
      <c r="E165" s="17" t="str">
        <f aca="false">IF(TRIM(Raw_Data!E165)="","Unknown",PROPER(TRIM(Raw_Data!E165)))</f>
        <v>Karachi</v>
      </c>
      <c r="F165" s="17" t="str">
        <f aca="false">IFERROR(INDEX({"Electronics","Home &amp; Kitchen","Clothing","Groceries","Beauty"},MATCH(UPPER(LEFT(TRIM(Raw_Data!F165),3)),{"ELE","HOM","CLO","GRO","BEA"},0)),"Uncategorised")</f>
        <v>Home &amp; Kitchen</v>
      </c>
      <c r="G165" s="17" t="str">
        <f aca="false">IF(TRIM(Raw_Data!G165)="","Unknown",PROPER(TRIM(Raw_Data!G165)))</f>
        <v>Bedsheet Set</v>
      </c>
      <c r="H165" s="19" t="n">
        <f aca="false">IFERROR(ABS(VALUE(TRIM(Raw_Data!H165))),"")</f>
        <v>2</v>
      </c>
      <c r="I165" s="20" t="n">
        <f aca="false">IFERROR(VALUE(TRIM(SUBSTITUTE(SUBSTITUTE(SUBSTITUTE(SUBSTITUTE(TRIM(Raw_Data!I165),"PKR",""),"Rs.",""),"Rs",""),",",""))),"")</f>
        <v>5250</v>
      </c>
      <c r="J165" s="21" t="n">
        <f aca="false">IFERROR(IF(TRIM(Raw_Data!J165)="",0,IF(VALUE(TRIM(Raw_Data!J165))&gt;1,VALUE(TRIM(Raw_Data!J165))/100,VALUE(TRIM(Raw_Data!J165)))),0)</f>
        <v>0.1</v>
      </c>
      <c r="K165" s="17" t="str">
        <f aca="false">IF(TRIM(Raw_Data!K165)="","Unassigned",PROPER(TRIM(Raw_Data!K165)))</f>
        <v>Waqar Ahmed</v>
      </c>
      <c r="L165" s="17" t="str">
        <f aca="false">IFERROR(INDEX({"Credit Card","Credit Card","Debit Card","Debit Card","Cash","PayPal"},MATCH(UPPER(LEFT(TRIM(Raw_Data!L165),2)),{"CR","CC","DE","DC","CA","PA"},0)),"Other")</f>
        <v>Credit Card</v>
      </c>
      <c r="M165" s="17" t="str">
        <f aca="false">IFERROR(INDEX({"Completed","Returned","Cancelled","Pending"},MATCH(UPPER(LEFT(TRIM(Raw_Data!M165),3)),{"COM","RET","CAN","PEN"},0)),"Unknown")</f>
        <v>Completed</v>
      </c>
      <c r="N165" s="20" t="n">
        <f aca="false">IF(OR(H165="",I165=""),"",H165*I165)</f>
        <v>10500</v>
      </c>
      <c r="O165" s="20" t="n">
        <f aca="false">IF(N165="","",N165*J165)</f>
        <v>1050</v>
      </c>
      <c r="P165" s="20" t="n">
        <f aca="false">IF(N165="","",N165-O165)</f>
        <v>9450</v>
      </c>
      <c r="Q165" s="22" t="n">
        <f aca="false">IF(B165="","",DATE(YEAR(B165),MONTH(B165),1))</f>
        <v>45901</v>
      </c>
      <c r="R165" s="17" t="str">
        <f aca="false">IF(A165="","Invalid - Exclude",IF(COUNTIF($A$2:A165,A165)&gt;1,"Duplicate - Exclude",IF(OR(B165="",H165="",I165=""),"Invalid - Exclude","Valid")))</f>
        <v>Valid</v>
      </c>
      <c r="S165" s="17" t="str">
        <f aca="false">IF(R165="Valid","",IF(R165="Duplicate - Exclude","Repeat of an earlier Order ID",IF(B165="","Date missing or unreadable",IF(H165="","Quantity missing or unreadable",IF(I165="","Unit price missing or unreadable","Order ID missing")))))</f>
        <v/>
      </c>
    </row>
    <row r="166" customFormat="false" ht="15" hidden="false" customHeight="true" outlineLevel="0" collapsed="false">
      <c r="A166" s="9" t="str">
        <f aca="false">UPPER(TRIM(Raw_Data!A166))</f>
        <v>ORD-1162</v>
      </c>
      <c r="B166" s="10" t="n">
        <f aca="false">IFERROR(IF(ISNUMBER(Raw_Data!B166),Raw_Data!B166,IF(ISNUMBER(FIND("/",Raw_Data!B166)),DATE(VALUE(RIGHT(TRIM(Raw_Data!B166),4)),VALUE(MID(TRIM(Raw_Data!B166),4,2)),VALUE(LEFT(TRIM(Raw_Data!B166),2))),IF(MID(TRIM(Raw_Data!B166),5,1)="-",DATE(VALUE(LEFT(TRIM(Raw_Data!B166),4)),VALUE(MID(TRIM(Raw_Data!B166),6,2)),VALUE(RIGHT(TRIM(Raw_Data!B166),2))),DATE(VALUE(RIGHT(TRIM(Raw_Data!B166),4)),MATCH(MID(TRIM(Raw_Data!B166),4,3),{"Jan","Feb","Mar","Apr","May","Jun","Jul","Aug","Sep","Oct","Nov","Dec"},0),VALUE(LEFT(TRIM(Raw_Data!B166),2)))))),"")</f>
        <v>45813</v>
      </c>
      <c r="C166" s="9" t="str">
        <f aca="false">IF(TRIM(Raw_Data!C166)="","Unknown",PROPER(TRIM(Raw_Data!C166)))</f>
        <v>Maryam Raza</v>
      </c>
      <c r="D166" s="9" t="str">
        <f aca="false">IFERROR(INDEX({"Punjab","Sindh","KPK","Balochistan"},MATCH(UPPER(LEFT(TRIM(Raw_Data!D166),1)),{"P","S","K","B"},0)),IFERROR(INDEX(Data_Dictionary!$G$4:$G$16,MATCH(E166,Data_Dictionary!$F$4:$F$16,0)),"Unassigned"))</f>
        <v>Punjab</v>
      </c>
      <c r="E166" s="9" t="str">
        <f aca="false">IF(TRIM(Raw_Data!E166)="","Unknown",PROPER(TRIM(Raw_Data!E166)))</f>
        <v>Lahore</v>
      </c>
      <c r="F166" s="9" t="str">
        <f aca="false">IFERROR(INDEX({"Electronics","Home &amp; Kitchen","Clothing","Groceries","Beauty"},MATCH(UPPER(LEFT(TRIM(Raw_Data!F166),3)),{"ELE","HOM","CLO","GRO","BEA"},0)),"Uncategorised")</f>
        <v>Groceries</v>
      </c>
      <c r="G166" s="9" t="str">
        <f aca="false">IF(TRIM(Raw_Data!G166)="","Unknown",PROPER(TRIM(Raw_Data!G166)))</f>
        <v>Refined Sugar 10 Kg</v>
      </c>
      <c r="H166" s="11" t="n">
        <f aca="false">IFERROR(ABS(VALUE(TRIM(Raw_Data!H166))),"")</f>
        <v>4</v>
      </c>
      <c r="I166" s="12" t="n">
        <f aca="false">IFERROR(VALUE(TRIM(SUBSTITUTE(SUBSTITUTE(SUBSTITUTE(SUBSTITUTE(TRIM(Raw_Data!I166),"PKR",""),"Rs.",""),"Rs",""),",",""))),"")</f>
        <v>1700</v>
      </c>
      <c r="J166" s="13" t="n">
        <f aca="false">IFERROR(IF(TRIM(Raw_Data!J166)="",0,IF(VALUE(TRIM(Raw_Data!J166))&gt;1,VALUE(TRIM(Raw_Data!J166))/100,VALUE(TRIM(Raw_Data!J166)))),0)</f>
        <v>0.15</v>
      </c>
      <c r="K166" s="9" t="str">
        <f aca="false">IF(TRIM(Raw_Data!K166)="","Unassigned",PROPER(TRIM(Raw_Data!K166)))</f>
        <v>Zoya Tariq</v>
      </c>
      <c r="L166" s="9" t="str">
        <f aca="false">IFERROR(INDEX({"Credit Card","Credit Card","Debit Card","Debit Card","Cash","PayPal"},MATCH(UPPER(LEFT(TRIM(Raw_Data!L166),2)),{"CR","CC","DE","DC","CA","PA"},0)),"Other")</f>
        <v>Cash</v>
      </c>
      <c r="M166" s="9" t="str">
        <f aca="false">IFERROR(INDEX({"Completed","Returned","Cancelled","Pending"},MATCH(UPPER(LEFT(TRIM(Raw_Data!M166),3)),{"COM","RET","CAN","PEN"},0)),"Unknown")</f>
        <v>Completed</v>
      </c>
      <c r="N166" s="14" t="n">
        <f aca="false">IF(OR(H166="",I166=""),"",H166*I166)</f>
        <v>6800</v>
      </c>
      <c r="O166" s="14" t="n">
        <f aca="false">IF(N166="","",N166*J166)</f>
        <v>1020</v>
      </c>
      <c r="P166" s="14" t="n">
        <f aca="false">IF(N166="","",N166-O166)</f>
        <v>5780</v>
      </c>
      <c r="Q166" s="15" t="n">
        <f aca="false">IF(B166="","",DATE(YEAR(B166),MONTH(B166),1))</f>
        <v>45809</v>
      </c>
      <c r="R166" s="16" t="str">
        <f aca="false">IF(A166="","Invalid - Exclude",IF(COUNTIF($A$2:A166,A166)&gt;1,"Duplicate - Exclude",IF(OR(B166="",H166="",I166=""),"Invalid - Exclude","Valid")))</f>
        <v>Valid</v>
      </c>
      <c r="S166" s="16" t="str">
        <f aca="false">IF(R166="Valid","",IF(R166="Duplicate - Exclude","Repeat of an earlier Order ID",IF(B166="","Date missing or unreadable",IF(H166="","Quantity missing or unreadable",IF(I166="","Unit price missing or unreadable","Order ID missing")))))</f>
        <v/>
      </c>
    </row>
    <row r="167" customFormat="false" ht="15" hidden="false" customHeight="true" outlineLevel="0" collapsed="false">
      <c r="A167" s="17" t="str">
        <f aca="false">UPPER(TRIM(Raw_Data!A167))</f>
        <v>ORD-1163</v>
      </c>
      <c r="B167" s="18" t="n">
        <f aca="false">IFERROR(IF(ISNUMBER(Raw_Data!B167),Raw_Data!B167,IF(ISNUMBER(FIND("/",Raw_Data!B167)),DATE(VALUE(RIGHT(TRIM(Raw_Data!B167),4)),VALUE(MID(TRIM(Raw_Data!B167),4,2)),VALUE(LEFT(TRIM(Raw_Data!B167),2))),IF(MID(TRIM(Raw_Data!B167),5,1)="-",DATE(VALUE(LEFT(TRIM(Raw_Data!B167),4)),VALUE(MID(TRIM(Raw_Data!B167),6,2)),VALUE(RIGHT(TRIM(Raw_Data!B167),2))),DATE(VALUE(RIGHT(TRIM(Raw_Data!B167),4)),MATCH(MID(TRIM(Raw_Data!B167),4,3),{"Jan","Feb","Mar","Apr","May","Jun","Jul","Aug","Sep","Oct","Nov","Dec"},0),VALUE(LEFT(TRIM(Raw_Data!B167),2)))))),"")</f>
        <v>45915</v>
      </c>
      <c r="C167" s="17" t="str">
        <f aca="false">IF(TRIM(Raw_Data!C167)="","Unknown",PROPER(TRIM(Raw_Data!C167)))</f>
        <v>Usman Chaudhry</v>
      </c>
      <c r="D167" s="17" t="str">
        <f aca="false">IFERROR(INDEX({"Punjab","Sindh","KPK","Balochistan"},MATCH(UPPER(LEFT(TRIM(Raw_Data!D167),1)),{"P","S","K","B"},0)),IFERROR(INDEX(Data_Dictionary!$G$4:$G$16,MATCH(E167,Data_Dictionary!$F$4:$F$16,0)),"Unassigned"))</f>
        <v>KPK</v>
      </c>
      <c r="E167" s="17" t="str">
        <f aca="false">IF(TRIM(Raw_Data!E167)="","Unknown",PROPER(TRIM(Raw_Data!E167)))</f>
        <v>Abbottabad</v>
      </c>
      <c r="F167" s="17" t="str">
        <f aca="false">IFERROR(INDEX({"Electronics","Home &amp; Kitchen","Clothing","Groceries","Beauty"},MATCH(UPPER(LEFT(TRIM(Raw_Data!F167),3)),{"ELE","HOM","CLO","GRO","BEA"},0)),"Uncategorised")</f>
        <v>Electronics</v>
      </c>
      <c r="G167" s="17" t="str">
        <f aca="false">IF(TRIM(Raw_Data!G167)="","Unknown",PROPER(TRIM(Raw_Data!G167)))</f>
        <v>Wireless Earbuds</v>
      </c>
      <c r="H167" s="19" t="str">
        <f aca="false">IFERROR(ABS(VALUE(TRIM(Raw_Data!H167))),"")</f>
        <v/>
      </c>
      <c r="I167" s="20" t="n">
        <f aca="false">IFERROR(VALUE(TRIM(SUBSTITUTE(SUBSTITUTE(SUBSTITUTE(SUBSTITUTE(TRIM(Raw_Data!I167),"PKR",""),"Rs.",""),"Rs",""),",",""))),"")</f>
        <v>6800</v>
      </c>
      <c r="J167" s="21" t="n">
        <f aca="false">IFERROR(IF(TRIM(Raw_Data!J167)="",0,IF(VALUE(TRIM(Raw_Data!J167))&gt;1,VALUE(TRIM(Raw_Data!J167))/100,VALUE(TRIM(Raw_Data!J167)))),0)</f>
        <v>0</v>
      </c>
      <c r="K167" s="17" t="str">
        <f aca="false">IF(TRIM(Raw_Data!K167)="","Unassigned",PROPER(TRIM(Raw_Data!K167)))</f>
        <v>Zoya Tariq</v>
      </c>
      <c r="L167" s="17" t="str">
        <f aca="false">IFERROR(INDEX({"Credit Card","Credit Card","Debit Card","Debit Card","Cash","PayPal"},MATCH(UPPER(LEFT(TRIM(Raw_Data!L167),2)),{"CR","CC","DE","DC","CA","PA"},0)),"Other")</f>
        <v>Credit Card</v>
      </c>
      <c r="M167" s="17" t="str">
        <f aca="false">IFERROR(INDEX({"Completed","Returned","Cancelled","Pending"},MATCH(UPPER(LEFT(TRIM(Raw_Data!M167),3)),{"COM","RET","CAN","PEN"},0)),"Unknown")</f>
        <v>Completed</v>
      </c>
      <c r="N167" s="20" t="str">
        <f aca="false">IF(OR(H167="",I167=""),"",H167*I167)</f>
        <v/>
      </c>
      <c r="O167" s="20" t="str">
        <f aca="false">IF(N167="","",N167*J167)</f>
        <v/>
      </c>
      <c r="P167" s="20" t="str">
        <f aca="false">IF(N167="","",N167-O167)</f>
        <v/>
      </c>
      <c r="Q167" s="22" t="n">
        <f aca="false">IF(B167="","",DATE(YEAR(B167),MONTH(B167),1))</f>
        <v>45901</v>
      </c>
      <c r="R167" s="17" t="str">
        <f aca="false">IF(A167="","Invalid - Exclude",IF(COUNTIF($A$2:A167,A167)&gt;1,"Duplicate - Exclude",IF(OR(B167="",H167="",I167=""),"Invalid - Exclude","Valid")))</f>
        <v>Invalid - Exclude</v>
      </c>
      <c r="S167" s="17" t="str">
        <f aca="false">IF(R167="Valid","",IF(R167="Duplicate - Exclude","Repeat of an earlier Order ID",IF(B167="","Date missing or unreadable",IF(H167="","Quantity missing or unreadable",IF(I167="","Unit price missing or unreadable","Order ID missing")))))</f>
        <v>Quantity missing or unreadable</v>
      </c>
    </row>
    <row r="168" customFormat="false" ht="15" hidden="false" customHeight="true" outlineLevel="0" collapsed="false">
      <c r="A168" s="9" t="str">
        <f aca="false">UPPER(TRIM(Raw_Data!A168))</f>
        <v>ORD-1164</v>
      </c>
      <c r="B168" s="10" t="n">
        <f aca="false">IFERROR(IF(ISNUMBER(Raw_Data!B168),Raw_Data!B168,IF(ISNUMBER(FIND("/",Raw_Data!B168)),DATE(VALUE(RIGHT(TRIM(Raw_Data!B168),4)),VALUE(MID(TRIM(Raw_Data!B168),4,2)),VALUE(LEFT(TRIM(Raw_Data!B168),2))),IF(MID(TRIM(Raw_Data!B168),5,1)="-",DATE(VALUE(LEFT(TRIM(Raw_Data!B168),4)),VALUE(MID(TRIM(Raw_Data!B168),6,2)),VALUE(RIGHT(TRIM(Raw_Data!B168),2))),DATE(VALUE(RIGHT(TRIM(Raw_Data!B168),4)),MATCH(MID(TRIM(Raw_Data!B168),4,3),{"Jan","Feb","Mar","Apr","May","Jun","Jul","Aug","Sep","Oct","Nov","Dec"},0),VALUE(LEFT(TRIM(Raw_Data!B168),2)))))),"")</f>
        <v>45674</v>
      </c>
      <c r="C168" s="9" t="str">
        <f aca="false">IF(TRIM(Raw_Data!C168)="","Unknown",PROPER(TRIM(Raw_Data!C168)))</f>
        <v>Kashif Sheikh</v>
      </c>
      <c r="D168" s="9" t="str">
        <f aca="false">IFERROR(INDEX({"Punjab","Sindh","KPK","Balochistan"},MATCH(UPPER(LEFT(TRIM(Raw_Data!D168),1)),{"P","S","K","B"},0)),IFERROR(INDEX(Data_Dictionary!$G$4:$G$16,MATCH(E168,Data_Dictionary!$F$4:$F$16,0)),"Unassigned"))</f>
        <v>Punjab</v>
      </c>
      <c r="E168" s="9" t="str">
        <f aca="false">IF(TRIM(Raw_Data!E168)="","Unknown",PROPER(TRIM(Raw_Data!E168)))</f>
        <v>Faisalabad</v>
      </c>
      <c r="F168" s="9" t="str">
        <f aca="false">IFERROR(INDEX({"Electronics","Home &amp; Kitchen","Clothing","Groceries","Beauty"},MATCH(UPPER(LEFT(TRIM(Raw_Data!F168),3)),{"ELE","HOM","CLO","GRO","BEA"},0)),"Uncategorised")</f>
        <v>Clothing</v>
      </c>
      <c r="G168" s="9" t="str">
        <f aca="false">IF(TRIM(Raw_Data!G168)="","Unknown",PROPER(TRIM(Raw_Data!G168)))</f>
        <v>Lawn Suit 3 Piece</v>
      </c>
      <c r="H168" s="11" t="n">
        <f aca="false">IFERROR(ABS(VALUE(TRIM(Raw_Data!H168))),"")</f>
        <v>8</v>
      </c>
      <c r="I168" s="12" t="n">
        <f aca="false">IFERROR(VALUE(TRIM(SUBSTITUTE(SUBSTITUTE(SUBSTITUTE(SUBSTITUTE(TRIM(Raw_Data!I168),"PKR",""),"Rs.",""),"Rs",""),",",""))),"")</f>
        <v>6700</v>
      </c>
      <c r="J168" s="13" t="n">
        <f aca="false">IFERROR(IF(TRIM(Raw_Data!J168)="",0,IF(VALUE(TRIM(Raw_Data!J168))&gt;1,VALUE(TRIM(Raw_Data!J168))/100,VALUE(TRIM(Raw_Data!J168)))),0)</f>
        <v>0.15</v>
      </c>
      <c r="K168" s="9" t="str">
        <f aca="false">IF(TRIM(Raw_Data!K168)="","Unassigned",PROPER(TRIM(Raw_Data!K168)))</f>
        <v>Nimra Aslam</v>
      </c>
      <c r="L168" s="9" t="str">
        <f aca="false">IFERROR(INDEX({"Credit Card","Credit Card","Debit Card","Debit Card","Cash","PayPal"},MATCH(UPPER(LEFT(TRIM(Raw_Data!L168),2)),{"CR","CC","DE","DC","CA","PA"},0)),"Other")</f>
        <v>Cash</v>
      </c>
      <c r="M168" s="9" t="str">
        <f aca="false">IFERROR(INDEX({"Completed","Returned","Cancelled","Pending"},MATCH(UPPER(LEFT(TRIM(Raw_Data!M168),3)),{"COM","RET","CAN","PEN"},0)),"Unknown")</f>
        <v>Completed</v>
      </c>
      <c r="N168" s="14" t="n">
        <f aca="false">IF(OR(H168="",I168=""),"",H168*I168)</f>
        <v>53600</v>
      </c>
      <c r="O168" s="14" t="n">
        <f aca="false">IF(N168="","",N168*J168)</f>
        <v>8040</v>
      </c>
      <c r="P168" s="14" t="n">
        <f aca="false">IF(N168="","",N168-O168)</f>
        <v>45560</v>
      </c>
      <c r="Q168" s="15" t="n">
        <f aca="false">IF(B168="","",DATE(YEAR(B168),MONTH(B168),1))</f>
        <v>45658</v>
      </c>
      <c r="R168" s="16" t="str">
        <f aca="false">IF(A168="","Invalid - Exclude",IF(COUNTIF($A$2:A168,A168)&gt;1,"Duplicate - Exclude",IF(OR(B168="",H168="",I168=""),"Invalid - Exclude","Valid")))</f>
        <v>Valid</v>
      </c>
      <c r="S168" s="16" t="str">
        <f aca="false">IF(R168="Valid","",IF(R168="Duplicate - Exclude","Repeat of an earlier Order ID",IF(B168="","Date missing or unreadable",IF(H168="","Quantity missing or unreadable",IF(I168="","Unit price missing or unreadable","Order ID missing")))))</f>
        <v/>
      </c>
    </row>
    <row r="169" customFormat="false" ht="15" hidden="false" customHeight="true" outlineLevel="0" collapsed="false">
      <c r="A169" s="17" t="str">
        <f aca="false">UPPER(TRIM(Raw_Data!A169))</f>
        <v>ORD-1165</v>
      </c>
      <c r="B169" s="18" t="n">
        <f aca="false">IFERROR(IF(ISNUMBER(Raw_Data!B169),Raw_Data!B169,IF(ISNUMBER(FIND("/",Raw_Data!B169)),DATE(VALUE(RIGHT(TRIM(Raw_Data!B169),4)),VALUE(MID(TRIM(Raw_Data!B169),4,2)),VALUE(LEFT(TRIM(Raw_Data!B169),2))),IF(MID(TRIM(Raw_Data!B169),5,1)="-",DATE(VALUE(LEFT(TRIM(Raw_Data!B169),4)),VALUE(MID(TRIM(Raw_Data!B169),6,2)),VALUE(RIGHT(TRIM(Raw_Data!B169),2))),DATE(VALUE(RIGHT(TRIM(Raw_Data!B169),4)),MATCH(MID(TRIM(Raw_Data!B169),4,3),{"Jan","Feb","Mar","Apr","May","Jun","Jul","Aug","Sep","Oct","Nov","Dec"},0),VALUE(LEFT(TRIM(Raw_Data!B169),2)))))),"")</f>
        <v>45957</v>
      </c>
      <c r="C169" s="17" t="str">
        <f aca="false">IF(TRIM(Raw_Data!C169)="","Unknown",PROPER(TRIM(Raw_Data!C169)))</f>
        <v>Ahmed Hussain</v>
      </c>
      <c r="D169" s="17" t="str">
        <f aca="false">IFERROR(INDEX({"Punjab","Sindh","KPK","Balochistan"},MATCH(UPPER(LEFT(TRIM(Raw_Data!D169),1)),{"P","S","K","B"},0)),IFERROR(INDEX(Data_Dictionary!$G$4:$G$16,MATCH(E169,Data_Dictionary!$F$4:$F$16,0)),"Unassigned"))</f>
        <v>Balochistan</v>
      </c>
      <c r="E169" s="17" t="str">
        <f aca="false">IF(TRIM(Raw_Data!E169)="","Unknown",PROPER(TRIM(Raw_Data!E169)))</f>
        <v>Quetta</v>
      </c>
      <c r="F169" s="17" t="str">
        <f aca="false">IFERROR(INDEX({"Electronics","Home &amp; Kitchen","Clothing","Groceries","Beauty"},MATCH(UPPER(LEFT(TRIM(Raw_Data!F169),3)),{"ELE","HOM","CLO","GRO","BEA"},0)),"Uncategorised")</f>
        <v>Clothing</v>
      </c>
      <c r="G169" s="17" t="str">
        <f aca="false">IF(TRIM(Raw_Data!G169)="","Unknown",PROPER(TRIM(Raw_Data!G169)))</f>
        <v>Lawn Suit 3 Piece</v>
      </c>
      <c r="H169" s="19" t="n">
        <f aca="false">IFERROR(ABS(VALUE(TRIM(Raw_Data!H169))),"")</f>
        <v>6</v>
      </c>
      <c r="I169" s="20" t="n">
        <f aca="false">IFERROR(VALUE(TRIM(SUBSTITUTE(SUBSTITUTE(SUBSTITUTE(SUBSTITUTE(TRIM(Raw_Data!I169),"PKR",""),"Rs.",""),"Rs",""),",",""))),"")</f>
        <v>7100</v>
      </c>
      <c r="J169" s="21" t="n">
        <f aca="false">IFERROR(IF(TRIM(Raw_Data!J169)="",0,IF(VALUE(TRIM(Raw_Data!J169))&gt;1,VALUE(TRIM(Raw_Data!J169))/100,VALUE(TRIM(Raw_Data!J169)))),0)</f>
        <v>0</v>
      </c>
      <c r="K169" s="17" t="str">
        <f aca="false">IF(TRIM(Raw_Data!K169)="","Unassigned",PROPER(TRIM(Raw_Data!K169)))</f>
        <v>Sadia Noor</v>
      </c>
      <c r="L169" s="17" t="str">
        <f aca="false">IFERROR(INDEX({"Credit Card","Credit Card","Debit Card","Debit Card","Cash","PayPal"},MATCH(UPPER(LEFT(TRIM(Raw_Data!L169),2)),{"CR","CC","DE","DC","CA","PA"},0)),"Other")</f>
        <v>Credit Card</v>
      </c>
      <c r="M169" s="17" t="str">
        <f aca="false">IFERROR(INDEX({"Completed","Returned","Cancelled","Pending"},MATCH(UPPER(LEFT(TRIM(Raw_Data!M169),3)),{"COM","RET","CAN","PEN"},0)),"Unknown")</f>
        <v>Completed</v>
      </c>
      <c r="N169" s="20" t="n">
        <f aca="false">IF(OR(H169="",I169=""),"",H169*I169)</f>
        <v>42600</v>
      </c>
      <c r="O169" s="20" t="n">
        <f aca="false">IF(N169="","",N169*J169)</f>
        <v>0</v>
      </c>
      <c r="P169" s="20" t="n">
        <f aca="false">IF(N169="","",N169-O169)</f>
        <v>42600</v>
      </c>
      <c r="Q169" s="22" t="n">
        <f aca="false">IF(B169="","",DATE(YEAR(B169),MONTH(B169),1))</f>
        <v>45931</v>
      </c>
      <c r="R169" s="17" t="str">
        <f aca="false">IF(A169="","Invalid - Exclude",IF(COUNTIF($A$2:A169,A169)&gt;1,"Duplicate - Exclude",IF(OR(B169="",H169="",I169=""),"Invalid - Exclude","Valid")))</f>
        <v>Valid</v>
      </c>
      <c r="S169" s="17" t="str">
        <f aca="false">IF(R169="Valid","",IF(R169="Duplicate - Exclude","Repeat of an earlier Order ID",IF(B169="","Date missing or unreadable",IF(H169="","Quantity missing or unreadable",IF(I169="","Unit price missing or unreadable","Order ID missing")))))</f>
        <v/>
      </c>
    </row>
    <row r="170" customFormat="false" ht="15" hidden="false" customHeight="true" outlineLevel="0" collapsed="false">
      <c r="A170" s="9" t="str">
        <f aca="false">UPPER(TRIM(Raw_Data!A170))</f>
        <v>ORD-1166</v>
      </c>
      <c r="B170" s="10" t="n">
        <f aca="false">IFERROR(IF(ISNUMBER(Raw_Data!B170),Raw_Data!B170,IF(ISNUMBER(FIND("/",Raw_Data!B170)),DATE(VALUE(RIGHT(TRIM(Raw_Data!B170),4)),VALUE(MID(TRIM(Raw_Data!B170),4,2)),VALUE(LEFT(TRIM(Raw_Data!B170),2))),IF(MID(TRIM(Raw_Data!B170),5,1)="-",DATE(VALUE(LEFT(TRIM(Raw_Data!B170),4)),VALUE(MID(TRIM(Raw_Data!B170),6,2)),VALUE(RIGHT(TRIM(Raw_Data!B170),2))),DATE(VALUE(RIGHT(TRIM(Raw_Data!B170),4)),MATCH(MID(TRIM(Raw_Data!B170),4,3),{"Jan","Feb","Mar","Apr","May","Jun","Jul","Aug","Sep","Oct","Nov","Dec"},0),VALUE(LEFT(TRIM(Raw_Data!B170),2)))))),"")</f>
        <v>45754</v>
      </c>
      <c r="C170" s="9" t="str">
        <f aca="false">IF(TRIM(Raw_Data!C170)="","Unknown",PROPER(TRIM(Raw_Data!C170)))</f>
        <v>Noor Butt</v>
      </c>
      <c r="D170" s="9" t="str">
        <f aca="false">IFERROR(INDEX({"Punjab","Sindh","KPK","Balochistan"},MATCH(UPPER(LEFT(TRIM(Raw_Data!D170),1)),{"P","S","K","B"},0)),IFERROR(INDEX(Data_Dictionary!$G$4:$G$16,MATCH(E170,Data_Dictionary!$F$4:$F$16,0)),"Unassigned"))</f>
        <v>KPK</v>
      </c>
      <c r="E170" s="9" t="str">
        <f aca="false">IF(TRIM(Raw_Data!E170)="","Unknown",PROPER(TRIM(Raw_Data!E170)))</f>
        <v>Unknown</v>
      </c>
      <c r="F170" s="9" t="str">
        <f aca="false">IFERROR(INDEX({"Electronics","Home &amp; Kitchen","Clothing","Groceries","Beauty"},MATCH(UPPER(LEFT(TRIM(Raw_Data!F170),3)),{"ELE","HOM","CLO","GRO","BEA"},0)),"Uncategorised")</f>
        <v>Clothing</v>
      </c>
      <c r="G170" s="9" t="str">
        <f aca="false">IF(TRIM(Raw_Data!G170)="","Unknown",PROPER(TRIM(Raw_Data!G170)))</f>
        <v>Mens Kurta</v>
      </c>
      <c r="H170" s="11" t="n">
        <f aca="false">IFERROR(ABS(VALUE(TRIM(Raw_Data!H170))),"")</f>
        <v>3</v>
      </c>
      <c r="I170" s="12" t="n">
        <f aca="false">IFERROR(VALUE(TRIM(SUBSTITUTE(SUBSTITUTE(SUBSTITUTE(SUBSTITUTE(TRIM(Raw_Data!I170),"PKR",""),"Rs.",""),"Rs",""),",",""))),"")</f>
        <v>3250</v>
      </c>
      <c r="J170" s="13" t="n">
        <f aca="false">IFERROR(IF(TRIM(Raw_Data!J170)="",0,IF(VALUE(TRIM(Raw_Data!J170))&gt;1,VALUE(TRIM(Raw_Data!J170))/100,VALUE(TRIM(Raw_Data!J170)))),0)</f>
        <v>0.05</v>
      </c>
      <c r="K170" s="9" t="str">
        <f aca="false">IF(TRIM(Raw_Data!K170)="","Unassigned",PROPER(TRIM(Raw_Data!K170)))</f>
        <v>Sadia Noor</v>
      </c>
      <c r="L170" s="9" t="str">
        <f aca="false">IFERROR(INDEX({"Credit Card","Credit Card","Debit Card","Debit Card","Cash","PayPal"},MATCH(UPPER(LEFT(TRIM(Raw_Data!L170),2)),{"CR","CC","DE","DC","CA","PA"},0)),"Other")</f>
        <v>Debit Card</v>
      </c>
      <c r="M170" s="9" t="str">
        <f aca="false">IFERROR(INDEX({"Completed","Returned","Cancelled","Pending"},MATCH(UPPER(LEFT(TRIM(Raw_Data!M170),3)),{"COM","RET","CAN","PEN"},0)),"Unknown")</f>
        <v>Completed</v>
      </c>
      <c r="N170" s="14" t="n">
        <f aca="false">IF(OR(H170="",I170=""),"",H170*I170)</f>
        <v>9750</v>
      </c>
      <c r="O170" s="14" t="n">
        <f aca="false">IF(N170="","",N170*J170)</f>
        <v>487.5</v>
      </c>
      <c r="P170" s="14" t="n">
        <f aca="false">IF(N170="","",N170-O170)</f>
        <v>9262.5</v>
      </c>
      <c r="Q170" s="15" t="n">
        <f aca="false">IF(B170="","",DATE(YEAR(B170),MONTH(B170),1))</f>
        <v>45748</v>
      </c>
      <c r="R170" s="16" t="str">
        <f aca="false">IF(A170="","Invalid - Exclude",IF(COUNTIF($A$2:A170,A170)&gt;1,"Duplicate - Exclude",IF(OR(B170="",H170="",I170=""),"Invalid - Exclude","Valid")))</f>
        <v>Valid</v>
      </c>
      <c r="S170" s="16" t="str">
        <f aca="false">IF(R170="Valid","",IF(R170="Duplicate - Exclude","Repeat of an earlier Order ID",IF(B170="","Date missing or unreadable",IF(H170="","Quantity missing or unreadable",IF(I170="","Unit price missing or unreadable","Order ID missing")))))</f>
        <v/>
      </c>
    </row>
    <row r="171" customFormat="false" ht="15" hidden="false" customHeight="true" outlineLevel="0" collapsed="false">
      <c r="A171" s="17" t="str">
        <f aca="false">UPPER(TRIM(Raw_Data!A171))</f>
        <v>ORD-1167</v>
      </c>
      <c r="B171" s="18" t="n">
        <f aca="false">IFERROR(IF(ISNUMBER(Raw_Data!B171),Raw_Data!B171,IF(ISNUMBER(FIND("/",Raw_Data!B171)),DATE(VALUE(RIGHT(TRIM(Raw_Data!B171),4)),VALUE(MID(TRIM(Raw_Data!B171),4,2)),VALUE(LEFT(TRIM(Raw_Data!B171),2))),IF(MID(TRIM(Raw_Data!B171),5,1)="-",DATE(VALUE(LEFT(TRIM(Raw_Data!B171),4)),VALUE(MID(TRIM(Raw_Data!B171),6,2)),VALUE(RIGHT(TRIM(Raw_Data!B171),2))),DATE(VALUE(RIGHT(TRIM(Raw_Data!B171),4)),MATCH(MID(TRIM(Raw_Data!B171),4,3),{"Jan","Feb","Mar","Apr","May","Jun","Jul","Aug","Sep","Oct","Nov","Dec"},0),VALUE(LEFT(TRIM(Raw_Data!B171),2)))))),"")</f>
        <v>45806</v>
      </c>
      <c r="C171" s="17" t="str">
        <f aca="false">IF(TRIM(Raw_Data!C171)="","Unknown",PROPER(TRIM(Raw_Data!C171)))</f>
        <v>Saad Qureshi</v>
      </c>
      <c r="D171" s="17" t="str">
        <f aca="false">IFERROR(INDEX({"Punjab","Sindh","KPK","Balochistan"},MATCH(UPPER(LEFT(TRIM(Raw_Data!D171),1)),{"P","S","K","B"},0)),IFERROR(INDEX(Data_Dictionary!$G$4:$G$16,MATCH(E171,Data_Dictionary!$F$4:$F$16,0)),"Unassigned"))</f>
        <v>Balochistan</v>
      </c>
      <c r="E171" s="17" t="str">
        <f aca="false">IF(TRIM(Raw_Data!E171)="","Unknown",PROPER(TRIM(Raw_Data!E171)))</f>
        <v>Quetta</v>
      </c>
      <c r="F171" s="17" t="str">
        <f aca="false">IFERROR(INDEX({"Electronics","Home &amp; Kitchen","Clothing","Groceries","Beauty"},MATCH(UPPER(LEFT(TRIM(Raw_Data!F171),3)),{"ELE","HOM","CLO","GRO","BEA"},0)),"Uncategorised")</f>
        <v>Electronics</v>
      </c>
      <c r="G171" s="17" t="str">
        <f aca="false">IF(TRIM(Raw_Data!G171)="","Unknown",PROPER(TRIM(Raw_Data!G171)))</f>
        <v>Smart Watch</v>
      </c>
      <c r="H171" s="19" t="n">
        <f aca="false">IFERROR(ABS(VALUE(TRIM(Raw_Data!H171))),"")</f>
        <v>1</v>
      </c>
      <c r="I171" s="20" t="n">
        <f aca="false">IFERROR(VALUE(TRIM(SUBSTITUTE(SUBSTITUTE(SUBSTITUTE(SUBSTITUTE(TRIM(Raw_Data!I171),"PKR",""),"Rs.",""),"Rs",""),",",""))),"")</f>
        <v>9350</v>
      </c>
      <c r="J171" s="21" t="n">
        <f aca="false">IFERROR(IF(TRIM(Raw_Data!J171)="",0,IF(VALUE(TRIM(Raw_Data!J171))&gt;1,VALUE(TRIM(Raw_Data!J171))/100,VALUE(TRIM(Raw_Data!J171)))),0)</f>
        <v>0</v>
      </c>
      <c r="K171" s="17" t="str">
        <f aca="false">IF(TRIM(Raw_Data!K171)="","Unassigned",PROPER(TRIM(Raw_Data!K171)))</f>
        <v>Imran Shah</v>
      </c>
      <c r="L171" s="17" t="str">
        <f aca="false">IFERROR(INDEX({"Credit Card","Credit Card","Debit Card","Debit Card","Cash","PayPal"},MATCH(UPPER(LEFT(TRIM(Raw_Data!L171),2)),{"CR","CC","DE","DC","CA","PA"},0)),"Other")</f>
        <v>Cash</v>
      </c>
      <c r="M171" s="17" t="str">
        <f aca="false">IFERROR(INDEX({"Completed","Returned","Cancelled","Pending"},MATCH(UPPER(LEFT(TRIM(Raw_Data!M171),3)),{"COM","RET","CAN","PEN"},0)),"Unknown")</f>
        <v>Completed</v>
      </c>
      <c r="N171" s="20" t="n">
        <f aca="false">IF(OR(H171="",I171=""),"",H171*I171)</f>
        <v>9350</v>
      </c>
      <c r="O171" s="20" t="n">
        <f aca="false">IF(N171="","",N171*J171)</f>
        <v>0</v>
      </c>
      <c r="P171" s="20" t="n">
        <f aca="false">IF(N171="","",N171-O171)</f>
        <v>9350</v>
      </c>
      <c r="Q171" s="22" t="n">
        <f aca="false">IF(B171="","",DATE(YEAR(B171),MONTH(B171),1))</f>
        <v>45778</v>
      </c>
      <c r="R171" s="17" t="str">
        <f aca="false">IF(A171="","Invalid - Exclude",IF(COUNTIF($A$2:A171,A171)&gt;1,"Duplicate - Exclude",IF(OR(B171="",H171="",I171=""),"Invalid - Exclude","Valid")))</f>
        <v>Valid</v>
      </c>
      <c r="S171" s="17" t="str">
        <f aca="false">IF(R171="Valid","",IF(R171="Duplicate - Exclude","Repeat of an earlier Order ID",IF(B171="","Date missing or unreadable",IF(H171="","Quantity missing or unreadable",IF(I171="","Unit price missing or unreadable","Order ID missing")))))</f>
        <v/>
      </c>
    </row>
    <row r="172" customFormat="false" ht="15" hidden="false" customHeight="true" outlineLevel="0" collapsed="false">
      <c r="A172" s="9" t="str">
        <f aca="false">UPPER(TRIM(Raw_Data!A172))</f>
        <v>ORD-1168</v>
      </c>
      <c r="B172" s="10" t="n">
        <f aca="false">IFERROR(IF(ISNUMBER(Raw_Data!B172),Raw_Data!B172,IF(ISNUMBER(FIND("/",Raw_Data!B172)),DATE(VALUE(RIGHT(TRIM(Raw_Data!B172),4)),VALUE(MID(TRIM(Raw_Data!B172),4,2)),VALUE(LEFT(TRIM(Raw_Data!B172),2))),IF(MID(TRIM(Raw_Data!B172),5,1)="-",DATE(VALUE(LEFT(TRIM(Raw_Data!B172),4)),VALUE(MID(TRIM(Raw_Data!B172),6,2)),VALUE(RIGHT(TRIM(Raw_Data!B172),2))),DATE(VALUE(RIGHT(TRIM(Raw_Data!B172),4)),MATCH(MID(TRIM(Raw_Data!B172),4,3),{"Jan","Feb","Mar","Apr","May","Jun","Jul","Aug","Sep","Oct","Nov","Dec"},0),VALUE(LEFT(TRIM(Raw_Data!B172),2)))))),"")</f>
        <v>45803</v>
      </c>
      <c r="C172" s="9" t="str">
        <f aca="false">IF(TRIM(Raw_Data!C172)="","Unknown",PROPER(TRIM(Raw_Data!C172)))</f>
        <v>Unknown</v>
      </c>
      <c r="D172" s="9" t="str">
        <f aca="false">IFERROR(INDEX({"Punjab","Sindh","KPK","Balochistan"},MATCH(UPPER(LEFT(TRIM(Raw_Data!D172),1)),{"P","S","K","B"},0)),IFERROR(INDEX(Data_Dictionary!$G$4:$G$16,MATCH(E172,Data_Dictionary!$F$4:$F$16,0)),"Unassigned"))</f>
        <v>Balochistan</v>
      </c>
      <c r="E172" s="9" t="str">
        <f aca="false">IF(TRIM(Raw_Data!E172)="","Unknown",PROPER(TRIM(Raw_Data!E172)))</f>
        <v>Gwadar</v>
      </c>
      <c r="F172" s="9" t="str">
        <f aca="false">IFERROR(INDEX({"Electronics","Home &amp; Kitchen","Clothing","Groceries","Beauty"},MATCH(UPPER(LEFT(TRIM(Raw_Data!F172),3)),{"ELE","HOM","CLO","GRO","BEA"},0)),"Uncategorised")</f>
        <v>Home &amp; Kitchen</v>
      </c>
      <c r="G172" s="9" t="str">
        <f aca="false">IF(TRIM(Raw_Data!G172)="","Unknown",PROPER(TRIM(Raw_Data!G172)))</f>
        <v>Hand Blender</v>
      </c>
      <c r="H172" s="11" t="n">
        <f aca="false">IFERROR(ABS(VALUE(TRIM(Raw_Data!H172))),"")</f>
        <v>1</v>
      </c>
      <c r="I172" s="12" t="n">
        <f aca="false">IFERROR(VALUE(TRIM(SUBSTITUTE(SUBSTITUTE(SUBSTITUTE(SUBSTITUTE(TRIM(Raw_Data!I172),"PKR",""),"Rs.",""),"Rs",""),",",""))),"")</f>
        <v>3800</v>
      </c>
      <c r="J172" s="13" t="n">
        <f aca="false">IFERROR(IF(TRIM(Raw_Data!J172)="",0,IF(VALUE(TRIM(Raw_Data!J172))&gt;1,VALUE(TRIM(Raw_Data!J172))/100,VALUE(TRIM(Raw_Data!J172)))),0)</f>
        <v>0.1</v>
      </c>
      <c r="K172" s="9" t="str">
        <f aca="false">IF(TRIM(Raw_Data!K172)="","Unassigned",PROPER(TRIM(Raw_Data!K172)))</f>
        <v>Zoya Tariq</v>
      </c>
      <c r="L172" s="9" t="str">
        <f aca="false">IFERROR(INDEX({"Credit Card","Credit Card","Debit Card","Debit Card","Cash","PayPal"},MATCH(UPPER(LEFT(TRIM(Raw_Data!L172),2)),{"CR","CC","DE","DC","CA","PA"},0)),"Other")</f>
        <v>Cash</v>
      </c>
      <c r="M172" s="9" t="str">
        <f aca="false">IFERROR(INDEX({"Completed","Returned","Cancelled","Pending"},MATCH(UPPER(LEFT(TRIM(Raw_Data!M172),3)),{"COM","RET","CAN","PEN"},0)),"Unknown")</f>
        <v>Completed</v>
      </c>
      <c r="N172" s="14" t="n">
        <f aca="false">IF(OR(H172="",I172=""),"",H172*I172)</f>
        <v>3800</v>
      </c>
      <c r="O172" s="14" t="n">
        <f aca="false">IF(N172="","",N172*J172)</f>
        <v>380</v>
      </c>
      <c r="P172" s="14" t="n">
        <f aca="false">IF(N172="","",N172-O172)</f>
        <v>3420</v>
      </c>
      <c r="Q172" s="15" t="n">
        <f aca="false">IF(B172="","",DATE(YEAR(B172),MONTH(B172),1))</f>
        <v>45778</v>
      </c>
      <c r="R172" s="16" t="str">
        <f aca="false">IF(A172="","Invalid - Exclude",IF(COUNTIF($A$2:A172,A172)&gt;1,"Duplicate - Exclude",IF(OR(B172="",H172="",I172=""),"Invalid - Exclude","Valid")))</f>
        <v>Valid</v>
      </c>
      <c r="S172" s="16" t="str">
        <f aca="false">IF(R172="Valid","",IF(R172="Duplicate - Exclude","Repeat of an earlier Order ID",IF(B172="","Date missing or unreadable",IF(H172="","Quantity missing or unreadable",IF(I172="","Unit price missing or unreadable","Order ID missing")))))</f>
        <v/>
      </c>
    </row>
    <row r="173" customFormat="false" ht="15" hidden="false" customHeight="true" outlineLevel="0" collapsed="false">
      <c r="A173" s="17" t="str">
        <f aca="false">UPPER(TRIM(Raw_Data!A173))</f>
        <v>ORD-1169</v>
      </c>
      <c r="B173" s="18" t="n">
        <f aca="false">IFERROR(IF(ISNUMBER(Raw_Data!B173),Raw_Data!B173,IF(ISNUMBER(FIND("/",Raw_Data!B173)),DATE(VALUE(RIGHT(TRIM(Raw_Data!B173),4)),VALUE(MID(TRIM(Raw_Data!B173),4,2)),VALUE(LEFT(TRIM(Raw_Data!B173),2))),IF(MID(TRIM(Raw_Data!B173),5,1)="-",DATE(VALUE(LEFT(TRIM(Raw_Data!B173),4)),VALUE(MID(TRIM(Raw_Data!B173),6,2)),VALUE(RIGHT(TRIM(Raw_Data!B173),2))),DATE(VALUE(RIGHT(TRIM(Raw_Data!B173),4)),MATCH(MID(TRIM(Raw_Data!B173),4,3),{"Jan","Feb","Mar","Apr","May","Jun","Jul","Aug","Sep","Oct","Nov","Dec"},0),VALUE(LEFT(TRIM(Raw_Data!B173),2)))))),"")</f>
        <v>45716</v>
      </c>
      <c r="C173" s="17" t="str">
        <f aca="false">IF(TRIM(Raw_Data!C173)="","Unknown",PROPER(TRIM(Raw_Data!C173)))</f>
        <v>Omar Raza</v>
      </c>
      <c r="D173" s="17" t="str">
        <f aca="false">IFERROR(INDEX({"Punjab","Sindh","KPK","Balochistan"},MATCH(UPPER(LEFT(TRIM(Raw_Data!D173),1)),{"P","S","K","B"},0)),IFERROR(INDEX(Data_Dictionary!$G$4:$G$16,MATCH(E173,Data_Dictionary!$F$4:$F$16,0)),"Unassigned"))</f>
        <v>Punjab</v>
      </c>
      <c r="E173" s="17" t="str">
        <f aca="false">IF(TRIM(Raw_Data!E173)="","Unknown",PROPER(TRIM(Raw_Data!E173)))</f>
        <v>Lahore</v>
      </c>
      <c r="F173" s="17" t="str">
        <f aca="false">IFERROR(INDEX({"Electronics","Home &amp; Kitchen","Clothing","Groceries","Beauty"},MATCH(UPPER(LEFT(TRIM(Raw_Data!F173),3)),{"ELE","HOM","CLO","GRO","BEA"},0)),"Uncategorised")</f>
        <v>Groceries</v>
      </c>
      <c r="G173" s="17" t="str">
        <f aca="false">IF(TRIM(Raw_Data!G173)="","Unknown",PROPER(TRIM(Raw_Data!G173)))</f>
        <v>Refined Sugar 10 Kg</v>
      </c>
      <c r="H173" s="19" t="n">
        <f aca="false">IFERROR(ABS(VALUE(TRIM(Raw_Data!H173))),"")</f>
        <v>1</v>
      </c>
      <c r="I173" s="20" t="n">
        <f aca="false">IFERROR(VALUE(TRIM(SUBSTITUTE(SUBSTITUTE(SUBSTITUTE(SUBSTITUTE(TRIM(Raw_Data!I173),"PKR",""),"Rs.",""),"Rs",""),",",""))),"")</f>
        <v>1700</v>
      </c>
      <c r="J173" s="21" t="n">
        <f aca="false">IFERROR(IF(TRIM(Raw_Data!J173)="",0,IF(VALUE(TRIM(Raw_Data!J173))&gt;1,VALUE(TRIM(Raw_Data!J173))/100,VALUE(TRIM(Raw_Data!J173)))),0)</f>
        <v>0.2</v>
      </c>
      <c r="K173" s="17" t="str">
        <f aca="false">IF(TRIM(Raw_Data!K173)="","Unassigned",PROPER(TRIM(Raw_Data!K173)))</f>
        <v>Waqar Ahmed</v>
      </c>
      <c r="L173" s="17" t="str">
        <f aca="false">IFERROR(INDEX({"Credit Card","Credit Card","Debit Card","Debit Card","Cash","PayPal"},MATCH(UPPER(LEFT(TRIM(Raw_Data!L173),2)),{"CR","CC","DE","DC","CA","PA"},0)),"Other")</f>
        <v>Cash</v>
      </c>
      <c r="M173" s="17" t="str">
        <f aca="false">IFERROR(INDEX({"Completed","Returned","Cancelled","Pending"},MATCH(UPPER(LEFT(TRIM(Raw_Data!M173),3)),{"COM","RET","CAN","PEN"},0)),"Unknown")</f>
        <v>Completed</v>
      </c>
      <c r="N173" s="20" t="n">
        <f aca="false">IF(OR(H173="",I173=""),"",H173*I173)</f>
        <v>1700</v>
      </c>
      <c r="O173" s="20" t="n">
        <f aca="false">IF(N173="","",N173*J173)</f>
        <v>340</v>
      </c>
      <c r="P173" s="20" t="n">
        <f aca="false">IF(N173="","",N173-O173)</f>
        <v>1360</v>
      </c>
      <c r="Q173" s="22" t="n">
        <f aca="false">IF(B173="","",DATE(YEAR(B173),MONTH(B173),1))</f>
        <v>45689</v>
      </c>
      <c r="R173" s="17" t="str">
        <f aca="false">IF(A173="","Invalid - Exclude",IF(COUNTIF($A$2:A173,A173)&gt;1,"Duplicate - Exclude",IF(OR(B173="",H173="",I173=""),"Invalid - Exclude","Valid")))</f>
        <v>Valid</v>
      </c>
      <c r="S173" s="17" t="str">
        <f aca="false">IF(R173="Valid","",IF(R173="Duplicate - Exclude","Repeat of an earlier Order ID",IF(B173="","Date missing or unreadable",IF(H173="","Quantity missing or unreadable",IF(I173="","Unit price missing or unreadable","Order ID missing")))))</f>
        <v/>
      </c>
    </row>
    <row r="174" customFormat="false" ht="15" hidden="false" customHeight="true" outlineLevel="0" collapsed="false">
      <c r="A174" s="9" t="str">
        <f aca="false">UPPER(TRIM(Raw_Data!A174))</f>
        <v>ORD-1170</v>
      </c>
      <c r="B174" s="10" t="n">
        <f aca="false">IFERROR(IF(ISNUMBER(Raw_Data!B174),Raw_Data!B174,IF(ISNUMBER(FIND("/",Raw_Data!B174)),DATE(VALUE(RIGHT(TRIM(Raw_Data!B174),4)),VALUE(MID(TRIM(Raw_Data!B174),4,2)),VALUE(LEFT(TRIM(Raw_Data!B174),2))),IF(MID(TRIM(Raw_Data!B174),5,1)="-",DATE(VALUE(LEFT(TRIM(Raw_Data!B174),4)),VALUE(MID(TRIM(Raw_Data!B174),6,2)),VALUE(RIGHT(TRIM(Raw_Data!B174),2))),DATE(VALUE(RIGHT(TRIM(Raw_Data!B174),4)),MATCH(MID(TRIM(Raw_Data!B174),4,3),{"Jan","Feb","Mar","Apr","May","Jun","Jul","Aug","Sep","Oct","Nov","Dec"},0),VALUE(LEFT(TRIM(Raw_Data!B174),2)))))),"")</f>
        <v>45857</v>
      </c>
      <c r="C174" s="9" t="str">
        <f aca="false">IF(TRIM(Raw_Data!C174)="","Unknown",PROPER(TRIM(Raw_Data!C174)))</f>
        <v>Fatima Hussain</v>
      </c>
      <c r="D174" s="9" t="str">
        <f aca="false">IFERROR(INDEX({"Punjab","Sindh","KPK","Balochistan"},MATCH(UPPER(LEFT(TRIM(Raw_Data!D174),1)),{"P","S","K","B"},0)),IFERROR(INDEX(Data_Dictionary!$G$4:$G$16,MATCH(E174,Data_Dictionary!$F$4:$F$16,0)),"Unassigned"))</f>
        <v>Punjab</v>
      </c>
      <c r="E174" s="9" t="str">
        <f aca="false">IF(TRIM(Raw_Data!E174)="","Unknown",PROPER(TRIM(Raw_Data!E174)))</f>
        <v>Rawalpindi</v>
      </c>
      <c r="F174" s="9" t="str">
        <f aca="false">IFERROR(INDEX({"Electronics","Home &amp; Kitchen","Clothing","Groceries","Beauty"},MATCH(UPPER(LEFT(TRIM(Raw_Data!F174),3)),{"ELE","HOM","CLO","GRO","BEA"},0)),"Uncategorised")</f>
        <v>Electronics</v>
      </c>
      <c r="G174" s="9" t="str">
        <f aca="false">IF(TRIM(Raw_Data!G174)="","Unknown",PROPER(TRIM(Raw_Data!G174)))</f>
        <v>Wireless Earbuds</v>
      </c>
      <c r="H174" s="11" t="n">
        <f aca="false">IFERROR(ABS(VALUE(TRIM(Raw_Data!H174))),"")</f>
        <v>1</v>
      </c>
      <c r="I174" s="12" t="n">
        <f aca="false">IFERROR(VALUE(TRIM(SUBSTITUTE(SUBSTITUTE(SUBSTITUTE(SUBSTITUTE(TRIM(Raw_Data!I174),"PKR",""),"Rs.",""),"Rs",""),",",""))),"")</f>
        <v>6350</v>
      </c>
      <c r="J174" s="13" t="n">
        <f aca="false">IFERROR(IF(TRIM(Raw_Data!J174)="",0,IF(VALUE(TRIM(Raw_Data!J174))&gt;1,VALUE(TRIM(Raw_Data!J174))/100,VALUE(TRIM(Raw_Data!J174)))),0)</f>
        <v>0.1</v>
      </c>
      <c r="K174" s="9" t="str">
        <f aca="false">IF(TRIM(Raw_Data!K174)="","Unassigned",PROPER(TRIM(Raw_Data!K174)))</f>
        <v>Sadia Noor</v>
      </c>
      <c r="L174" s="9" t="str">
        <f aca="false">IFERROR(INDEX({"Credit Card","Credit Card","Debit Card","Debit Card","Cash","PayPal"},MATCH(UPPER(LEFT(TRIM(Raw_Data!L174),2)),{"CR","CC","DE","DC","CA","PA"},0)),"Other")</f>
        <v>Debit Card</v>
      </c>
      <c r="M174" s="9" t="str">
        <f aca="false">IFERROR(INDEX({"Completed","Returned","Cancelled","Pending"},MATCH(UPPER(LEFT(TRIM(Raw_Data!M174),3)),{"COM","RET","CAN","PEN"},0)),"Unknown")</f>
        <v>Completed</v>
      </c>
      <c r="N174" s="14" t="n">
        <f aca="false">IF(OR(H174="",I174=""),"",H174*I174)</f>
        <v>6350</v>
      </c>
      <c r="O174" s="14" t="n">
        <f aca="false">IF(N174="","",N174*J174)</f>
        <v>635</v>
      </c>
      <c r="P174" s="14" t="n">
        <f aca="false">IF(N174="","",N174-O174)</f>
        <v>5715</v>
      </c>
      <c r="Q174" s="15" t="n">
        <f aca="false">IF(B174="","",DATE(YEAR(B174),MONTH(B174),1))</f>
        <v>45839</v>
      </c>
      <c r="R174" s="16" t="str">
        <f aca="false">IF(A174="","Invalid - Exclude",IF(COUNTIF($A$2:A174,A174)&gt;1,"Duplicate - Exclude",IF(OR(B174="",H174="",I174=""),"Invalid - Exclude","Valid")))</f>
        <v>Valid</v>
      </c>
      <c r="S174" s="16" t="str">
        <f aca="false">IF(R174="Valid","",IF(R174="Duplicate - Exclude","Repeat of an earlier Order ID",IF(B174="","Date missing or unreadable",IF(H174="","Quantity missing or unreadable",IF(I174="","Unit price missing or unreadable","Order ID missing")))))</f>
        <v/>
      </c>
    </row>
    <row r="175" customFormat="false" ht="15" hidden="false" customHeight="true" outlineLevel="0" collapsed="false">
      <c r="A175" s="17" t="str">
        <f aca="false">UPPER(TRIM(Raw_Data!A175))</f>
        <v>ORD-1171</v>
      </c>
      <c r="B175" s="18" t="n">
        <f aca="false">IFERROR(IF(ISNUMBER(Raw_Data!B175),Raw_Data!B175,IF(ISNUMBER(FIND("/",Raw_Data!B175)),DATE(VALUE(RIGHT(TRIM(Raw_Data!B175),4)),VALUE(MID(TRIM(Raw_Data!B175),4,2)),VALUE(LEFT(TRIM(Raw_Data!B175),2))),IF(MID(TRIM(Raw_Data!B175),5,1)="-",DATE(VALUE(LEFT(TRIM(Raw_Data!B175),4)),VALUE(MID(TRIM(Raw_Data!B175),6,2)),VALUE(RIGHT(TRIM(Raw_Data!B175),2))),DATE(VALUE(RIGHT(TRIM(Raw_Data!B175),4)),MATCH(MID(TRIM(Raw_Data!B175),4,3),{"Jan","Feb","Mar","Apr","May","Jun","Jul","Aug","Sep","Oct","Nov","Dec"},0),VALUE(LEFT(TRIM(Raw_Data!B175),2)))))),"")</f>
        <v>45731</v>
      </c>
      <c r="C175" s="17" t="str">
        <f aca="false">IF(TRIM(Raw_Data!C175)="","Unknown",PROPER(TRIM(Raw_Data!C175)))</f>
        <v>Noor Butt</v>
      </c>
      <c r="D175" s="17" t="str">
        <f aca="false">IFERROR(INDEX({"Punjab","Sindh","KPK","Balochistan"},MATCH(UPPER(LEFT(TRIM(Raw_Data!D175),1)),{"P","S","K","B"},0)),IFERROR(INDEX(Data_Dictionary!$G$4:$G$16,MATCH(E175,Data_Dictionary!$F$4:$F$16,0)),"Unassigned"))</f>
        <v>Punjab</v>
      </c>
      <c r="E175" s="17" t="str">
        <f aca="false">IF(TRIM(Raw_Data!E175)="","Unknown",PROPER(TRIM(Raw_Data!E175)))</f>
        <v>Rawalpindi</v>
      </c>
      <c r="F175" s="17" t="str">
        <f aca="false">IFERROR(INDEX({"Electronics","Home &amp; Kitchen","Clothing","Groceries","Beauty"},MATCH(UPPER(LEFT(TRIM(Raw_Data!F175),3)),{"ELE","HOM","CLO","GRO","BEA"},0)),"Uncategorised")</f>
        <v>Beauty</v>
      </c>
      <c r="G175" s="17" t="str">
        <f aca="false">IF(TRIM(Raw_Data!G175)="","Unknown",PROPER(TRIM(Raw_Data!G175)))</f>
        <v>Perfume Spray</v>
      </c>
      <c r="H175" s="19" t="n">
        <f aca="false">IFERROR(ABS(VALUE(TRIM(Raw_Data!H175))),"")</f>
        <v>1</v>
      </c>
      <c r="I175" s="20" t="n">
        <f aca="false">IFERROR(VALUE(TRIM(SUBSTITUTE(SUBSTITUTE(SUBSTITUTE(SUBSTITUTE(TRIM(Raw_Data!I175),"PKR",""),"Rs.",""),"Rs",""),",",""))),"")</f>
        <v>3850</v>
      </c>
      <c r="J175" s="21" t="n">
        <f aca="false">IFERROR(IF(TRIM(Raw_Data!J175)="",0,IF(VALUE(TRIM(Raw_Data!J175))&gt;1,VALUE(TRIM(Raw_Data!J175))/100,VALUE(TRIM(Raw_Data!J175)))),0)</f>
        <v>0</v>
      </c>
      <c r="K175" s="17" t="str">
        <f aca="false">IF(TRIM(Raw_Data!K175)="","Unassigned",PROPER(TRIM(Raw_Data!K175)))</f>
        <v>Imran Shah</v>
      </c>
      <c r="L175" s="17" t="str">
        <f aca="false">IFERROR(INDEX({"Credit Card","Credit Card","Debit Card","Debit Card","Cash","PayPal"},MATCH(UPPER(LEFT(TRIM(Raw_Data!L175),2)),{"CR","CC","DE","DC","CA","PA"},0)),"Other")</f>
        <v>PayPal</v>
      </c>
      <c r="M175" s="17" t="str">
        <f aca="false">IFERROR(INDEX({"Completed","Returned","Cancelled","Pending"},MATCH(UPPER(LEFT(TRIM(Raw_Data!M175),3)),{"COM","RET","CAN","PEN"},0)),"Unknown")</f>
        <v>Completed</v>
      </c>
      <c r="N175" s="20" t="n">
        <f aca="false">IF(OR(H175="",I175=""),"",H175*I175)</f>
        <v>3850</v>
      </c>
      <c r="O175" s="20" t="n">
        <f aca="false">IF(N175="","",N175*J175)</f>
        <v>0</v>
      </c>
      <c r="P175" s="20" t="n">
        <f aca="false">IF(N175="","",N175-O175)</f>
        <v>3850</v>
      </c>
      <c r="Q175" s="22" t="n">
        <f aca="false">IF(B175="","",DATE(YEAR(B175),MONTH(B175),1))</f>
        <v>45717</v>
      </c>
      <c r="R175" s="17" t="str">
        <f aca="false">IF(A175="","Invalid - Exclude",IF(COUNTIF($A$2:A175,A175)&gt;1,"Duplicate - Exclude",IF(OR(B175="",H175="",I175=""),"Invalid - Exclude","Valid")))</f>
        <v>Valid</v>
      </c>
      <c r="S175" s="17" t="str">
        <f aca="false">IF(R175="Valid","",IF(R175="Duplicate - Exclude","Repeat of an earlier Order ID",IF(B175="","Date missing or unreadable",IF(H175="","Quantity missing or unreadable",IF(I175="","Unit price missing or unreadable","Order ID missing")))))</f>
        <v/>
      </c>
    </row>
    <row r="176" customFormat="false" ht="15" hidden="false" customHeight="true" outlineLevel="0" collapsed="false">
      <c r="A176" s="9" t="str">
        <f aca="false">UPPER(TRIM(Raw_Data!A176))</f>
        <v>ORD-1172</v>
      </c>
      <c r="B176" s="10" t="n">
        <f aca="false">IFERROR(IF(ISNUMBER(Raw_Data!B176),Raw_Data!B176,IF(ISNUMBER(FIND("/",Raw_Data!B176)),DATE(VALUE(RIGHT(TRIM(Raw_Data!B176),4)),VALUE(MID(TRIM(Raw_Data!B176),4,2)),VALUE(LEFT(TRIM(Raw_Data!B176),2))),IF(MID(TRIM(Raw_Data!B176),5,1)="-",DATE(VALUE(LEFT(TRIM(Raw_Data!B176),4)),VALUE(MID(TRIM(Raw_Data!B176),6,2)),VALUE(RIGHT(TRIM(Raw_Data!B176),2))),DATE(VALUE(RIGHT(TRIM(Raw_Data!B176),4)),MATCH(MID(TRIM(Raw_Data!B176),4,3),{"Jan","Feb","Mar","Apr","May","Jun","Jul","Aug","Sep","Oct","Nov","Dec"},0),VALUE(LEFT(TRIM(Raw_Data!B176),2)))))),"")</f>
        <v>45736</v>
      </c>
      <c r="C176" s="9" t="str">
        <f aca="false">IF(TRIM(Raw_Data!C176)="","Unknown",PROPER(TRIM(Raw_Data!C176)))</f>
        <v>Maryam Qureshi</v>
      </c>
      <c r="D176" s="9" t="str">
        <f aca="false">IFERROR(INDEX({"Punjab","Sindh","KPK","Balochistan"},MATCH(UPPER(LEFT(TRIM(Raw_Data!D176),1)),{"P","S","K","B"},0)),IFERROR(INDEX(Data_Dictionary!$G$4:$G$16,MATCH(E176,Data_Dictionary!$F$4:$F$16,0)),"Unassigned"))</f>
        <v>Punjab</v>
      </c>
      <c r="E176" s="9" t="str">
        <f aca="false">IF(TRIM(Raw_Data!E176)="","Unknown",PROPER(TRIM(Raw_Data!E176)))</f>
        <v>Gujranwala</v>
      </c>
      <c r="F176" s="9" t="str">
        <f aca="false">IFERROR(INDEX({"Electronics","Home &amp; Kitchen","Clothing","Groceries","Beauty"},MATCH(UPPER(LEFT(TRIM(Raw_Data!F176),3)),{"ELE","HOM","CLO","GRO","BEA"},0)),"Uncategorised")</f>
        <v>Groceries</v>
      </c>
      <c r="G176" s="9" t="str">
        <f aca="false">IF(TRIM(Raw_Data!G176)="","Unknown",PROPER(TRIM(Raw_Data!G176)))</f>
        <v>Cooking Oil 5 Litre</v>
      </c>
      <c r="H176" s="11" t="n">
        <f aca="false">IFERROR(ABS(VALUE(TRIM(Raw_Data!H176))),"")</f>
        <v>5</v>
      </c>
      <c r="I176" s="12" t="n">
        <f aca="false">IFERROR(VALUE(TRIM(SUBSTITUTE(SUBSTITUTE(SUBSTITUTE(SUBSTITUTE(TRIM(Raw_Data!I176),"PKR",""),"Rs.",""),"Rs",""),",",""))),"")</f>
        <v>2300</v>
      </c>
      <c r="J176" s="13" t="n">
        <f aca="false">IFERROR(IF(TRIM(Raw_Data!J176)="",0,IF(VALUE(TRIM(Raw_Data!J176))&gt;1,VALUE(TRIM(Raw_Data!J176))/100,VALUE(TRIM(Raw_Data!J176)))),0)</f>
        <v>0.2</v>
      </c>
      <c r="K176" s="9" t="str">
        <f aca="false">IF(TRIM(Raw_Data!K176)="","Unassigned",PROPER(TRIM(Raw_Data!K176)))</f>
        <v>Imran Shah</v>
      </c>
      <c r="L176" s="9" t="str">
        <f aca="false">IFERROR(INDEX({"Credit Card","Credit Card","Debit Card","Debit Card","Cash","PayPal"},MATCH(UPPER(LEFT(TRIM(Raw_Data!L176),2)),{"CR","CC","DE","DC","CA","PA"},0)),"Other")</f>
        <v>Debit Card</v>
      </c>
      <c r="M176" s="9" t="str">
        <f aca="false">IFERROR(INDEX({"Completed","Returned","Cancelled","Pending"},MATCH(UPPER(LEFT(TRIM(Raw_Data!M176),3)),{"COM","RET","CAN","PEN"},0)),"Unknown")</f>
        <v>Completed</v>
      </c>
      <c r="N176" s="14" t="n">
        <f aca="false">IF(OR(H176="",I176=""),"",H176*I176)</f>
        <v>11500</v>
      </c>
      <c r="O176" s="14" t="n">
        <f aca="false">IF(N176="","",N176*J176)</f>
        <v>2300</v>
      </c>
      <c r="P176" s="14" t="n">
        <f aca="false">IF(N176="","",N176-O176)</f>
        <v>9200</v>
      </c>
      <c r="Q176" s="15" t="n">
        <f aca="false">IF(B176="","",DATE(YEAR(B176),MONTH(B176),1))</f>
        <v>45717</v>
      </c>
      <c r="R176" s="16" t="str">
        <f aca="false">IF(A176="","Invalid - Exclude",IF(COUNTIF($A$2:A176,A176)&gt;1,"Duplicate - Exclude",IF(OR(B176="",H176="",I176=""),"Invalid - Exclude","Valid")))</f>
        <v>Valid</v>
      </c>
      <c r="S176" s="16" t="str">
        <f aca="false">IF(R176="Valid","",IF(R176="Duplicate - Exclude","Repeat of an earlier Order ID",IF(B176="","Date missing or unreadable",IF(H176="","Quantity missing or unreadable",IF(I176="","Unit price missing or unreadable","Order ID missing")))))</f>
        <v/>
      </c>
    </row>
    <row r="177" customFormat="false" ht="15" hidden="false" customHeight="true" outlineLevel="0" collapsed="false">
      <c r="A177" s="17" t="str">
        <f aca="false">UPPER(TRIM(Raw_Data!A177))</f>
        <v>ORD-1156</v>
      </c>
      <c r="B177" s="18" t="n">
        <f aca="false">IFERROR(IF(ISNUMBER(Raw_Data!B177),Raw_Data!B177,IF(ISNUMBER(FIND("/",Raw_Data!B177)),DATE(VALUE(RIGHT(TRIM(Raw_Data!B177),4)),VALUE(MID(TRIM(Raw_Data!B177),4,2)),VALUE(LEFT(TRIM(Raw_Data!B177),2))),IF(MID(TRIM(Raw_Data!B177),5,1)="-",DATE(VALUE(LEFT(TRIM(Raw_Data!B177),4)),VALUE(MID(TRIM(Raw_Data!B177),6,2)),VALUE(RIGHT(TRIM(Raw_Data!B177),2))),DATE(VALUE(RIGHT(TRIM(Raw_Data!B177),4)),MATCH(MID(TRIM(Raw_Data!B177),4,3),{"Jan","Feb","Mar","Apr","May","Jun","Jul","Aug","Sep","Oct","Nov","Dec"},0),VALUE(LEFT(TRIM(Raw_Data!B177),2)))))),"")</f>
        <v>45779</v>
      </c>
      <c r="C177" s="17" t="str">
        <f aca="false">IF(TRIM(Raw_Data!C177)="","Unknown",PROPER(TRIM(Raw_Data!C177)))</f>
        <v>Hassan Iqbal</v>
      </c>
      <c r="D177" s="17" t="str">
        <f aca="false">IFERROR(INDEX({"Punjab","Sindh","KPK","Balochistan"},MATCH(UPPER(LEFT(TRIM(Raw_Data!D177),1)),{"P","S","K","B"},0)),IFERROR(INDEX(Data_Dictionary!$G$4:$G$16,MATCH(E177,Data_Dictionary!$F$4:$F$16,0)),"Unassigned"))</f>
        <v>KPK</v>
      </c>
      <c r="E177" s="17" t="str">
        <f aca="false">IF(TRIM(Raw_Data!E177)="","Unknown",PROPER(TRIM(Raw_Data!E177)))</f>
        <v>Mardan</v>
      </c>
      <c r="F177" s="17" t="str">
        <f aca="false">IFERROR(INDEX({"Electronics","Home &amp; Kitchen","Clothing","Groceries","Beauty"},MATCH(UPPER(LEFT(TRIM(Raw_Data!F177),3)),{"ELE","HOM","CLO","GRO","BEA"},0)),"Uncategorised")</f>
        <v>Home &amp; Kitchen</v>
      </c>
      <c r="G177" s="17" t="str">
        <f aca="false">IF(TRIM(Raw_Data!G177)="","Unknown",PROPER(TRIM(Raw_Data!G177)))</f>
        <v>Hand Blender</v>
      </c>
      <c r="H177" s="19" t="n">
        <f aca="false">IFERROR(ABS(VALUE(TRIM(Raw_Data!H177))),"")</f>
        <v>1</v>
      </c>
      <c r="I177" s="20" t="n">
        <f aca="false">IFERROR(VALUE(TRIM(SUBSTITUTE(SUBSTITUTE(SUBSTITUTE(SUBSTITUTE(TRIM(Raw_Data!I177),"PKR",""),"Rs.",""),"Rs",""),",",""))),"")</f>
        <v>3750</v>
      </c>
      <c r="J177" s="21" t="n">
        <f aca="false">IFERROR(IF(TRIM(Raw_Data!J177)="",0,IF(VALUE(TRIM(Raw_Data!J177))&gt;1,VALUE(TRIM(Raw_Data!J177))/100,VALUE(TRIM(Raw_Data!J177)))),0)</f>
        <v>0</v>
      </c>
      <c r="K177" s="17" t="str">
        <f aca="false">IF(TRIM(Raw_Data!K177)="","Unassigned",PROPER(TRIM(Raw_Data!K177)))</f>
        <v>Nimra Aslam</v>
      </c>
      <c r="L177" s="17" t="str">
        <f aca="false">IFERROR(INDEX({"Credit Card","Credit Card","Debit Card","Debit Card","Cash","PayPal"},MATCH(UPPER(LEFT(TRIM(Raw_Data!L177),2)),{"CR","CC","DE","DC","CA","PA"},0)),"Other")</f>
        <v>Debit Card</v>
      </c>
      <c r="M177" s="17" t="str">
        <f aca="false">IFERROR(INDEX({"Completed","Returned","Cancelled","Pending"},MATCH(UPPER(LEFT(TRIM(Raw_Data!M177),3)),{"COM","RET","CAN","PEN"},0)),"Unknown")</f>
        <v>Completed</v>
      </c>
      <c r="N177" s="20" t="n">
        <f aca="false">IF(OR(H177="",I177=""),"",H177*I177)</f>
        <v>3750</v>
      </c>
      <c r="O177" s="20" t="n">
        <f aca="false">IF(N177="","",N177*J177)</f>
        <v>0</v>
      </c>
      <c r="P177" s="20" t="n">
        <f aca="false">IF(N177="","",N177-O177)</f>
        <v>3750</v>
      </c>
      <c r="Q177" s="22" t="n">
        <f aca="false">IF(B177="","",DATE(YEAR(B177),MONTH(B177),1))</f>
        <v>45778</v>
      </c>
      <c r="R177" s="17" t="str">
        <f aca="false">IF(A177="","Invalid - Exclude",IF(COUNTIF($A$2:A177,A177)&gt;1,"Duplicate - Exclude",IF(OR(B177="",H177="",I177=""),"Invalid - Exclude","Valid")))</f>
        <v>Duplicate - Exclude</v>
      </c>
      <c r="S177" s="17" t="str">
        <f aca="false">IF(R177="Valid","",IF(R177="Duplicate - Exclude","Repeat of an earlier Order ID",IF(B177="","Date missing or unreadable",IF(H177="","Quantity missing or unreadable",IF(I177="","Unit price missing or unreadable","Order ID missing")))))</f>
        <v>Repeat of an earlier Order ID</v>
      </c>
    </row>
    <row r="178" customFormat="false" ht="15" hidden="false" customHeight="true" outlineLevel="0" collapsed="false">
      <c r="A178" s="9" t="str">
        <f aca="false">UPPER(TRIM(Raw_Data!A178))</f>
        <v>ORD-1173</v>
      </c>
      <c r="B178" s="10" t="n">
        <f aca="false">IFERROR(IF(ISNUMBER(Raw_Data!B178),Raw_Data!B178,IF(ISNUMBER(FIND("/",Raw_Data!B178)),DATE(VALUE(RIGHT(TRIM(Raw_Data!B178),4)),VALUE(MID(TRIM(Raw_Data!B178),4,2)),VALUE(LEFT(TRIM(Raw_Data!B178),2))),IF(MID(TRIM(Raw_Data!B178),5,1)="-",DATE(VALUE(LEFT(TRIM(Raw_Data!B178),4)),VALUE(MID(TRIM(Raw_Data!B178),6,2)),VALUE(RIGHT(TRIM(Raw_Data!B178),2))),DATE(VALUE(RIGHT(TRIM(Raw_Data!B178),4)),MATCH(MID(TRIM(Raw_Data!B178),4,3),{"Jan","Feb","Mar","Apr","May","Jun","Jul","Aug","Sep","Oct","Nov","Dec"},0),VALUE(LEFT(TRIM(Raw_Data!B178),2)))))),"")</f>
        <v>45965</v>
      </c>
      <c r="C178" s="9" t="str">
        <f aca="false">IF(TRIM(Raw_Data!C178)="","Unknown",PROPER(TRIM(Raw_Data!C178)))</f>
        <v>Omar Sheikh</v>
      </c>
      <c r="D178" s="9" t="str">
        <f aca="false">IFERROR(INDEX({"Punjab","Sindh","KPK","Balochistan"},MATCH(UPPER(LEFT(TRIM(Raw_Data!D178),1)),{"P","S","K","B"},0)),IFERROR(INDEX(Data_Dictionary!$G$4:$G$16,MATCH(E178,Data_Dictionary!$F$4:$F$16,0)),"Unassigned"))</f>
        <v>Sindh</v>
      </c>
      <c r="E178" s="9" t="str">
        <f aca="false">IF(TRIM(Raw_Data!E178)="","Unknown",PROPER(TRIM(Raw_Data!E178)))</f>
        <v>Karachi</v>
      </c>
      <c r="F178" s="9" t="str">
        <f aca="false">IFERROR(INDEX({"Electronics","Home &amp; Kitchen","Clothing","Groceries","Beauty"},MATCH(UPPER(LEFT(TRIM(Raw_Data!F178),3)),{"ELE","HOM","CLO","GRO","BEA"},0)),"Uncategorised")</f>
        <v>Electronics</v>
      </c>
      <c r="G178" s="9" t="str">
        <f aca="false">IF(TRIM(Raw_Data!G178)="","Unknown",PROPER(TRIM(Raw_Data!G178)))</f>
        <v>Bluetooth Speaker</v>
      </c>
      <c r="H178" s="11" t="n">
        <f aca="false">IFERROR(ABS(VALUE(TRIM(Raw_Data!H178))),"")</f>
        <v>3</v>
      </c>
      <c r="I178" s="12" t="n">
        <f aca="false">IFERROR(VALUE(TRIM(SUBSTITUTE(SUBSTITUTE(SUBSTITUTE(SUBSTITUTE(TRIM(Raw_Data!I178),"PKR",""),"Rs.",""),"Rs",""),",",""))),"")</f>
        <v>4600</v>
      </c>
      <c r="J178" s="13" t="n">
        <f aca="false">IFERROR(IF(TRIM(Raw_Data!J178)="",0,IF(VALUE(TRIM(Raw_Data!J178))&gt;1,VALUE(TRIM(Raw_Data!J178))/100,VALUE(TRIM(Raw_Data!J178)))),0)</f>
        <v>0</v>
      </c>
      <c r="K178" s="9" t="str">
        <f aca="false">IF(TRIM(Raw_Data!K178)="","Unassigned",PROPER(TRIM(Raw_Data!K178)))</f>
        <v>Nimra Aslam</v>
      </c>
      <c r="L178" s="9" t="str">
        <f aca="false">IFERROR(INDEX({"Credit Card","Credit Card","Debit Card","Debit Card","Cash","PayPal"},MATCH(UPPER(LEFT(TRIM(Raw_Data!L178),2)),{"CR","CC","DE","DC","CA","PA"},0)),"Other")</f>
        <v>Debit Card</v>
      </c>
      <c r="M178" s="9" t="str">
        <f aca="false">IFERROR(INDEX({"Completed","Returned","Cancelled","Pending"},MATCH(UPPER(LEFT(TRIM(Raw_Data!M178),3)),{"COM","RET","CAN","PEN"},0)),"Unknown")</f>
        <v>Completed</v>
      </c>
      <c r="N178" s="14" t="n">
        <f aca="false">IF(OR(H178="",I178=""),"",H178*I178)</f>
        <v>13800</v>
      </c>
      <c r="O178" s="14" t="n">
        <f aca="false">IF(N178="","",N178*J178)</f>
        <v>0</v>
      </c>
      <c r="P178" s="14" t="n">
        <f aca="false">IF(N178="","",N178-O178)</f>
        <v>13800</v>
      </c>
      <c r="Q178" s="15" t="n">
        <f aca="false">IF(B178="","",DATE(YEAR(B178),MONTH(B178),1))</f>
        <v>45962</v>
      </c>
      <c r="R178" s="16" t="str">
        <f aca="false">IF(A178="","Invalid - Exclude",IF(COUNTIF($A$2:A178,A178)&gt;1,"Duplicate - Exclude",IF(OR(B178="",H178="",I178=""),"Invalid - Exclude","Valid")))</f>
        <v>Valid</v>
      </c>
      <c r="S178" s="16" t="str">
        <f aca="false">IF(R178="Valid","",IF(R178="Duplicate - Exclude","Repeat of an earlier Order ID",IF(B178="","Date missing or unreadable",IF(H178="","Quantity missing or unreadable",IF(I178="","Unit price missing or unreadable","Order ID missing")))))</f>
        <v/>
      </c>
    </row>
    <row r="179" customFormat="false" ht="15" hidden="false" customHeight="true" outlineLevel="0" collapsed="false">
      <c r="A179" s="17" t="str">
        <f aca="false">UPPER(TRIM(Raw_Data!A179))</f>
        <v>ORD-1174</v>
      </c>
      <c r="B179" s="18" t="n">
        <f aca="false">IFERROR(IF(ISNUMBER(Raw_Data!B179),Raw_Data!B179,IF(ISNUMBER(FIND("/",Raw_Data!B179)),DATE(VALUE(RIGHT(TRIM(Raw_Data!B179),4)),VALUE(MID(TRIM(Raw_Data!B179),4,2)),VALUE(LEFT(TRIM(Raw_Data!B179),2))),IF(MID(TRIM(Raw_Data!B179),5,1)="-",DATE(VALUE(LEFT(TRIM(Raw_Data!B179),4)),VALUE(MID(TRIM(Raw_Data!B179),6,2)),VALUE(RIGHT(TRIM(Raw_Data!B179),2))),DATE(VALUE(RIGHT(TRIM(Raw_Data!B179),4)),MATCH(MID(TRIM(Raw_Data!B179),4,3),{"Jan","Feb","Mar","Apr","May","Jun","Jul","Aug","Sep","Oct","Nov","Dec"},0),VALUE(LEFT(TRIM(Raw_Data!B179),2)))))),"")</f>
        <v>45827</v>
      </c>
      <c r="C179" s="17" t="str">
        <f aca="false">IF(TRIM(Raw_Data!C179)="","Unknown",PROPER(TRIM(Raw_Data!C179)))</f>
        <v>Iqra Malik</v>
      </c>
      <c r="D179" s="17" t="str">
        <f aca="false">IFERROR(INDEX({"Punjab","Sindh","KPK","Balochistan"},MATCH(UPPER(LEFT(TRIM(Raw_Data!D179),1)),{"P","S","K","B"},0)),IFERROR(INDEX(Data_Dictionary!$G$4:$G$16,MATCH(E179,Data_Dictionary!$F$4:$F$16,0)),"Unassigned"))</f>
        <v>Punjab</v>
      </c>
      <c r="E179" s="17" t="str">
        <f aca="false">IF(TRIM(Raw_Data!E179)="","Unknown",PROPER(TRIM(Raw_Data!E179)))</f>
        <v>Gujranwala</v>
      </c>
      <c r="F179" s="17" t="str">
        <f aca="false">IFERROR(INDEX({"Electronics","Home &amp; Kitchen","Clothing","Groceries","Beauty"},MATCH(UPPER(LEFT(TRIM(Raw_Data!F179),3)),{"ELE","HOM","CLO","GRO","BEA"},0)),"Uncategorised")</f>
        <v>Beauty</v>
      </c>
      <c r="G179" s="17" t="str">
        <f aca="false">IF(TRIM(Raw_Data!G179)="","Unknown",PROPER(TRIM(Raw_Data!G179)))</f>
        <v>Perfume Spray</v>
      </c>
      <c r="H179" s="19" t="n">
        <f aca="false">IFERROR(ABS(VALUE(TRIM(Raw_Data!H179))),"")</f>
        <v>1</v>
      </c>
      <c r="I179" s="20" t="n">
        <f aca="false">IFERROR(VALUE(TRIM(SUBSTITUTE(SUBSTITUTE(SUBSTITUTE(SUBSTITUTE(TRIM(Raw_Data!I179),"PKR",""),"Rs.",""),"Rs",""),",",""))),"")</f>
        <v>3800</v>
      </c>
      <c r="J179" s="21" t="n">
        <f aca="false">IFERROR(IF(TRIM(Raw_Data!J179)="",0,IF(VALUE(TRIM(Raw_Data!J179))&gt;1,VALUE(TRIM(Raw_Data!J179))/100,VALUE(TRIM(Raw_Data!J179)))),0)</f>
        <v>0.05</v>
      </c>
      <c r="K179" s="17" t="str">
        <f aca="false">IF(TRIM(Raw_Data!K179)="","Unassigned",PROPER(TRIM(Raw_Data!K179)))</f>
        <v>Faisal Mehmood</v>
      </c>
      <c r="L179" s="17" t="str">
        <f aca="false">IFERROR(INDEX({"Credit Card","Credit Card","Debit Card","Debit Card","Cash","PayPal"},MATCH(UPPER(LEFT(TRIM(Raw_Data!L179),2)),{"CR","CC","DE","DC","CA","PA"},0)),"Other")</f>
        <v>Credit Card</v>
      </c>
      <c r="M179" s="17" t="str">
        <f aca="false">IFERROR(INDEX({"Completed","Returned","Cancelled","Pending"},MATCH(UPPER(LEFT(TRIM(Raw_Data!M179),3)),{"COM","RET","CAN","PEN"},0)),"Unknown")</f>
        <v>Returned</v>
      </c>
      <c r="N179" s="20" t="n">
        <f aca="false">IF(OR(H179="",I179=""),"",H179*I179)</f>
        <v>3800</v>
      </c>
      <c r="O179" s="20" t="n">
        <f aca="false">IF(N179="","",N179*J179)</f>
        <v>190</v>
      </c>
      <c r="P179" s="20" t="n">
        <f aca="false">IF(N179="","",N179-O179)</f>
        <v>3610</v>
      </c>
      <c r="Q179" s="22" t="n">
        <f aca="false">IF(B179="","",DATE(YEAR(B179),MONTH(B179),1))</f>
        <v>45809</v>
      </c>
      <c r="R179" s="17" t="str">
        <f aca="false">IF(A179="","Invalid - Exclude",IF(COUNTIF($A$2:A179,A179)&gt;1,"Duplicate - Exclude",IF(OR(B179="",H179="",I179=""),"Invalid - Exclude","Valid")))</f>
        <v>Valid</v>
      </c>
      <c r="S179" s="17" t="str">
        <f aca="false">IF(R179="Valid","",IF(R179="Duplicate - Exclude","Repeat of an earlier Order ID",IF(B179="","Date missing or unreadable",IF(H179="","Quantity missing or unreadable",IF(I179="","Unit price missing or unreadable","Order ID missing")))))</f>
        <v/>
      </c>
    </row>
    <row r="180" customFormat="false" ht="15" hidden="false" customHeight="true" outlineLevel="0" collapsed="false">
      <c r="A180" s="9" t="str">
        <f aca="false">UPPER(TRIM(Raw_Data!A180))</f>
        <v>ORD-1175</v>
      </c>
      <c r="B180" s="10" t="n">
        <f aca="false">IFERROR(IF(ISNUMBER(Raw_Data!B180),Raw_Data!B180,IF(ISNUMBER(FIND("/",Raw_Data!B180)),DATE(VALUE(RIGHT(TRIM(Raw_Data!B180),4)),VALUE(MID(TRIM(Raw_Data!B180),4,2)),VALUE(LEFT(TRIM(Raw_Data!B180),2))),IF(MID(TRIM(Raw_Data!B180),5,1)="-",DATE(VALUE(LEFT(TRIM(Raw_Data!B180),4)),VALUE(MID(TRIM(Raw_Data!B180),6,2)),VALUE(RIGHT(TRIM(Raw_Data!B180),2))),DATE(VALUE(RIGHT(TRIM(Raw_Data!B180),4)),MATCH(MID(TRIM(Raw_Data!B180),4,3),{"Jan","Feb","Mar","Apr","May","Jun","Jul","Aug","Sep","Oct","Nov","Dec"},0),VALUE(LEFT(TRIM(Raw_Data!B180),2)))))),"")</f>
        <v>45724</v>
      </c>
      <c r="C180" s="9" t="str">
        <f aca="false">IF(TRIM(Raw_Data!C180)="","Unknown",PROPER(TRIM(Raw_Data!C180)))</f>
        <v>Unknown</v>
      </c>
      <c r="D180" s="9" t="str">
        <f aca="false">IFERROR(INDEX({"Punjab","Sindh","KPK","Balochistan"},MATCH(UPPER(LEFT(TRIM(Raw_Data!D180),1)),{"P","S","K","B"},0)),IFERROR(INDEX(Data_Dictionary!$G$4:$G$16,MATCH(E180,Data_Dictionary!$F$4:$F$16,0)),"Unassigned"))</f>
        <v>Punjab</v>
      </c>
      <c r="E180" s="9" t="str">
        <f aca="false">IF(TRIM(Raw_Data!E180)="","Unknown",PROPER(TRIM(Raw_Data!E180)))</f>
        <v>Lahore</v>
      </c>
      <c r="F180" s="9" t="str">
        <f aca="false">IFERROR(INDEX({"Electronics","Home &amp; Kitchen","Clothing","Groceries","Beauty"},MATCH(UPPER(LEFT(TRIM(Raw_Data!F180),3)),{"ELE","HOM","CLO","GRO","BEA"},0)),"Uncategorised")</f>
        <v>Groceries</v>
      </c>
      <c r="G180" s="9" t="str">
        <f aca="false">IF(TRIM(Raw_Data!G180)="","Unknown",PROPER(TRIM(Raw_Data!G180)))</f>
        <v>Cooking Oil 5 Litre</v>
      </c>
      <c r="H180" s="11" t="n">
        <f aca="false">IFERROR(ABS(VALUE(TRIM(Raw_Data!H180))),"")</f>
        <v>1</v>
      </c>
      <c r="I180" s="12" t="n">
        <f aca="false">IFERROR(VALUE(TRIM(SUBSTITUTE(SUBSTITUTE(SUBSTITUTE(SUBSTITUTE(TRIM(Raw_Data!I180),"PKR",""),"Rs.",""),"Rs",""),",",""))),"")</f>
        <v>2350</v>
      </c>
      <c r="J180" s="13" t="n">
        <f aca="false">IFERROR(IF(TRIM(Raw_Data!J180)="",0,IF(VALUE(TRIM(Raw_Data!J180))&gt;1,VALUE(TRIM(Raw_Data!J180))/100,VALUE(TRIM(Raw_Data!J180)))),0)</f>
        <v>0.2</v>
      </c>
      <c r="K180" s="9" t="str">
        <f aca="false">IF(TRIM(Raw_Data!K180)="","Unassigned",PROPER(TRIM(Raw_Data!K180)))</f>
        <v>Zoya Tariq</v>
      </c>
      <c r="L180" s="9" t="str">
        <f aca="false">IFERROR(INDEX({"Credit Card","Credit Card","Debit Card","Debit Card","Cash","PayPal"},MATCH(UPPER(LEFT(TRIM(Raw_Data!L180),2)),{"CR","CC","DE","DC","CA","PA"},0)),"Other")</f>
        <v>Credit Card</v>
      </c>
      <c r="M180" s="9" t="str">
        <f aca="false">IFERROR(INDEX({"Completed","Returned","Cancelled","Pending"},MATCH(UPPER(LEFT(TRIM(Raw_Data!M180),3)),{"COM","RET","CAN","PEN"},0)),"Unknown")</f>
        <v>Completed</v>
      </c>
      <c r="N180" s="14" t="n">
        <f aca="false">IF(OR(H180="",I180=""),"",H180*I180)</f>
        <v>2350</v>
      </c>
      <c r="O180" s="14" t="n">
        <f aca="false">IF(N180="","",N180*J180)</f>
        <v>470</v>
      </c>
      <c r="P180" s="14" t="n">
        <f aca="false">IF(N180="","",N180-O180)</f>
        <v>1880</v>
      </c>
      <c r="Q180" s="15" t="n">
        <f aca="false">IF(B180="","",DATE(YEAR(B180),MONTH(B180),1))</f>
        <v>45717</v>
      </c>
      <c r="R180" s="16" t="str">
        <f aca="false">IF(A180="","Invalid - Exclude",IF(COUNTIF($A$2:A180,A180)&gt;1,"Duplicate - Exclude",IF(OR(B180="",H180="",I180=""),"Invalid - Exclude","Valid")))</f>
        <v>Valid</v>
      </c>
      <c r="S180" s="16" t="str">
        <f aca="false">IF(R180="Valid","",IF(R180="Duplicate - Exclude","Repeat of an earlier Order ID",IF(B180="","Date missing or unreadable",IF(H180="","Quantity missing or unreadable",IF(I180="","Unit price missing or unreadable","Order ID missing")))))</f>
        <v/>
      </c>
    </row>
    <row r="181" customFormat="false" ht="15" hidden="false" customHeight="true" outlineLevel="0" collapsed="false">
      <c r="A181" s="17" t="str">
        <f aca="false">UPPER(TRIM(Raw_Data!A181))</f>
        <v>ORD-1176</v>
      </c>
      <c r="B181" s="18" t="n">
        <f aca="false">IFERROR(IF(ISNUMBER(Raw_Data!B181),Raw_Data!B181,IF(ISNUMBER(FIND("/",Raw_Data!B181)),DATE(VALUE(RIGHT(TRIM(Raw_Data!B181),4)),VALUE(MID(TRIM(Raw_Data!B181),4,2)),VALUE(LEFT(TRIM(Raw_Data!B181),2))),IF(MID(TRIM(Raw_Data!B181),5,1)="-",DATE(VALUE(LEFT(TRIM(Raw_Data!B181),4)),VALUE(MID(TRIM(Raw_Data!B181),6,2)),VALUE(RIGHT(TRIM(Raw_Data!B181),2))),DATE(VALUE(RIGHT(TRIM(Raw_Data!B181),4)),MATCH(MID(TRIM(Raw_Data!B181),4,3),{"Jan","Feb","Mar","Apr","May","Jun","Jul","Aug","Sep","Oct","Nov","Dec"},0),VALUE(LEFT(TRIM(Raw_Data!B181),2)))))),"")</f>
        <v>45843</v>
      </c>
      <c r="C181" s="17" t="str">
        <f aca="false">IF(TRIM(Raw_Data!C181)="","Unknown",PROPER(TRIM(Raw_Data!C181)))</f>
        <v>Fatima Qureshi</v>
      </c>
      <c r="D181" s="17" t="str">
        <f aca="false">IFERROR(INDEX({"Punjab","Sindh","KPK","Balochistan"},MATCH(UPPER(LEFT(TRIM(Raw_Data!D181),1)),{"P","S","K","B"},0)),IFERROR(INDEX(Data_Dictionary!$G$4:$G$16,MATCH(E181,Data_Dictionary!$F$4:$F$16,0)),"Unassigned"))</f>
        <v>Punjab</v>
      </c>
      <c r="E181" s="17" t="str">
        <f aca="false">IF(TRIM(Raw_Data!E181)="","Unknown",PROPER(TRIM(Raw_Data!E181)))</f>
        <v>Rawalpindi</v>
      </c>
      <c r="F181" s="17" t="str">
        <f aca="false">IFERROR(INDEX({"Electronics","Home &amp; Kitchen","Clothing","Groceries","Beauty"},MATCH(UPPER(LEFT(TRIM(Raw_Data!F181),3)),{"ELE","HOM","CLO","GRO","BEA"},0)),"Uncategorised")</f>
        <v>Electronics</v>
      </c>
      <c r="G181" s="17" t="str">
        <f aca="false">IF(TRIM(Raw_Data!G181)="","Unknown",PROPER(TRIM(Raw_Data!G181)))</f>
        <v>Smart Watch</v>
      </c>
      <c r="H181" s="19" t="str">
        <f aca="false">IFERROR(ABS(VALUE(TRIM(Raw_Data!H181))),"")</f>
        <v/>
      </c>
      <c r="I181" s="20" t="n">
        <f aca="false">IFERROR(VALUE(TRIM(SUBSTITUTE(SUBSTITUTE(SUBSTITUTE(SUBSTITUTE(TRIM(Raw_Data!I181),"PKR",""),"Rs.",""),"Rs",""),",",""))),"")</f>
        <v>9800</v>
      </c>
      <c r="J181" s="21" t="n">
        <f aca="false">IFERROR(IF(TRIM(Raw_Data!J181)="",0,IF(VALUE(TRIM(Raw_Data!J181))&gt;1,VALUE(TRIM(Raw_Data!J181))/100,VALUE(TRIM(Raw_Data!J181)))),0)</f>
        <v>0</v>
      </c>
      <c r="K181" s="17" t="str">
        <f aca="false">IF(TRIM(Raw_Data!K181)="","Unassigned",PROPER(TRIM(Raw_Data!K181)))</f>
        <v>Imran Shah</v>
      </c>
      <c r="L181" s="17" t="str">
        <f aca="false">IFERROR(INDEX({"Credit Card","Credit Card","Debit Card","Debit Card","Cash","PayPal"},MATCH(UPPER(LEFT(TRIM(Raw_Data!L181),2)),{"CR","CC","DE","DC","CA","PA"},0)),"Other")</f>
        <v>Credit Card</v>
      </c>
      <c r="M181" s="17" t="str">
        <f aca="false">IFERROR(INDEX({"Completed","Returned","Cancelled","Pending"},MATCH(UPPER(LEFT(TRIM(Raw_Data!M181),3)),{"COM","RET","CAN","PEN"},0)),"Unknown")</f>
        <v>Completed</v>
      </c>
      <c r="N181" s="20" t="str">
        <f aca="false">IF(OR(H181="",I181=""),"",H181*I181)</f>
        <v/>
      </c>
      <c r="O181" s="20" t="str">
        <f aca="false">IF(N181="","",N181*J181)</f>
        <v/>
      </c>
      <c r="P181" s="20" t="str">
        <f aca="false">IF(N181="","",N181-O181)</f>
        <v/>
      </c>
      <c r="Q181" s="22" t="n">
        <f aca="false">IF(B181="","",DATE(YEAR(B181),MONTH(B181),1))</f>
        <v>45839</v>
      </c>
      <c r="R181" s="17" t="str">
        <f aca="false">IF(A181="","Invalid - Exclude",IF(COUNTIF($A$2:A181,A181)&gt;1,"Duplicate - Exclude",IF(OR(B181="",H181="",I181=""),"Invalid - Exclude","Valid")))</f>
        <v>Invalid - Exclude</v>
      </c>
      <c r="S181" s="17" t="str">
        <f aca="false">IF(R181="Valid","",IF(R181="Duplicate - Exclude","Repeat of an earlier Order ID",IF(B181="","Date missing or unreadable",IF(H181="","Quantity missing or unreadable",IF(I181="","Unit price missing or unreadable","Order ID missing")))))</f>
        <v>Quantity missing or unreadable</v>
      </c>
    </row>
    <row r="182" customFormat="false" ht="15" hidden="false" customHeight="true" outlineLevel="0" collapsed="false">
      <c r="A182" s="9" t="str">
        <f aca="false">UPPER(TRIM(Raw_Data!A182))</f>
        <v>ORD-1177</v>
      </c>
      <c r="B182" s="10" t="n">
        <f aca="false">IFERROR(IF(ISNUMBER(Raw_Data!B182),Raw_Data!B182,IF(ISNUMBER(FIND("/",Raw_Data!B182)),DATE(VALUE(RIGHT(TRIM(Raw_Data!B182),4)),VALUE(MID(TRIM(Raw_Data!B182),4,2)),VALUE(LEFT(TRIM(Raw_Data!B182),2))),IF(MID(TRIM(Raw_Data!B182),5,1)="-",DATE(VALUE(LEFT(TRIM(Raw_Data!B182),4)),VALUE(MID(TRIM(Raw_Data!B182),6,2)),VALUE(RIGHT(TRIM(Raw_Data!B182),2))),DATE(VALUE(RIGHT(TRIM(Raw_Data!B182),4)),MATCH(MID(TRIM(Raw_Data!B182),4,3),{"Jan","Feb","Mar","Apr","May","Jun","Jul","Aug","Sep","Oct","Nov","Dec"},0),VALUE(LEFT(TRIM(Raw_Data!B182),2)))))),"")</f>
        <v>45701</v>
      </c>
      <c r="C182" s="9" t="str">
        <f aca="false">IF(TRIM(Raw_Data!C182)="","Unknown",PROPER(TRIM(Raw_Data!C182)))</f>
        <v>Usman Chaudhry</v>
      </c>
      <c r="D182" s="9" t="str">
        <f aca="false">IFERROR(INDEX({"Punjab","Sindh","KPK","Balochistan"},MATCH(UPPER(LEFT(TRIM(Raw_Data!D182),1)),{"P","S","K","B"},0)),IFERROR(INDEX(Data_Dictionary!$G$4:$G$16,MATCH(E182,Data_Dictionary!$F$4:$F$16,0)),"Unassigned"))</f>
        <v>Punjab</v>
      </c>
      <c r="E182" s="9" t="str">
        <f aca="false">IF(TRIM(Raw_Data!E182)="","Unknown",PROPER(TRIM(Raw_Data!E182)))</f>
        <v>Lahore</v>
      </c>
      <c r="F182" s="9" t="str">
        <f aca="false">IFERROR(INDEX({"Electronics","Home &amp; Kitchen","Clothing","Groceries","Beauty"},MATCH(UPPER(LEFT(TRIM(Raw_Data!F182),3)),{"ELE","HOM","CLO","GRO","BEA"},0)),"Uncategorised")</f>
        <v>Groceries</v>
      </c>
      <c r="G182" s="9" t="str">
        <f aca="false">IF(TRIM(Raw_Data!G182)="","Unknown",PROPER(TRIM(Raw_Data!G182)))</f>
        <v>Black Tea Pack</v>
      </c>
      <c r="H182" s="11" t="n">
        <f aca="false">IFERROR(ABS(VALUE(TRIM(Raw_Data!H182))),"")</f>
        <v>6</v>
      </c>
      <c r="I182" s="12" t="n">
        <f aca="false">IFERROR(VALUE(TRIM(SUBSTITUTE(SUBSTITUTE(SUBSTITUTE(SUBSTITUTE(TRIM(Raw_Data!I182),"PKR",""),"Rs.",""),"Rs",""),",",""))),"")</f>
        <v>1450</v>
      </c>
      <c r="J182" s="13" t="n">
        <f aca="false">IFERROR(IF(TRIM(Raw_Data!J182)="",0,IF(VALUE(TRIM(Raw_Data!J182))&gt;1,VALUE(TRIM(Raw_Data!J182))/100,VALUE(TRIM(Raw_Data!J182)))),0)</f>
        <v>0</v>
      </c>
      <c r="K182" s="9" t="str">
        <f aca="false">IF(TRIM(Raw_Data!K182)="","Unassigned",PROPER(TRIM(Raw_Data!K182)))</f>
        <v>Faisal Mehmood</v>
      </c>
      <c r="L182" s="9" t="str">
        <f aca="false">IFERROR(INDEX({"Credit Card","Credit Card","Debit Card","Debit Card","Cash","PayPal"},MATCH(UPPER(LEFT(TRIM(Raw_Data!L182),2)),{"CR","CC","DE","DC","CA","PA"},0)),"Other")</f>
        <v>Debit Card</v>
      </c>
      <c r="M182" s="9" t="str">
        <f aca="false">IFERROR(INDEX({"Completed","Returned","Cancelled","Pending"},MATCH(UPPER(LEFT(TRIM(Raw_Data!M182),3)),{"COM","RET","CAN","PEN"},0)),"Unknown")</f>
        <v>Completed</v>
      </c>
      <c r="N182" s="14" t="n">
        <f aca="false">IF(OR(H182="",I182=""),"",H182*I182)</f>
        <v>8700</v>
      </c>
      <c r="O182" s="14" t="n">
        <f aca="false">IF(N182="","",N182*J182)</f>
        <v>0</v>
      </c>
      <c r="P182" s="14" t="n">
        <f aca="false">IF(N182="","",N182-O182)</f>
        <v>8700</v>
      </c>
      <c r="Q182" s="15" t="n">
        <f aca="false">IF(B182="","",DATE(YEAR(B182),MONTH(B182),1))</f>
        <v>45689</v>
      </c>
      <c r="R182" s="16" t="str">
        <f aca="false">IF(A182="","Invalid - Exclude",IF(COUNTIF($A$2:A182,A182)&gt;1,"Duplicate - Exclude",IF(OR(B182="",H182="",I182=""),"Invalid - Exclude","Valid")))</f>
        <v>Valid</v>
      </c>
      <c r="S182" s="16" t="str">
        <f aca="false">IF(R182="Valid","",IF(R182="Duplicate - Exclude","Repeat of an earlier Order ID",IF(B182="","Date missing or unreadable",IF(H182="","Quantity missing or unreadable",IF(I182="","Unit price missing or unreadable","Order ID missing")))))</f>
        <v/>
      </c>
    </row>
    <row r="183" customFormat="false" ht="15" hidden="false" customHeight="true" outlineLevel="0" collapsed="false">
      <c r="A183" s="17" t="str">
        <f aca="false">UPPER(TRIM(Raw_Data!A183))</f>
        <v>ORD-1178</v>
      </c>
      <c r="B183" s="18" t="n">
        <f aca="false">IFERROR(IF(ISNUMBER(Raw_Data!B183),Raw_Data!B183,IF(ISNUMBER(FIND("/",Raw_Data!B183)),DATE(VALUE(RIGHT(TRIM(Raw_Data!B183),4)),VALUE(MID(TRIM(Raw_Data!B183),4,2)),VALUE(LEFT(TRIM(Raw_Data!B183),2))),IF(MID(TRIM(Raw_Data!B183),5,1)="-",DATE(VALUE(LEFT(TRIM(Raw_Data!B183),4)),VALUE(MID(TRIM(Raw_Data!B183),6,2)),VALUE(RIGHT(TRIM(Raw_Data!B183),2))),DATE(VALUE(RIGHT(TRIM(Raw_Data!B183),4)),MATCH(MID(TRIM(Raw_Data!B183),4,3),{"Jan","Feb","Mar","Apr","May","Jun","Jul","Aug","Sep","Oct","Nov","Dec"},0),VALUE(LEFT(TRIM(Raw_Data!B183),2)))))),"")</f>
        <v>45936</v>
      </c>
      <c r="C183" s="17" t="str">
        <f aca="false">IF(TRIM(Raw_Data!C183)="","Unknown",PROPER(TRIM(Raw_Data!C183)))</f>
        <v>Bilal Qureshi</v>
      </c>
      <c r="D183" s="17" t="str">
        <f aca="false">IFERROR(INDEX({"Punjab","Sindh","KPK","Balochistan"},MATCH(UPPER(LEFT(TRIM(Raw_Data!D183),1)),{"P","S","K","B"},0)),IFERROR(INDEX(Data_Dictionary!$G$4:$G$16,MATCH(E183,Data_Dictionary!$F$4:$F$16,0)),"Unassigned"))</f>
        <v>Punjab</v>
      </c>
      <c r="E183" s="17" t="str">
        <f aca="false">IF(TRIM(Raw_Data!E183)="","Unknown",PROPER(TRIM(Raw_Data!E183)))</f>
        <v>Rawalpindi</v>
      </c>
      <c r="F183" s="17" t="str">
        <f aca="false">IFERROR(INDEX({"Electronics","Home &amp; Kitchen","Clothing","Groceries","Beauty"},MATCH(UPPER(LEFT(TRIM(Raw_Data!F183),3)),{"ELE","HOM","CLO","GRO","BEA"},0)),"Uncategorised")</f>
        <v>Groceries</v>
      </c>
      <c r="G183" s="17" t="str">
        <f aca="false">IF(TRIM(Raw_Data!G183)="","Unknown",PROPER(TRIM(Raw_Data!G183)))</f>
        <v>Refined Sugar 10 Kg</v>
      </c>
      <c r="H183" s="19" t="n">
        <f aca="false">IFERROR(ABS(VALUE(TRIM(Raw_Data!H183))),"")</f>
        <v>2</v>
      </c>
      <c r="I183" s="20" t="n">
        <f aca="false">IFERROR(VALUE(TRIM(SUBSTITUTE(SUBSTITUTE(SUBSTITUTE(SUBSTITUTE(TRIM(Raw_Data!I183),"PKR",""),"Rs.",""),"Rs",""),",",""))),"")</f>
        <v>1650</v>
      </c>
      <c r="J183" s="21" t="n">
        <f aca="false">IFERROR(IF(TRIM(Raw_Data!J183)="",0,IF(VALUE(TRIM(Raw_Data!J183))&gt;1,VALUE(TRIM(Raw_Data!J183))/100,VALUE(TRIM(Raw_Data!J183)))),0)</f>
        <v>0.1</v>
      </c>
      <c r="K183" s="17" t="str">
        <f aca="false">IF(TRIM(Raw_Data!K183)="","Unassigned",PROPER(TRIM(Raw_Data!K183)))</f>
        <v>Waqar Ahmed</v>
      </c>
      <c r="L183" s="17" t="str">
        <f aca="false">IFERROR(INDEX({"Credit Card","Credit Card","Debit Card","Debit Card","Cash","PayPal"},MATCH(UPPER(LEFT(TRIM(Raw_Data!L183),2)),{"CR","CC","DE","DC","CA","PA"},0)),"Other")</f>
        <v>Credit Card</v>
      </c>
      <c r="M183" s="17" t="str">
        <f aca="false">IFERROR(INDEX({"Completed","Returned","Cancelled","Pending"},MATCH(UPPER(LEFT(TRIM(Raw_Data!M183),3)),{"COM","RET","CAN","PEN"},0)),"Unknown")</f>
        <v>Completed</v>
      </c>
      <c r="N183" s="20" t="n">
        <f aca="false">IF(OR(H183="",I183=""),"",H183*I183)</f>
        <v>3300</v>
      </c>
      <c r="O183" s="20" t="n">
        <f aca="false">IF(N183="","",N183*J183)</f>
        <v>330</v>
      </c>
      <c r="P183" s="20" t="n">
        <f aca="false">IF(N183="","",N183-O183)</f>
        <v>2970</v>
      </c>
      <c r="Q183" s="22" t="n">
        <f aca="false">IF(B183="","",DATE(YEAR(B183),MONTH(B183),1))</f>
        <v>45931</v>
      </c>
      <c r="R183" s="17" t="str">
        <f aca="false">IF(A183="","Invalid - Exclude",IF(COUNTIF($A$2:A183,A183)&gt;1,"Duplicate - Exclude",IF(OR(B183="",H183="",I183=""),"Invalid - Exclude","Valid")))</f>
        <v>Valid</v>
      </c>
      <c r="S183" s="17" t="str">
        <f aca="false">IF(R183="Valid","",IF(R183="Duplicate - Exclude","Repeat of an earlier Order ID",IF(B183="","Date missing or unreadable",IF(H183="","Quantity missing or unreadable",IF(I183="","Unit price missing or unreadable","Order ID missing")))))</f>
        <v/>
      </c>
    </row>
    <row r="184" customFormat="false" ht="15" hidden="false" customHeight="true" outlineLevel="0" collapsed="false">
      <c r="A184" s="9" t="str">
        <f aca="false">UPPER(TRIM(Raw_Data!A184))</f>
        <v>ORD-1179</v>
      </c>
      <c r="B184" s="10" t="n">
        <f aca="false">IFERROR(IF(ISNUMBER(Raw_Data!B184),Raw_Data!B184,IF(ISNUMBER(FIND("/",Raw_Data!B184)),DATE(VALUE(RIGHT(TRIM(Raw_Data!B184),4)),VALUE(MID(TRIM(Raw_Data!B184),4,2)),VALUE(LEFT(TRIM(Raw_Data!B184),2))),IF(MID(TRIM(Raw_Data!B184),5,1)="-",DATE(VALUE(LEFT(TRIM(Raw_Data!B184),4)),VALUE(MID(TRIM(Raw_Data!B184),6,2)),VALUE(RIGHT(TRIM(Raw_Data!B184),2))),DATE(VALUE(RIGHT(TRIM(Raw_Data!B184),4)),MATCH(MID(TRIM(Raw_Data!B184),4,3),{"Jan","Feb","Mar","Apr","May","Jun","Jul","Aug","Sep","Oct","Nov","Dec"},0),VALUE(LEFT(TRIM(Raw_Data!B184),2)))))),"")</f>
        <v>45852</v>
      </c>
      <c r="C184" s="9" t="str">
        <f aca="false">IF(TRIM(Raw_Data!C184)="","Unknown",PROPER(TRIM(Raw_Data!C184)))</f>
        <v>Rabia Iqbal</v>
      </c>
      <c r="D184" s="9" t="str">
        <f aca="false">IFERROR(INDEX({"Punjab","Sindh","KPK","Balochistan"},MATCH(UPPER(LEFT(TRIM(Raw_Data!D184),1)),{"P","S","K","B"},0)),IFERROR(INDEX(Data_Dictionary!$G$4:$G$16,MATCH(E184,Data_Dictionary!$F$4:$F$16,0)),"Unassigned"))</f>
        <v>Punjab</v>
      </c>
      <c r="E184" s="9" t="str">
        <f aca="false">IF(TRIM(Raw_Data!E184)="","Unknown",PROPER(TRIM(Raw_Data!E184)))</f>
        <v>Faisalabad</v>
      </c>
      <c r="F184" s="9" t="str">
        <f aca="false">IFERROR(INDEX({"Electronics","Home &amp; Kitchen","Clothing","Groceries","Beauty"},MATCH(UPPER(LEFT(TRIM(Raw_Data!F184),3)),{"ELE","HOM","CLO","GRO","BEA"},0)),"Uncategorised")</f>
        <v>Groceries</v>
      </c>
      <c r="G184" s="9" t="str">
        <f aca="false">IF(TRIM(Raw_Data!G184)="","Unknown",PROPER(TRIM(Raw_Data!G184)))</f>
        <v>Basmati Rice 5 Kg</v>
      </c>
      <c r="H184" s="11" t="n">
        <f aca="false">IFERROR(ABS(VALUE(TRIM(Raw_Data!H184))),"")</f>
        <v>1</v>
      </c>
      <c r="I184" s="12" t="n">
        <f aca="false">IFERROR(VALUE(TRIM(SUBSTITUTE(SUBSTITUTE(SUBSTITUTE(SUBSTITUTE(TRIM(Raw_Data!I184),"PKR",""),"Rs.",""),"Rs",""),",",""))),"")</f>
        <v>2550</v>
      </c>
      <c r="J184" s="13" t="n">
        <f aca="false">IFERROR(IF(TRIM(Raw_Data!J184)="",0,IF(VALUE(TRIM(Raw_Data!J184))&gt;1,VALUE(TRIM(Raw_Data!J184))/100,VALUE(TRIM(Raw_Data!J184)))),0)</f>
        <v>0</v>
      </c>
      <c r="K184" s="9" t="str">
        <f aca="false">IF(TRIM(Raw_Data!K184)="","Unassigned",PROPER(TRIM(Raw_Data!K184)))</f>
        <v>Imran Shah</v>
      </c>
      <c r="L184" s="9" t="str">
        <f aca="false">IFERROR(INDEX({"Credit Card","Credit Card","Debit Card","Debit Card","Cash","PayPal"},MATCH(UPPER(LEFT(TRIM(Raw_Data!L184),2)),{"CR","CC","DE","DC","CA","PA"},0)),"Other")</f>
        <v>PayPal</v>
      </c>
      <c r="M184" s="9" t="str">
        <f aca="false">IFERROR(INDEX({"Completed","Returned","Cancelled","Pending"},MATCH(UPPER(LEFT(TRIM(Raw_Data!M184),3)),{"COM","RET","CAN","PEN"},0)),"Unknown")</f>
        <v>Pending</v>
      </c>
      <c r="N184" s="14" t="n">
        <f aca="false">IF(OR(H184="",I184=""),"",H184*I184)</f>
        <v>2550</v>
      </c>
      <c r="O184" s="14" t="n">
        <f aca="false">IF(N184="","",N184*J184)</f>
        <v>0</v>
      </c>
      <c r="P184" s="14" t="n">
        <f aca="false">IF(N184="","",N184-O184)</f>
        <v>2550</v>
      </c>
      <c r="Q184" s="15" t="n">
        <f aca="false">IF(B184="","",DATE(YEAR(B184),MONTH(B184),1))</f>
        <v>45839</v>
      </c>
      <c r="R184" s="16" t="str">
        <f aca="false">IF(A184="","Invalid - Exclude",IF(COUNTIF($A$2:A184,A184)&gt;1,"Duplicate - Exclude",IF(OR(B184="",H184="",I184=""),"Invalid - Exclude","Valid")))</f>
        <v>Valid</v>
      </c>
      <c r="S184" s="16" t="str">
        <f aca="false">IF(R184="Valid","",IF(R184="Duplicate - Exclude","Repeat of an earlier Order ID",IF(B184="","Date missing or unreadable",IF(H184="","Quantity missing or unreadable",IF(I184="","Unit price missing or unreadable","Order ID missing")))))</f>
        <v/>
      </c>
    </row>
    <row r="185" customFormat="false" ht="15" hidden="false" customHeight="true" outlineLevel="0" collapsed="false">
      <c r="A185" s="17" t="str">
        <f aca="false">UPPER(TRIM(Raw_Data!A185))</f>
        <v>ORD-1180</v>
      </c>
      <c r="B185" s="18" t="n">
        <f aca="false">IFERROR(IF(ISNUMBER(Raw_Data!B185),Raw_Data!B185,IF(ISNUMBER(FIND("/",Raw_Data!B185)),DATE(VALUE(RIGHT(TRIM(Raw_Data!B185),4)),VALUE(MID(TRIM(Raw_Data!B185),4,2)),VALUE(LEFT(TRIM(Raw_Data!B185),2))),IF(MID(TRIM(Raw_Data!B185),5,1)="-",DATE(VALUE(LEFT(TRIM(Raw_Data!B185),4)),VALUE(MID(TRIM(Raw_Data!B185),6,2)),VALUE(RIGHT(TRIM(Raw_Data!B185),2))),DATE(VALUE(RIGHT(TRIM(Raw_Data!B185),4)),MATCH(MID(TRIM(Raw_Data!B185),4,3),{"Jan","Feb","Mar","Apr","May","Jun","Jul","Aug","Sep","Oct","Nov","Dec"},0),VALUE(LEFT(TRIM(Raw_Data!B185),2)))))),"")</f>
        <v>45899</v>
      </c>
      <c r="C185" s="17" t="str">
        <f aca="false">IF(TRIM(Raw_Data!C185)="","Unknown",PROPER(TRIM(Raw_Data!C185)))</f>
        <v>Saad Chaudhry</v>
      </c>
      <c r="D185" s="17" t="str">
        <f aca="false">IFERROR(INDEX({"Punjab","Sindh","KPK","Balochistan"},MATCH(UPPER(LEFT(TRIM(Raw_Data!D185),1)),{"P","S","K","B"},0)),IFERROR(INDEX(Data_Dictionary!$G$4:$G$16,MATCH(E185,Data_Dictionary!$F$4:$F$16,0)),"Unassigned"))</f>
        <v>Balochistan</v>
      </c>
      <c r="E185" s="17" t="str">
        <f aca="false">IF(TRIM(Raw_Data!E185)="","Unknown",PROPER(TRIM(Raw_Data!E185)))</f>
        <v>Quetta</v>
      </c>
      <c r="F185" s="17" t="str">
        <f aca="false">IFERROR(INDEX({"Electronics","Home &amp; Kitchen","Clothing","Groceries","Beauty"},MATCH(UPPER(LEFT(TRIM(Raw_Data!F185),3)),{"ELE","HOM","CLO","GRO","BEA"},0)),"Uncategorised")</f>
        <v>Clothing</v>
      </c>
      <c r="G185" s="17" t="str">
        <f aca="false">IF(TRIM(Raw_Data!G185)="","Unknown",PROPER(TRIM(Raw_Data!G185)))</f>
        <v>Running Shoes</v>
      </c>
      <c r="H185" s="19" t="n">
        <f aca="false">IFERROR(ABS(VALUE(TRIM(Raw_Data!H185))),"")</f>
        <v>1</v>
      </c>
      <c r="I185" s="20" t="n">
        <f aca="false">IFERROR(VALUE(TRIM(SUBSTITUTE(SUBSTITUTE(SUBSTITUTE(SUBSTITUTE(TRIM(Raw_Data!I185),"PKR",""),"Rs.",""),"Rs",""),",",""))),"")</f>
        <v>8300</v>
      </c>
      <c r="J185" s="21" t="n">
        <f aca="false">IFERROR(IF(TRIM(Raw_Data!J185)="",0,IF(VALUE(TRIM(Raw_Data!J185))&gt;1,VALUE(TRIM(Raw_Data!J185))/100,VALUE(TRIM(Raw_Data!J185)))),0)</f>
        <v>0</v>
      </c>
      <c r="K185" s="17" t="str">
        <f aca="false">IF(TRIM(Raw_Data!K185)="","Unassigned",PROPER(TRIM(Raw_Data!K185)))</f>
        <v>Zoya Tariq</v>
      </c>
      <c r="L185" s="17" t="str">
        <f aca="false">IFERROR(INDEX({"Credit Card","Credit Card","Debit Card","Debit Card","Cash","PayPal"},MATCH(UPPER(LEFT(TRIM(Raw_Data!L185),2)),{"CR","CC","DE","DC","CA","PA"},0)),"Other")</f>
        <v>Credit Card</v>
      </c>
      <c r="M185" s="17" t="str">
        <f aca="false">IFERROR(INDEX({"Completed","Returned","Cancelled","Pending"},MATCH(UPPER(LEFT(TRIM(Raw_Data!M185),3)),{"COM","RET","CAN","PEN"},0)),"Unknown")</f>
        <v>Completed</v>
      </c>
      <c r="N185" s="20" t="n">
        <f aca="false">IF(OR(H185="",I185=""),"",H185*I185)</f>
        <v>8300</v>
      </c>
      <c r="O185" s="20" t="n">
        <f aca="false">IF(N185="","",N185*J185)</f>
        <v>0</v>
      </c>
      <c r="P185" s="20" t="n">
        <f aca="false">IF(N185="","",N185-O185)</f>
        <v>8300</v>
      </c>
      <c r="Q185" s="22" t="n">
        <f aca="false">IF(B185="","",DATE(YEAR(B185),MONTH(B185),1))</f>
        <v>45870</v>
      </c>
      <c r="R185" s="17" t="str">
        <f aca="false">IF(A185="","Invalid - Exclude",IF(COUNTIF($A$2:A185,A185)&gt;1,"Duplicate - Exclude",IF(OR(B185="",H185="",I185=""),"Invalid - Exclude","Valid")))</f>
        <v>Valid</v>
      </c>
      <c r="S185" s="17" t="str">
        <f aca="false">IF(R185="Valid","",IF(R185="Duplicate - Exclude","Repeat of an earlier Order ID",IF(B185="","Date missing or unreadable",IF(H185="","Quantity missing or unreadable",IF(I185="","Unit price missing or unreadable","Order ID missing")))))</f>
        <v/>
      </c>
    </row>
    <row r="186" customFormat="false" ht="15" hidden="false" customHeight="true" outlineLevel="0" collapsed="false">
      <c r="A186" s="9" t="str">
        <f aca="false">UPPER(TRIM(Raw_Data!A186))</f>
        <v>ORD-1181</v>
      </c>
      <c r="B186" s="10" t="n">
        <f aca="false">IFERROR(IF(ISNUMBER(Raw_Data!B186),Raw_Data!B186,IF(ISNUMBER(FIND("/",Raw_Data!B186)),DATE(VALUE(RIGHT(TRIM(Raw_Data!B186),4)),VALUE(MID(TRIM(Raw_Data!B186),4,2)),VALUE(LEFT(TRIM(Raw_Data!B186),2))),IF(MID(TRIM(Raw_Data!B186),5,1)="-",DATE(VALUE(LEFT(TRIM(Raw_Data!B186),4)),VALUE(MID(TRIM(Raw_Data!B186),6,2)),VALUE(RIGHT(TRIM(Raw_Data!B186),2))),DATE(VALUE(RIGHT(TRIM(Raw_Data!B186),4)),MATCH(MID(TRIM(Raw_Data!B186),4,3),{"Jan","Feb","Mar","Apr","May","Jun","Jul","Aug","Sep","Oct","Nov","Dec"},0),VALUE(LEFT(TRIM(Raw_Data!B186),2)))))),"")</f>
        <v>45766</v>
      </c>
      <c r="C186" s="9" t="str">
        <f aca="false">IF(TRIM(Raw_Data!C186)="","Unknown",PROPER(TRIM(Raw_Data!C186)))</f>
        <v>Kashif Butt</v>
      </c>
      <c r="D186" s="9" t="str">
        <f aca="false">IFERROR(INDEX({"Punjab","Sindh","KPK","Balochistan"},MATCH(UPPER(LEFT(TRIM(Raw_Data!D186),1)),{"P","S","K","B"},0)),IFERROR(INDEX(Data_Dictionary!$G$4:$G$16,MATCH(E186,Data_Dictionary!$F$4:$F$16,0)),"Unassigned"))</f>
        <v>Sindh</v>
      </c>
      <c r="E186" s="9" t="str">
        <f aca="false">IF(TRIM(Raw_Data!E186)="","Unknown",PROPER(TRIM(Raw_Data!E186)))</f>
        <v>Karachi</v>
      </c>
      <c r="F186" s="9" t="str">
        <f aca="false">IFERROR(INDEX({"Electronics","Home &amp; Kitchen","Clothing","Groceries","Beauty"},MATCH(UPPER(LEFT(TRIM(Raw_Data!F186),3)),{"ELE","HOM","CLO","GRO","BEA"},0)),"Uncategorised")</f>
        <v>Electronics</v>
      </c>
      <c r="G186" s="9" t="str">
        <f aca="false">IF(TRIM(Raw_Data!G186)="","Unknown",PROPER(TRIM(Raw_Data!G186)))</f>
        <v>Smart Watch</v>
      </c>
      <c r="H186" s="11" t="n">
        <f aca="false">IFERROR(ABS(VALUE(TRIM(Raw_Data!H186))),"")</f>
        <v>6</v>
      </c>
      <c r="I186" s="12" t="n">
        <f aca="false">IFERROR(VALUE(TRIM(SUBSTITUTE(SUBSTITUTE(SUBSTITUTE(SUBSTITUTE(TRIM(Raw_Data!I186),"PKR",""),"Rs.",""),"Rs",""),",",""))),"")</f>
        <v>9650</v>
      </c>
      <c r="J186" s="13" t="n">
        <f aca="false">IFERROR(IF(TRIM(Raw_Data!J186)="",0,IF(VALUE(TRIM(Raw_Data!J186))&gt;1,VALUE(TRIM(Raw_Data!J186))/100,VALUE(TRIM(Raw_Data!J186)))),0)</f>
        <v>0</v>
      </c>
      <c r="K186" s="9" t="str">
        <f aca="false">IF(TRIM(Raw_Data!K186)="","Unassigned",PROPER(TRIM(Raw_Data!K186)))</f>
        <v>Sadia Noor</v>
      </c>
      <c r="L186" s="9" t="str">
        <f aca="false">IFERROR(INDEX({"Credit Card","Credit Card","Debit Card","Debit Card","Cash","PayPal"},MATCH(UPPER(LEFT(TRIM(Raw_Data!L186),2)),{"CR","CC","DE","DC","CA","PA"},0)),"Other")</f>
        <v>Cash</v>
      </c>
      <c r="M186" s="9" t="str">
        <f aca="false">IFERROR(INDEX({"Completed","Returned","Cancelled","Pending"},MATCH(UPPER(LEFT(TRIM(Raw_Data!M186),3)),{"COM","RET","CAN","PEN"},0)),"Unknown")</f>
        <v>Completed</v>
      </c>
      <c r="N186" s="14" t="n">
        <f aca="false">IF(OR(H186="",I186=""),"",H186*I186)</f>
        <v>57900</v>
      </c>
      <c r="O186" s="14" t="n">
        <f aca="false">IF(N186="","",N186*J186)</f>
        <v>0</v>
      </c>
      <c r="P186" s="14" t="n">
        <f aca="false">IF(N186="","",N186-O186)</f>
        <v>57900</v>
      </c>
      <c r="Q186" s="15" t="n">
        <f aca="false">IF(B186="","",DATE(YEAR(B186),MONTH(B186),1))</f>
        <v>45748</v>
      </c>
      <c r="R186" s="16" t="str">
        <f aca="false">IF(A186="","Invalid - Exclude",IF(COUNTIF($A$2:A186,A186)&gt;1,"Duplicate - Exclude",IF(OR(B186="",H186="",I186=""),"Invalid - Exclude","Valid")))</f>
        <v>Valid</v>
      </c>
      <c r="S186" s="16" t="str">
        <f aca="false">IF(R186="Valid","",IF(R186="Duplicate - Exclude","Repeat of an earlier Order ID",IF(B186="","Date missing or unreadable",IF(H186="","Quantity missing or unreadable",IF(I186="","Unit price missing or unreadable","Order ID missing")))))</f>
        <v/>
      </c>
    </row>
    <row r="187" customFormat="false" ht="15" hidden="false" customHeight="true" outlineLevel="0" collapsed="false">
      <c r="A187" s="17" t="str">
        <f aca="false">UPPER(TRIM(Raw_Data!A187))</f>
        <v>ORD-1182</v>
      </c>
      <c r="B187" s="18" t="n">
        <f aca="false">IFERROR(IF(ISNUMBER(Raw_Data!B187),Raw_Data!B187,IF(ISNUMBER(FIND("/",Raw_Data!B187)),DATE(VALUE(RIGHT(TRIM(Raw_Data!B187),4)),VALUE(MID(TRIM(Raw_Data!B187),4,2)),VALUE(LEFT(TRIM(Raw_Data!B187),2))),IF(MID(TRIM(Raw_Data!B187),5,1)="-",DATE(VALUE(LEFT(TRIM(Raw_Data!B187),4)),VALUE(MID(TRIM(Raw_Data!B187),6,2)),VALUE(RIGHT(TRIM(Raw_Data!B187),2))),DATE(VALUE(RIGHT(TRIM(Raw_Data!B187),4)),MATCH(MID(TRIM(Raw_Data!B187),4,3),{"Jan","Feb","Mar","Apr","May","Jun","Jul","Aug","Sep","Oct","Nov","Dec"},0),VALUE(LEFT(TRIM(Raw_Data!B187),2)))))),"")</f>
        <v>45837</v>
      </c>
      <c r="C187" s="17" t="str">
        <f aca="false">IF(TRIM(Raw_Data!C187)="","Unknown",PROPER(TRIM(Raw_Data!C187)))</f>
        <v>Rabia Iqbal</v>
      </c>
      <c r="D187" s="17" t="str">
        <f aca="false">IFERROR(INDEX({"Punjab","Sindh","KPK","Balochistan"},MATCH(UPPER(LEFT(TRIM(Raw_Data!D187),1)),{"P","S","K","B"},0)),IFERROR(INDEX(Data_Dictionary!$G$4:$G$16,MATCH(E187,Data_Dictionary!$F$4:$F$16,0)),"Unassigned"))</f>
        <v>Sindh</v>
      </c>
      <c r="E187" s="17" t="str">
        <f aca="false">IF(TRIM(Raw_Data!E187)="","Unknown",PROPER(TRIM(Raw_Data!E187)))</f>
        <v>Hyderabad</v>
      </c>
      <c r="F187" s="17" t="str">
        <f aca="false">IFERROR(INDEX({"Electronics","Home &amp; Kitchen","Clothing","Groceries","Beauty"},MATCH(UPPER(LEFT(TRIM(Raw_Data!F187),3)),{"ELE","HOM","CLO","GRO","BEA"},0)),"Uncategorised")</f>
        <v>Clothing</v>
      </c>
      <c r="G187" s="17" t="str">
        <f aca="false">IF(TRIM(Raw_Data!G187)="","Unknown",PROPER(TRIM(Raw_Data!G187)))</f>
        <v>Running Shoes</v>
      </c>
      <c r="H187" s="19" t="n">
        <f aca="false">IFERROR(ABS(VALUE(TRIM(Raw_Data!H187))),"")</f>
        <v>8</v>
      </c>
      <c r="I187" s="20" t="n">
        <f aca="false">IFERROR(VALUE(TRIM(SUBSTITUTE(SUBSTITUTE(SUBSTITUTE(SUBSTITUTE(TRIM(Raw_Data!I187),"PKR",""),"Rs.",""),"Rs",""),",",""))),"")</f>
        <v>7950</v>
      </c>
      <c r="J187" s="21" t="n">
        <f aca="false">IFERROR(IF(TRIM(Raw_Data!J187)="",0,IF(VALUE(TRIM(Raw_Data!J187))&gt;1,VALUE(TRIM(Raw_Data!J187))/100,VALUE(TRIM(Raw_Data!J187)))),0)</f>
        <v>0.15</v>
      </c>
      <c r="K187" s="17" t="str">
        <f aca="false">IF(TRIM(Raw_Data!K187)="","Unassigned",PROPER(TRIM(Raw_Data!K187)))</f>
        <v>Nimra Aslam</v>
      </c>
      <c r="L187" s="17" t="str">
        <f aca="false">IFERROR(INDEX({"Credit Card","Credit Card","Debit Card","Debit Card","Cash","PayPal"},MATCH(UPPER(LEFT(TRIM(Raw_Data!L187),2)),{"CR","CC","DE","DC","CA","PA"},0)),"Other")</f>
        <v>Credit Card</v>
      </c>
      <c r="M187" s="17" t="str">
        <f aca="false">IFERROR(INDEX({"Completed","Returned","Cancelled","Pending"},MATCH(UPPER(LEFT(TRIM(Raw_Data!M187),3)),{"COM","RET","CAN","PEN"},0)),"Unknown")</f>
        <v>Completed</v>
      </c>
      <c r="N187" s="20" t="n">
        <f aca="false">IF(OR(H187="",I187=""),"",H187*I187)</f>
        <v>63600</v>
      </c>
      <c r="O187" s="20" t="n">
        <f aca="false">IF(N187="","",N187*J187)</f>
        <v>9540</v>
      </c>
      <c r="P187" s="20" t="n">
        <f aca="false">IF(N187="","",N187-O187)</f>
        <v>54060</v>
      </c>
      <c r="Q187" s="22" t="n">
        <f aca="false">IF(B187="","",DATE(YEAR(B187),MONTH(B187),1))</f>
        <v>45809</v>
      </c>
      <c r="R187" s="17" t="str">
        <f aca="false">IF(A187="","Invalid - Exclude",IF(COUNTIF($A$2:A187,A187)&gt;1,"Duplicate - Exclude",IF(OR(B187="",H187="",I187=""),"Invalid - Exclude","Valid")))</f>
        <v>Valid</v>
      </c>
      <c r="S187" s="17" t="str">
        <f aca="false">IF(R187="Valid","",IF(R187="Duplicate - Exclude","Repeat of an earlier Order ID",IF(B187="","Date missing or unreadable",IF(H187="","Quantity missing or unreadable",IF(I187="","Unit price missing or unreadable","Order ID missing")))))</f>
        <v/>
      </c>
    </row>
    <row r="188" customFormat="false" ht="15" hidden="false" customHeight="true" outlineLevel="0" collapsed="false">
      <c r="A188" s="9" t="str">
        <f aca="false">UPPER(TRIM(Raw_Data!A188))</f>
        <v>ORD-1183</v>
      </c>
      <c r="B188" s="10" t="n">
        <f aca="false">IFERROR(IF(ISNUMBER(Raw_Data!B188),Raw_Data!B188,IF(ISNUMBER(FIND("/",Raw_Data!B188)),DATE(VALUE(RIGHT(TRIM(Raw_Data!B188),4)),VALUE(MID(TRIM(Raw_Data!B188),4,2)),VALUE(LEFT(TRIM(Raw_Data!B188),2))),IF(MID(TRIM(Raw_Data!B188),5,1)="-",DATE(VALUE(LEFT(TRIM(Raw_Data!B188),4)),VALUE(MID(TRIM(Raw_Data!B188),6,2)),VALUE(RIGHT(TRIM(Raw_Data!B188),2))),DATE(VALUE(RIGHT(TRIM(Raw_Data!B188),4)),MATCH(MID(TRIM(Raw_Data!B188),4,3),{"Jan","Feb","Mar","Apr","May","Jun","Jul","Aug","Sep","Oct","Nov","Dec"},0),VALUE(LEFT(TRIM(Raw_Data!B188),2)))))),"")</f>
        <v>45887</v>
      </c>
      <c r="C188" s="9" t="str">
        <f aca="false">IF(TRIM(Raw_Data!C188)="","Unknown",PROPER(TRIM(Raw_Data!C188)))</f>
        <v>Noor Sheikh</v>
      </c>
      <c r="D188" s="9" t="str">
        <f aca="false">IFERROR(INDEX({"Punjab","Sindh","KPK","Balochistan"},MATCH(UPPER(LEFT(TRIM(Raw_Data!D188),1)),{"P","S","K","B"},0)),IFERROR(INDEX(Data_Dictionary!$G$4:$G$16,MATCH(E188,Data_Dictionary!$F$4:$F$16,0)),"Unassigned"))</f>
        <v>Sindh</v>
      </c>
      <c r="E188" s="9" t="str">
        <f aca="false">IF(TRIM(Raw_Data!E188)="","Unknown",PROPER(TRIM(Raw_Data!E188)))</f>
        <v>Karachi</v>
      </c>
      <c r="F188" s="9" t="str">
        <f aca="false">IFERROR(INDEX({"Electronics","Home &amp; Kitchen","Clothing","Groceries","Beauty"},MATCH(UPPER(LEFT(TRIM(Raw_Data!F188),3)),{"ELE","HOM","CLO","GRO","BEA"},0)),"Uncategorised")</f>
        <v>Home &amp; Kitchen</v>
      </c>
      <c r="G188" s="9" t="str">
        <f aca="false">IF(TRIM(Raw_Data!G188)="","Unknown",PROPER(TRIM(Raw_Data!G188)))</f>
        <v>Air Fryer</v>
      </c>
      <c r="H188" s="11" t="n">
        <f aca="false">IFERROR(ABS(VALUE(TRIM(Raw_Data!H188))),"")</f>
        <v>8</v>
      </c>
      <c r="I188" s="12" t="n">
        <f aca="false">IFERROR(VALUE(TRIM(SUBSTITUTE(SUBSTITUTE(SUBSTITUTE(SUBSTITUTE(TRIM(Raw_Data!I188),"PKR",""),"Rs.",""),"Rs",""),",",""))),"")</f>
        <v>18550</v>
      </c>
      <c r="J188" s="13" t="n">
        <f aca="false">IFERROR(IF(TRIM(Raw_Data!J188)="",0,IF(VALUE(TRIM(Raw_Data!J188))&gt;1,VALUE(TRIM(Raw_Data!J188))/100,VALUE(TRIM(Raw_Data!J188)))),0)</f>
        <v>0.15</v>
      </c>
      <c r="K188" s="9" t="str">
        <f aca="false">IF(TRIM(Raw_Data!K188)="","Unassigned",PROPER(TRIM(Raw_Data!K188)))</f>
        <v>Nimra Aslam</v>
      </c>
      <c r="L188" s="9" t="str">
        <f aca="false">IFERROR(INDEX({"Credit Card","Credit Card","Debit Card","Debit Card","Cash","PayPal"},MATCH(UPPER(LEFT(TRIM(Raw_Data!L188),2)),{"CR","CC","DE","DC","CA","PA"},0)),"Other")</f>
        <v>Cash</v>
      </c>
      <c r="M188" s="9" t="str">
        <f aca="false">IFERROR(INDEX({"Completed","Returned","Cancelled","Pending"},MATCH(UPPER(LEFT(TRIM(Raw_Data!M188),3)),{"COM","RET","CAN","PEN"},0)),"Unknown")</f>
        <v>Completed</v>
      </c>
      <c r="N188" s="14" t="n">
        <f aca="false">IF(OR(H188="",I188=""),"",H188*I188)</f>
        <v>148400</v>
      </c>
      <c r="O188" s="14" t="n">
        <f aca="false">IF(N188="","",N188*J188)</f>
        <v>22260</v>
      </c>
      <c r="P188" s="14" t="n">
        <f aca="false">IF(N188="","",N188-O188)</f>
        <v>126140</v>
      </c>
      <c r="Q188" s="15" t="n">
        <f aca="false">IF(B188="","",DATE(YEAR(B188),MONTH(B188),1))</f>
        <v>45870</v>
      </c>
      <c r="R188" s="16" t="str">
        <f aca="false">IF(A188="","Invalid - Exclude",IF(COUNTIF($A$2:A188,A188)&gt;1,"Duplicate - Exclude",IF(OR(B188="",H188="",I188=""),"Invalid - Exclude","Valid")))</f>
        <v>Valid</v>
      </c>
      <c r="S188" s="16" t="str">
        <f aca="false">IF(R188="Valid","",IF(R188="Duplicate - Exclude","Repeat of an earlier Order ID",IF(B188="","Date missing or unreadable",IF(H188="","Quantity missing or unreadable",IF(I188="","Unit price missing or unreadable","Order ID missing")))))</f>
        <v/>
      </c>
    </row>
    <row r="189" customFormat="false" ht="15" hidden="false" customHeight="true" outlineLevel="0" collapsed="false">
      <c r="A189" s="17" t="str">
        <f aca="false">UPPER(TRIM(Raw_Data!A189))</f>
        <v>ORD-1318</v>
      </c>
      <c r="B189" s="18" t="n">
        <f aca="false">IFERROR(IF(ISNUMBER(Raw_Data!B189),Raw_Data!B189,IF(ISNUMBER(FIND("/",Raw_Data!B189)),DATE(VALUE(RIGHT(TRIM(Raw_Data!B189),4)),VALUE(MID(TRIM(Raw_Data!B189),4,2)),VALUE(LEFT(TRIM(Raw_Data!B189),2))),IF(MID(TRIM(Raw_Data!B189),5,1)="-",DATE(VALUE(LEFT(TRIM(Raw_Data!B189),4)),VALUE(MID(TRIM(Raw_Data!B189),6,2)),VALUE(RIGHT(TRIM(Raw_Data!B189),2))),DATE(VALUE(RIGHT(TRIM(Raw_Data!B189),4)),MATCH(MID(TRIM(Raw_Data!B189),4,3),{"Jan","Feb","Mar","Apr","May","Jun","Jul","Aug","Sep","Oct","Nov","Dec"},0),VALUE(LEFT(TRIM(Raw_Data!B189),2)))))),"")</f>
        <v>45712</v>
      </c>
      <c r="C189" s="17" t="str">
        <f aca="false">IF(TRIM(Raw_Data!C189)="","Unknown",PROPER(TRIM(Raw_Data!C189)))</f>
        <v>Usman Hussain</v>
      </c>
      <c r="D189" s="17" t="str">
        <f aca="false">IFERROR(INDEX({"Punjab","Sindh","KPK","Balochistan"},MATCH(UPPER(LEFT(TRIM(Raw_Data!D189),1)),{"P","S","K","B"},0)),IFERROR(INDEX(Data_Dictionary!$G$4:$G$16,MATCH(E189,Data_Dictionary!$F$4:$F$16,0)),"Unassigned"))</f>
        <v>Punjab</v>
      </c>
      <c r="E189" s="17" t="str">
        <f aca="false">IF(TRIM(Raw_Data!E189)="","Unknown",PROPER(TRIM(Raw_Data!E189)))</f>
        <v>Lahore</v>
      </c>
      <c r="F189" s="17" t="str">
        <f aca="false">IFERROR(INDEX({"Electronics","Home &amp; Kitchen","Clothing","Groceries","Beauty"},MATCH(UPPER(LEFT(TRIM(Raw_Data!F189),3)),{"ELE","HOM","CLO","GRO","BEA"},0)),"Uncategorised")</f>
        <v>Clothing</v>
      </c>
      <c r="G189" s="17" t="str">
        <f aca="false">IF(TRIM(Raw_Data!G189)="","Unknown",PROPER(TRIM(Raw_Data!G189)))</f>
        <v>Running Shoes</v>
      </c>
      <c r="H189" s="19" t="n">
        <f aca="false">IFERROR(ABS(VALUE(TRIM(Raw_Data!H189))),"")</f>
        <v>3</v>
      </c>
      <c r="I189" s="20" t="n">
        <f aca="false">IFERROR(VALUE(TRIM(SUBSTITUTE(SUBSTITUTE(SUBSTITUTE(SUBSTITUTE(TRIM(Raw_Data!I189),"PKR",""),"Rs.",""),"Rs",""),",",""))),"")</f>
        <v>7850</v>
      </c>
      <c r="J189" s="21" t="n">
        <f aca="false">IFERROR(IF(TRIM(Raw_Data!J189)="",0,IF(VALUE(TRIM(Raw_Data!J189))&gt;1,VALUE(TRIM(Raw_Data!J189))/100,VALUE(TRIM(Raw_Data!J189)))),0)</f>
        <v>0</v>
      </c>
      <c r="K189" s="17" t="str">
        <f aca="false">IF(TRIM(Raw_Data!K189)="","Unassigned",PROPER(TRIM(Raw_Data!K189)))</f>
        <v>Nimra Aslam</v>
      </c>
      <c r="L189" s="17" t="str">
        <f aca="false">IFERROR(INDEX({"Credit Card","Credit Card","Debit Card","Debit Card","Cash","PayPal"},MATCH(UPPER(LEFT(TRIM(Raw_Data!L189),2)),{"CR","CC","DE","DC","CA","PA"},0)),"Other")</f>
        <v>Debit Card</v>
      </c>
      <c r="M189" s="17" t="str">
        <f aca="false">IFERROR(INDEX({"Completed","Returned","Cancelled","Pending"},MATCH(UPPER(LEFT(TRIM(Raw_Data!M189),3)),{"COM","RET","CAN","PEN"},0)),"Unknown")</f>
        <v>Completed</v>
      </c>
      <c r="N189" s="20" t="n">
        <f aca="false">IF(OR(H189="",I189=""),"",H189*I189)</f>
        <v>23550</v>
      </c>
      <c r="O189" s="20" t="n">
        <f aca="false">IF(N189="","",N189*J189)</f>
        <v>0</v>
      </c>
      <c r="P189" s="20" t="n">
        <f aca="false">IF(N189="","",N189-O189)</f>
        <v>23550</v>
      </c>
      <c r="Q189" s="22" t="n">
        <f aca="false">IF(B189="","",DATE(YEAR(B189),MONTH(B189),1))</f>
        <v>45689</v>
      </c>
      <c r="R189" s="17" t="str">
        <f aca="false">IF(A189="","Invalid - Exclude",IF(COUNTIF($A$2:A189,A189)&gt;1,"Duplicate - Exclude",IF(OR(B189="",H189="",I189=""),"Invalid - Exclude","Valid")))</f>
        <v>Valid</v>
      </c>
      <c r="S189" s="17" t="str">
        <f aca="false">IF(R189="Valid","",IF(R189="Duplicate - Exclude","Repeat of an earlier Order ID",IF(B189="","Date missing or unreadable",IF(H189="","Quantity missing or unreadable",IF(I189="","Unit price missing or unreadable","Order ID missing")))))</f>
        <v/>
      </c>
    </row>
    <row r="190" customFormat="false" ht="15" hidden="false" customHeight="true" outlineLevel="0" collapsed="false">
      <c r="A190" s="9" t="str">
        <f aca="false">UPPER(TRIM(Raw_Data!A190))</f>
        <v>ORD-1184</v>
      </c>
      <c r="B190" s="10" t="n">
        <f aca="false">IFERROR(IF(ISNUMBER(Raw_Data!B190),Raw_Data!B190,IF(ISNUMBER(FIND("/",Raw_Data!B190)),DATE(VALUE(RIGHT(TRIM(Raw_Data!B190),4)),VALUE(MID(TRIM(Raw_Data!B190),4,2)),VALUE(LEFT(TRIM(Raw_Data!B190),2))),IF(MID(TRIM(Raw_Data!B190),5,1)="-",DATE(VALUE(LEFT(TRIM(Raw_Data!B190),4)),VALUE(MID(TRIM(Raw_Data!B190),6,2)),VALUE(RIGHT(TRIM(Raw_Data!B190),2))),DATE(VALUE(RIGHT(TRIM(Raw_Data!B190),4)),MATCH(MID(TRIM(Raw_Data!B190),4,3),{"Jan","Feb","Mar","Apr","May","Jun","Jul","Aug","Sep","Oct","Nov","Dec"},0),VALUE(LEFT(TRIM(Raw_Data!B190),2)))))),"")</f>
        <v>45758</v>
      </c>
      <c r="C190" s="9" t="str">
        <f aca="false">IF(TRIM(Raw_Data!C190)="","Unknown",PROPER(TRIM(Raw_Data!C190)))</f>
        <v>Hina Malik</v>
      </c>
      <c r="D190" s="9" t="str">
        <f aca="false">IFERROR(INDEX({"Punjab","Sindh","KPK","Balochistan"},MATCH(UPPER(LEFT(TRIM(Raw_Data!D190),1)),{"P","S","K","B"},0)),IFERROR(INDEX(Data_Dictionary!$G$4:$G$16,MATCH(E190,Data_Dictionary!$F$4:$F$16,0)),"Unassigned"))</f>
        <v>KPK</v>
      </c>
      <c r="E190" s="9" t="str">
        <f aca="false">IF(TRIM(Raw_Data!E190)="","Unknown",PROPER(TRIM(Raw_Data!E190)))</f>
        <v>Peshawar</v>
      </c>
      <c r="F190" s="9" t="str">
        <f aca="false">IFERROR(INDEX({"Electronics","Home &amp; Kitchen","Clothing","Groceries","Beauty"},MATCH(UPPER(LEFT(TRIM(Raw_Data!F190),3)),{"ELE","HOM","CLO","GRO","BEA"},0)),"Uncategorised")</f>
        <v>Groceries</v>
      </c>
      <c r="G190" s="9" t="str">
        <f aca="false">IF(TRIM(Raw_Data!G190)="","Unknown",PROPER(TRIM(Raw_Data!G190)))</f>
        <v>Basmati Rice 5 Kg</v>
      </c>
      <c r="H190" s="11" t="n">
        <f aca="false">IFERROR(ABS(VALUE(TRIM(Raw_Data!H190))),"")</f>
        <v>6</v>
      </c>
      <c r="I190" s="12" t="n">
        <f aca="false">IFERROR(VALUE(TRIM(SUBSTITUTE(SUBSTITUTE(SUBSTITUTE(SUBSTITUTE(TRIM(Raw_Data!I190),"PKR",""),"Rs.",""),"Rs",""),",",""))),"")</f>
        <v>2650</v>
      </c>
      <c r="J190" s="13" t="n">
        <f aca="false">IFERROR(IF(TRIM(Raw_Data!J190)="",0,IF(VALUE(TRIM(Raw_Data!J190))&gt;1,VALUE(TRIM(Raw_Data!J190))/100,VALUE(TRIM(Raw_Data!J190)))),0)</f>
        <v>0</v>
      </c>
      <c r="K190" s="9" t="str">
        <f aca="false">IF(TRIM(Raw_Data!K190)="","Unassigned",PROPER(TRIM(Raw_Data!K190)))</f>
        <v>Zoya Tariq</v>
      </c>
      <c r="L190" s="9" t="str">
        <f aca="false">IFERROR(INDEX({"Credit Card","Credit Card","Debit Card","Debit Card","Cash","PayPal"},MATCH(UPPER(LEFT(TRIM(Raw_Data!L190),2)),{"CR","CC","DE","DC","CA","PA"},0)),"Other")</f>
        <v>Debit Card</v>
      </c>
      <c r="M190" s="9" t="str">
        <f aca="false">IFERROR(INDEX({"Completed","Returned","Cancelled","Pending"},MATCH(UPPER(LEFT(TRIM(Raw_Data!M190),3)),{"COM","RET","CAN","PEN"},0)),"Unknown")</f>
        <v>Completed</v>
      </c>
      <c r="N190" s="14" t="n">
        <f aca="false">IF(OR(H190="",I190=""),"",H190*I190)</f>
        <v>15900</v>
      </c>
      <c r="O190" s="14" t="n">
        <f aca="false">IF(N190="","",N190*J190)</f>
        <v>0</v>
      </c>
      <c r="P190" s="14" t="n">
        <f aca="false">IF(N190="","",N190-O190)</f>
        <v>15900</v>
      </c>
      <c r="Q190" s="15" t="n">
        <f aca="false">IF(B190="","",DATE(YEAR(B190),MONTH(B190),1))</f>
        <v>45748</v>
      </c>
      <c r="R190" s="16" t="str">
        <f aca="false">IF(A190="","Invalid - Exclude",IF(COUNTIF($A$2:A190,A190)&gt;1,"Duplicate - Exclude",IF(OR(B190="",H190="",I190=""),"Invalid - Exclude","Valid")))</f>
        <v>Valid</v>
      </c>
      <c r="S190" s="16" t="str">
        <f aca="false">IF(R190="Valid","",IF(R190="Duplicate - Exclude","Repeat of an earlier Order ID",IF(B190="","Date missing or unreadable",IF(H190="","Quantity missing or unreadable",IF(I190="","Unit price missing or unreadable","Order ID missing")))))</f>
        <v/>
      </c>
    </row>
    <row r="191" customFormat="false" ht="15" hidden="false" customHeight="true" outlineLevel="0" collapsed="false">
      <c r="A191" s="17" t="str">
        <f aca="false">UPPER(TRIM(Raw_Data!A191))</f>
        <v>ORD-1185</v>
      </c>
      <c r="B191" s="18" t="n">
        <f aca="false">IFERROR(IF(ISNUMBER(Raw_Data!B191),Raw_Data!B191,IF(ISNUMBER(FIND("/",Raw_Data!B191)),DATE(VALUE(RIGHT(TRIM(Raw_Data!B191),4)),VALUE(MID(TRIM(Raw_Data!B191),4,2)),VALUE(LEFT(TRIM(Raw_Data!B191),2))),IF(MID(TRIM(Raw_Data!B191),5,1)="-",DATE(VALUE(LEFT(TRIM(Raw_Data!B191),4)),VALUE(MID(TRIM(Raw_Data!B191),6,2)),VALUE(RIGHT(TRIM(Raw_Data!B191),2))),DATE(VALUE(RIGHT(TRIM(Raw_Data!B191),4)),MATCH(MID(TRIM(Raw_Data!B191),4,3),{"Jan","Feb","Mar","Apr","May","Jun","Jul","Aug","Sep","Oct","Nov","Dec"},0),VALUE(LEFT(TRIM(Raw_Data!B191),2)))))),"")</f>
        <v>45752</v>
      </c>
      <c r="C191" s="17" t="str">
        <f aca="false">IF(TRIM(Raw_Data!C191)="","Unknown",PROPER(TRIM(Raw_Data!C191)))</f>
        <v>Kashif Butt</v>
      </c>
      <c r="D191" s="17" t="str">
        <f aca="false">IFERROR(INDEX({"Punjab","Sindh","KPK","Balochistan"},MATCH(UPPER(LEFT(TRIM(Raw_Data!D191),1)),{"P","S","K","B"},0)),IFERROR(INDEX(Data_Dictionary!$G$4:$G$16,MATCH(E191,Data_Dictionary!$F$4:$F$16,0)),"Unassigned"))</f>
        <v>KPK</v>
      </c>
      <c r="E191" s="17" t="str">
        <f aca="false">IF(TRIM(Raw_Data!E191)="","Unknown",PROPER(TRIM(Raw_Data!E191)))</f>
        <v>Peshawar</v>
      </c>
      <c r="F191" s="17" t="str">
        <f aca="false">IFERROR(INDEX({"Electronics","Home &amp; Kitchen","Clothing","Groceries","Beauty"},MATCH(UPPER(LEFT(TRIM(Raw_Data!F191),3)),{"ELE","HOM","CLO","GRO","BEA"},0)),"Uncategorised")</f>
        <v>Groceries</v>
      </c>
      <c r="G191" s="17" t="str">
        <f aca="false">IF(TRIM(Raw_Data!G191)="","Unknown",PROPER(TRIM(Raw_Data!G191)))</f>
        <v>Black Tea Pack</v>
      </c>
      <c r="H191" s="19" t="n">
        <f aca="false">IFERROR(ABS(VALUE(TRIM(Raw_Data!H191))),"")</f>
        <v>7</v>
      </c>
      <c r="I191" s="20" t="n">
        <f aca="false">IFERROR(VALUE(TRIM(SUBSTITUTE(SUBSTITUTE(SUBSTITUTE(SUBSTITUTE(TRIM(Raw_Data!I191),"PKR",""),"Rs.",""),"Rs",""),",",""))),"")</f>
        <v>1450</v>
      </c>
      <c r="J191" s="21" t="n">
        <f aca="false">IFERROR(IF(TRIM(Raw_Data!J191)="",0,IF(VALUE(TRIM(Raw_Data!J191))&gt;1,VALUE(TRIM(Raw_Data!J191))/100,VALUE(TRIM(Raw_Data!J191)))),0)</f>
        <v>0</v>
      </c>
      <c r="K191" s="17" t="str">
        <f aca="false">IF(TRIM(Raw_Data!K191)="","Unassigned",PROPER(TRIM(Raw_Data!K191)))</f>
        <v>Sadia Noor</v>
      </c>
      <c r="L191" s="17" t="str">
        <f aca="false">IFERROR(INDEX({"Credit Card","Credit Card","Debit Card","Debit Card","Cash","PayPal"},MATCH(UPPER(LEFT(TRIM(Raw_Data!L191),2)),{"CR","CC","DE","DC","CA","PA"},0)),"Other")</f>
        <v>PayPal</v>
      </c>
      <c r="M191" s="17" t="str">
        <f aca="false">IFERROR(INDEX({"Completed","Returned","Cancelled","Pending"},MATCH(UPPER(LEFT(TRIM(Raw_Data!M191),3)),{"COM","RET","CAN","PEN"},0)),"Unknown")</f>
        <v>Completed</v>
      </c>
      <c r="N191" s="20" t="n">
        <f aca="false">IF(OR(H191="",I191=""),"",H191*I191)</f>
        <v>10150</v>
      </c>
      <c r="O191" s="20" t="n">
        <f aca="false">IF(N191="","",N191*J191)</f>
        <v>0</v>
      </c>
      <c r="P191" s="20" t="n">
        <f aca="false">IF(N191="","",N191-O191)</f>
        <v>10150</v>
      </c>
      <c r="Q191" s="22" t="n">
        <f aca="false">IF(B191="","",DATE(YEAR(B191),MONTH(B191),1))</f>
        <v>45748</v>
      </c>
      <c r="R191" s="17" t="str">
        <f aca="false">IF(A191="","Invalid - Exclude",IF(COUNTIF($A$2:A191,A191)&gt;1,"Duplicate - Exclude",IF(OR(B191="",H191="",I191=""),"Invalid - Exclude","Valid")))</f>
        <v>Valid</v>
      </c>
      <c r="S191" s="17" t="str">
        <f aca="false">IF(R191="Valid","",IF(R191="Duplicate - Exclude","Repeat of an earlier Order ID",IF(B191="","Date missing or unreadable",IF(H191="","Quantity missing or unreadable",IF(I191="","Unit price missing or unreadable","Order ID missing")))))</f>
        <v/>
      </c>
    </row>
    <row r="192" customFormat="false" ht="15" hidden="false" customHeight="true" outlineLevel="0" collapsed="false">
      <c r="A192" s="9" t="str">
        <f aca="false">UPPER(TRIM(Raw_Data!A192))</f>
        <v>ORD-1186</v>
      </c>
      <c r="B192" s="10" t="n">
        <f aca="false">IFERROR(IF(ISNUMBER(Raw_Data!B192),Raw_Data!B192,IF(ISNUMBER(FIND("/",Raw_Data!B192)),DATE(VALUE(RIGHT(TRIM(Raw_Data!B192),4)),VALUE(MID(TRIM(Raw_Data!B192),4,2)),VALUE(LEFT(TRIM(Raw_Data!B192),2))),IF(MID(TRIM(Raw_Data!B192),5,1)="-",DATE(VALUE(LEFT(TRIM(Raw_Data!B192),4)),VALUE(MID(TRIM(Raw_Data!B192),6,2)),VALUE(RIGHT(TRIM(Raw_Data!B192),2))),DATE(VALUE(RIGHT(TRIM(Raw_Data!B192),4)),MATCH(MID(TRIM(Raw_Data!B192),4,3),{"Jan","Feb","Mar","Apr","May","Jun","Jul","Aug","Sep","Oct","Nov","Dec"},0),VALUE(LEFT(TRIM(Raw_Data!B192),2)))))),"")</f>
        <v>45753</v>
      </c>
      <c r="C192" s="9" t="str">
        <f aca="false">IF(TRIM(Raw_Data!C192)="","Unknown",PROPER(TRIM(Raw_Data!C192)))</f>
        <v>Bilal Qureshi</v>
      </c>
      <c r="D192" s="9" t="str">
        <f aca="false">IFERROR(INDEX({"Punjab","Sindh","KPK","Balochistan"},MATCH(UPPER(LEFT(TRIM(Raw_Data!D192),1)),{"P","S","K","B"},0)),IFERROR(INDEX(Data_Dictionary!$G$4:$G$16,MATCH(E192,Data_Dictionary!$F$4:$F$16,0)),"Unassigned"))</f>
        <v>Punjab</v>
      </c>
      <c r="E192" s="9" t="str">
        <f aca="false">IF(TRIM(Raw_Data!E192)="","Unknown",PROPER(TRIM(Raw_Data!E192)))</f>
        <v>Lahore</v>
      </c>
      <c r="F192" s="9" t="str">
        <f aca="false">IFERROR(INDEX({"Electronics","Home &amp; Kitchen","Clothing","Groceries","Beauty"},MATCH(UPPER(LEFT(TRIM(Raw_Data!F192),3)),{"ELE","HOM","CLO","GRO","BEA"},0)),"Uncategorised")</f>
        <v>Groceries</v>
      </c>
      <c r="G192" s="9" t="str">
        <f aca="false">IF(TRIM(Raw_Data!G192)="","Unknown",PROPER(TRIM(Raw_Data!G192)))</f>
        <v>Cooking Oil 5 Litre</v>
      </c>
      <c r="H192" s="11" t="n">
        <f aca="false">IFERROR(ABS(VALUE(TRIM(Raw_Data!H192))),"")</f>
        <v>3</v>
      </c>
      <c r="I192" s="12" t="n">
        <f aca="false">IFERROR(VALUE(TRIM(SUBSTITUTE(SUBSTITUTE(SUBSTITUTE(SUBSTITUTE(TRIM(Raw_Data!I192),"PKR",""),"Rs.",""),"Rs",""),",",""))),"")</f>
        <v>2250</v>
      </c>
      <c r="J192" s="13" t="n">
        <f aca="false">IFERROR(IF(TRIM(Raw_Data!J192)="",0,IF(VALUE(TRIM(Raw_Data!J192))&gt;1,VALUE(TRIM(Raw_Data!J192))/100,VALUE(TRIM(Raw_Data!J192)))),0)</f>
        <v>0</v>
      </c>
      <c r="K192" s="9" t="str">
        <f aca="false">IF(TRIM(Raw_Data!K192)="","Unassigned",PROPER(TRIM(Raw_Data!K192)))</f>
        <v>Waqar Ahmed</v>
      </c>
      <c r="L192" s="9" t="str">
        <f aca="false">IFERROR(INDEX({"Credit Card","Credit Card","Debit Card","Debit Card","Cash","PayPal"},MATCH(UPPER(LEFT(TRIM(Raw_Data!L192),2)),{"CR","CC","DE","DC","CA","PA"},0)),"Other")</f>
        <v>Credit Card</v>
      </c>
      <c r="M192" s="9" t="str">
        <f aca="false">IFERROR(INDEX({"Completed","Returned","Cancelled","Pending"},MATCH(UPPER(LEFT(TRIM(Raw_Data!M192),3)),{"COM","RET","CAN","PEN"},0)),"Unknown")</f>
        <v>Completed</v>
      </c>
      <c r="N192" s="14" t="n">
        <f aca="false">IF(OR(H192="",I192=""),"",H192*I192)</f>
        <v>6750</v>
      </c>
      <c r="O192" s="14" t="n">
        <f aca="false">IF(N192="","",N192*J192)</f>
        <v>0</v>
      </c>
      <c r="P192" s="14" t="n">
        <f aca="false">IF(N192="","",N192-O192)</f>
        <v>6750</v>
      </c>
      <c r="Q192" s="15" t="n">
        <f aca="false">IF(B192="","",DATE(YEAR(B192),MONTH(B192),1))</f>
        <v>45748</v>
      </c>
      <c r="R192" s="16" t="str">
        <f aca="false">IF(A192="","Invalid - Exclude",IF(COUNTIF($A$2:A192,A192)&gt;1,"Duplicate - Exclude",IF(OR(B192="",H192="",I192=""),"Invalid - Exclude","Valid")))</f>
        <v>Valid</v>
      </c>
      <c r="S192" s="16" t="str">
        <f aca="false">IF(R192="Valid","",IF(R192="Duplicate - Exclude","Repeat of an earlier Order ID",IF(B192="","Date missing or unreadable",IF(H192="","Quantity missing or unreadable",IF(I192="","Unit price missing or unreadable","Order ID missing")))))</f>
        <v/>
      </c>
    </row>
    <row r="193" customFormat="false" ht="15" hidden="false" customHeight="true" outlineLevel="0" collapsed="false">
      <c r="A193" s="17" t="str">
        <f aca="false">UPPER(TRIM(Raw_Data!A193))</f>
        <v>ORD-1320</v>
      </c>
      <c r="B193" s="18" t="n">
        <f aca="false">IFERROR(IF(ISNUMBER(Raw_Data!B193),Raw_Data!B193,IF(ISNUMBER(FIND("/",Raw_Data!B193)),DATE(VALUE(RIGHT(TRIM(Raw_Data!B193),4)),VALUE(MID(TRIM(Raw_Data!B193),4,2)),VALUE(LEFT(TRIM(Raw_Data!B193),2))),IF(MID(TRIM(Raw_Data!B193),5,1)="-",DATE(VALUE(LEFT(TRIM(Raw_Data!B193),4)),VALUE(MID(TRIM(Raw_Data!B193),6,2)),VALUE(RIGHT(TRIM(Raw_Data!B193),2))),DATE(VALUE(RIGHT(TRIM(Raw_Data!B193),4)),MATCH(MID(TRIM(Raw_Data!B193),4,3),{"Jan","Feb","Mar","Apr","May","Jun","Jul","Aug","Sep","Oct","Nov","Dec"},0),VALUE(LEFT(TRIM(Raw_Data!B193),2)))))),"")</f>
        <v>45950</v>
      </c>
      <c r="C193" s="17" t="str">
        <f aca="false">IF(TRIM(Raw_Data!C193)="","Unknown",PROPER(TRIM(Raw_Data!C193)))</f>
        <v>Zain Iqbal</v>
      </c>
      <c r="D193" s="17" t="str">
        <f aca="false">IFERROR(INDEX({"Punjab","Sindh","KPK","Balochistan"},MATCH(UPPER(LEFT(TRIM(Raw_Data!D193),1)),{"P","S","K","B"},0)),IFERROR(INDEX(Data_Dictionary!$G$4:$G$16,MATCH(E193,Data_Dictionary!$F$4:$F$16,0)),"Unassigned"))</f>
        <v>Punjab</v>
      </c>
      <c r="E193" s="17" t="str">
        <f aca="false">IF(TRIM(Raw_Data!E193)="","Unknown",PROPER(TRIM(Raw_Data!E193)))</f>
        <v>Gujranwala</v>
      </c>
      <c r="F193" s="17" t="str">
        <f aca="false">IFERROR(INDEX({"Electronics","Home &amp; Kitchen","Clothing","Groceries","Beauty"},MATCH(UPPER(LEFT(TRIM(Raw_Data!F193),3)),{"ELE","HOM","CLO","GRO","BEA"},0)),"Uncategorised")</f>
        <v>Groceries</v>
      </c>
      <c r="G193" s="17" t="str">
        <f aca="false">IF(TRIM(Raw_Data!G193)="","Unknown",PROPER(TRIM(Raw_Data!G193)))</f>
        <v>Cooking Oil 5 Litre</v>
      </c>
      <c r="H193" s="19" t="n">
        <f aca="false">IFERROR(ABS(VALUE(TRIM(Raw_Data!H193))),"")</f>
        <v>1</v>
      </c>
      <c r="I193" s="20" t="n">
        <f aca="false">IFERROR(VALUE(TRIM(SUBSTITUTE(SUBSTITUTE(SUBSTITUTE(SUBSTITUTE(TRIM(Raw_Data!I193),"PKR",""),"Rs.",""),"Rs",""),",",""))),"")</f>
        <v>2350</v>
      </c>
      <c r="J193" s="21" t="n">
        <f aca="false">IFERROR(IF(TRIM(Raw_Data!J193)="",0,IF(VALUE(TRIM(Raw_Data!J193))&gt;1,VALUE(TRIM(Raw_Data!J193))/100,VALUE(TRIM(Raw_Data!J193)))),0)</f>
        <v>0</v>
      </c>
      <c r="K193" s="17" t="str">
        <f aca="false">IF(TRIM(Raw_Data!K193)="","Unassigned",PROPER(TRIM(Raw_Data!K193)))</f>
        <v>Imran Shah</v>
      </c>
      <c r="L193" s="17" t="str">
        <f aca="false">IFERROR(INDEX({"Credit Card","Credit Card","Debit Card","Debit Card","Cash","PayPal"},MATCH(UPPER(LEFT(TRIM(Raw_Data!L193),2)),{"CR","CC","DE","DC","CA","PA"},0)),"Other")</f>
        <v>Debit Card</v>
      </c>
      <c r="M193" s="17" t="str">
        <f aca="false">IFERROR(INDEX({"Completed","Returned","Cancelled","Pending"},MATCH(UPPER(LEFT(TRIM(Raw_Data!M193),3)),{"COM","RET","CAN","PEN"},0)),"Unknown")</f>
        <v>Completed</v>
      </c>
      <c r="N193" s="20" t="n">
        <f aca="false">IF(OR(H193="",I193=""),"",H193*I193)</f>
        <v>2350</v>
      </c>
      <c r="O193" s="20" t="n">
        <f aca="false">IF(N193="","",N193*J193)</f>
        <v>0</v>
      </c>
      <c r="P193" s="20" t="n">
        <f aca="false">IF(N193="","",N193-O193)</f>
        <v>2350</v>
      </c>
      <c r="Q193" s="22" t="n">
        <f aca="false">IF(B193="","",DATE(YEAR(B193),MONTH(B193),1))</f>
        <v>45931</v>
      </c>
      <c r="R193" s="17" t="str">
        <f aca="false">IF(A193="","Invalid - Exclude",IF(COUNTIF($A$2:A193,A193)&gt;1,"Duplicate - Exclude",IF(OR(B193="",H193="",I193=""),"Invalid - Exclude","Valid")))</f>
        <v>Valid</v>
      </c>
      <c r="S193" s="17" t="str">
        <f aca="false">IF(R193="Valid","",IF(R193="Duplicate - Exclude","Repeat of an earlier Order ID",IF(B193="","Date missing or unreadable",IF(H193="","Quantity missing or unreadable",IF(I193="","Unit price missing or unreadable","Order ID missing")))))</f>
        <v/>
      </c>
    </row>
    <row r="194" customFormat="false" ht="15" hidden="false" customHeight="true" outlineLevel="0" collapsed="false">
      <c r="A194" s="9" t="str">
        <f aca="false">UPPER(TRIM(Raw_Data!A194))</f>
        <v>ORD-1187</v>
      </c>
      <c r="B194" s="10" t="n">
        <f aca="false">IFERROR(IF(ISNUMBER(Raw_Data!B194),Raw_Data!B194,IF(ISNUMBER(FIND("/",Raw_Data!B194)),DATE(VALUE(RIGHT(TRIM(Raw_Data!B194),4)),VALUE(MID(TRIM(Raw_Data!B194),4,2)),VALUE(LEFT(TRIM(Raw_Data!B194),2))),IF(MID(TRIM(Raw_Data!B194),5,1)="-",DATE(VALUE(LEFT(TRIM(Raw_Data!B194),4)),VALUE(MID(TRIM(Raw_Data!B194),6,2)),VALUE(RIGHT(TRIM(Raw_Data!B194),2))),DATE(VALUE(RIGHT(TRIM(Raw_Data!B194),4)),MATCH(MID(TRIM(Raw_Data!B194),4,3),{"Jan","Feb","Mar","Apr","May","Jun","Jul","Aug","Sep","Oct","Nov","Dec"},0),VALUE(LEFT(TRIM(Raw_Data!B194),2)))))),"")</f>
        <v>45855</v>
      </c>
      <c r="C194" s="9" t="str">
        <f aca="false">IF(TRIM(Raw_Data!C194)="","Unknown",PROPER(TRIM(Raw_Data!C194)))</f>
        <v>Sana Raza</v>
      </c>
      <c r="D194" s="9" t="str">
        <f aca="false">IFERROR(INDEX({"Punjab","Sindh","KPK","Balochistan"},MATCH(UPPER(LEFT(TRIM(Raw_Data!D194),1)),{"P","S","K","B"},0)),IFERROR(INDEX(Data_Dictionary!$G$4:$G$16,MATCH(E194,Data_Dictionary!$F$4:$F$16,0)),"Unassigned"))</f>
        <v>Punjab</v>
      </c>
      <c r="E194" s="9" t="str">
        <f aca="false">IF(TRIM(Raw_Data!E194)="","Unknown",PROPER(TRIM(Raw_Data!E194)))</f>
        <v>Faisalabad</v>
      </c>
      <c r="F194" s="9" t="str">
        <f aca="false">IFERROR(INDEX({"Electronics","Home &amp; Kitchen","Clothing","Groceries","Beauty"},MATCH(UPPER(LEFT(TRIM(Raw_Data!F194),3)),{"ELE","HOM","CLO","GRO","BEA"},0)),"Uncategorised")</f>
        <v>Beauty</v>
      </c>
      <c r="G194" s="9" t="str">
        <f aca="false">IF(TRIM(Raw_Data!G194)="","Unknown",PROPER(TRIM(Raw_Data!G194)))</f>
        <v>Hair Dryer</v>
      </c>
      <c r="H194" s="11" t="n">
        <f aca="false">IFERROR(ABS(VALUE(TRIM(Raw_Data!H194))),"")</f>
        <v>1</v>
      </c>
      <c r="I194" s="12" t="n">
        <f aca="false">IFERROR(VALUE(TRIM(SUBSTITUTE(SUBSTITUTE(SUBSTITUTE(SUBSTITUTE(TRIM(Raw_Data!I194),"PKR",""),"Rs.",""),"Rs",""),",",""))),"")</f>
        <v>4200</v>
      </c>
      <c r="J194" s="13" t="n">
        <f aca="false">IFERROR(IF(TRIM(Raw_Data!J194)="",0,IF(VALUE(TRIM(Raw_Data!J194))&gt;1,VALUE(TRIM(Raw_Data!J194))/100,VALUE(TRIM(Raw_Data!J194)))),0)</f>
        <v>0.05</v>
      </c>
      <c r="K194" s="9" t="str">
        <f aca="false">IF(TRIM(Raw_Data!K194)="","Unassigned",PROPER(TRIM(Raw_Data!K194)))</f>
        <v>Nimra Aslam</v>
      </c>
      <c r="L194" s="9" t="str">
        <f aca="false">IFERROR(INDEX({"Credit Card","Credit Card","Debit Card","Debit Card","Cash","PayPal"},MATCH(UPPER(LEFT(TRIM(Raw_Data!L194),2)),{"CR","CC","DE","DC","CA","PA"},0)),"Other")</f>
        <v>Credit Card</v>
      </c>
      <c r="M194" s="9" t="str">
        <f aca="false">IFERROR(INDEX({"Completed","Returned","Cancelled","Pending"},MATCH(UPPER(LEFT(TRIM(Raw_Data!M194),3)),{"COM","RET","CAN","PEN"},0)),"Unknown")</f>
        <v>Completed</v>
      </c>
      <c r="N194" s="14" t="n">
        <f aca="false">IF(OR(H194="",I194=""),"",H194*I194)</f>
        <v>4200</v>
      </c>
      <c r="O194" s="14" t="n">
        <f aca="false">IF(N194="","",N194*J194)</f>
        <v>210</v>
      </c>
      <c r="P194" s="14" t="n">
        <f aca="false">IF(N194="","",N194-O194)</f>
        <v>3990</v>
      </c>
      <c r="Q194" s="15" t="n">
        <f aca="false">IF(B194="","",DATE(YEAR(B194),MONTH(B194),1))</f>
        <v>45839</v>
      </c>
      <c r="R194" s="16" t="str">
        <f aca="false">IF(A194="","Invalid - Exclude",IF(COUNTIF($A$2:A194,A194)&gt;1,"Duplicate - Exclude",IF(OR(B194="",H194="",I194=""),"Invalid - Exclude","Valid")))</f>
        <v>Valid</v>
      </c>
      <c r="S194" s="16" t="str">
        <f aca="false">IF(R194="Valid","",IF(R194="Duplicate - Exclude","Repeat of an earlier Order ID",IF(B194="","Date missing or unreadable",IF(H194="","Quantity missing or unreadable",IF(I194="","Unit price missing or unreadable","Order ID missing")))))</f>
        <v/>
      </c>
    </row>
    <row r="195" customFormat="false" ht="15" hidden="false" customHeight="true" outlineLevel="0" collapsed="false">
      <c r="A195" s="17" t="str">
        <f aca="false">UPPER(TRIM(Raw_Data!A195))</f>
        <v>ORD-1188</v>
      </c>
      <c r="B195" s="18" t="n">
        <f aca="false">IFERROR(IF(ISNUMBER(Raw_Data!B195),Raw_Data!B195,IF(ISNUMBER(FIND("/",Raw_Data!B195)),DATE(VALUE(RIGHT(TRIM(Raw_Data!B195),4)),VALUE(MID(TRIM(Raw_Data!B195),4,2)),VALUE(LEFT(TRIM(Raw_Data!B195),2))),IF(MID(TRIM(Raw_Data!B195),5,1)="-",DATE(VALUE(LEFT(TRIM(Raw_Data!B195),4)),VALUE(MID(TRIM(Raw_Data!B195),6,2)),VALUE(RIGHT(TRIM(Raw_Data!B195),2))),DATE(VALUE(RIGHT(TRIM(Raw_Data!B195),4)),MATCH(MID(TRIM(Raw_Data!B195),4,3),{"Jan","Feb","Mar","Apr","May","Jun","Jul","Aug","Sep","Oct","Nov","Dec"},0),VALUE(LEFT(TRIM(Raw_Data!B195),2)))))),"")</f>
        <v>45847</v>
      </c>
      <c r="C195" s="17" t="str">
        <f aca="false">IF(TRIM(Raw_Data!C195)="","Unknown",PROPER(TRIM(Raw_Data!C195)))</f>
        <v>Usman Hussain</v>
      </c>
      <c r="D195" s="17" t="str">
        <f aca="false">IFERROR(INDEX({"Punjab","Sindh","KPK","Balochistan"},MATCH(UPPER(LEFT(TRIM(Raw_Data!D195),1)),{"P","S","K","B"},0)),IFERROR(INDEX(Data_Dictionary!$G$4:$G$16,MATCH(E195,Data_Dictionary!$F$4:$F$16,0)),"Unassigned"))</f>
        <v>Punjab</v>
      </c>
      <c r="E195" s="17" t="str">
        <f aca="false">IF(TRIM(Raw_Data!E195)="","Unknown",PROPER(TRIM(Raw_Data!E195)))</f>
        <v>Rawalpindi</v>
      </c>
      <c r="F195" s="17" t="str">
        <f aca="false">IFERROR(INDEX({"Electronics","Home &amp; Kitchen","Clothing","Groceries","Beauty"},MATCH(UPPER(LEFT(TRIM(Raw_Data!F195),3)),{"ELE","HOM","CLO","GRO","BEA"},0)),"Uncategorised")</f>
        <v>Clothing</v>
      </c>
      <c r="G195" s="17" t="str">
        <f aca="false">IF(TRIM(Raw_Data!G195)="","Unknown",PROPER(TRIM(Raw_Data!G195)))</f>
        <v>Lawn Suit 3 Piece</v>
      </c>
      <c r="H195" s="19" t="n">
        <f aca="false">IFERROR(ABS(VALUE(TRIM(Raw_Data!H195))),"")</f>
        <v>2</v>
      </c>
      <c r="I195" s="20" t="n">
        <f aca="false">IFERROR(VALUE(TRIM(SUBSTITUTE(SUBSTITUTE(SUBSTITUTE(SUBSTITUTE(TRIM(Raw_Data!I195),"PKR",""),"Rs.",""),"Rs",""),",",""))),"")</f>
        <v>6650</v>
      </c>
      <c r="J195" s="21" t="n">
        <f aca="false">IFERROR(IF(TRIM(Raw_Data!J195)="",0,IF(VALUE(TRIM(Raw_Data!J195))&gt;1,VALUE(TRIM(Raw_Data!J195))/100,VALUE(TRIM(Raw_Data!J195)))),0)</f>
        <v>0.2</v>
      </c>
      <c r="K195" s="17" t="str">
        <f aca="false">IF(TRIM(Raw_Data!K195)="","Unassigned",PROPER(TRIM(Raw_Data!K195)))</f>
        <v>Zoya Tariq</v>
      </c>
      <c r="L195" s="17" t="str">
        <f aca="false">IFERROR(INDEX({"Credit Card","Credit Card","Debit Card","Debit Card","Cash","PayPal"},MATCH(UPPER(LEFT(TRIM(Raw_Data!L195),2)),{"CR","CC","DE","DC","CA","PA"},0)),"Other")</f>
        <v>Cash</v>
      </c>
      <c r="M195" s="17" t="str">
        <f aca="false">IFERROR(INDEX({"Completed","Returned","Cancelled","Pending"},MATCH(UPPER(LEFT(TRIM(Raw_Data!M195),3)),{"COM","RET","CAN","PEN"},0)),"Unknown")</f>
        <v>Completed</v>
      </c>
      <c r="N195" s="20" t="n">
        <f aca="false">IF(OR(H195="",I195=""),"",H195*I195)</f>
        <v>13300</v>
      </c>
      <c r="O195" s="20" t="n">
        <f aca="false">IF(N195="","",N195*J195)</f>
        <v>2660</v>
      </c>
      <c r="P195" s="20" t="n">
        <f aca="false">IF(N195="","",N195-O195)</f>
        <v>10640</v>
      </c>
      <c r="Q195" s="22" t="n">
        <f aca="false">IF(B195="","",DATE(YEAR(B195),MONTH(B195),1))</f>
        <v>45839</v>
      </c>
      <c r="R195" s="17" t="str">
        <f aca="false">IF(A195="","Invalid - Exclude",IF(COUNTIF($A$2:A195,A195)&gt;1,"Duplicate - Exclude",IF(OR(B195="",H195="",I195=""),"Invalid - Exclude","Valid")))</f>
        <v>Valid</v>
      </c>
      <c r="S195" s="17" t="str">
        <f aca="false">IF(R195="Valid","",IF(R195="Duplicate - Exclude","Repeat of an earlier Order ID",IF(B195="","Date missing or unreadable",IF(H195="","Quantity missing or unreadable",IF(I195="","Unit price missing or unreadable","Order ID missing")))))</f>
        <v/>
      </c>
    </row>
    <row r="196" customFormat="false" ht="15" hidden="false" customHeight="true" outlineLevel="0" collapsed="false">
      <c r="A196" s="9" t="str">
        <f aca="false">UPPER(TRIM(Raw_Data!A196))</f>
        <v>ORD-1189</v>
      </c>
      <c r="B196" s="10" t="n">
        <f aca="false">IFERROR(IF(ISNUMBER(Raw_Data!B196),Raw_Data!B196,IF(ISNUMBER(FIND("/",Raw_Data!B196)),DATE(VALUE(RIGHT(TRIM(Raw_Data!B196),4)),VALUE(MID(TRIM(Raw_Data!B196),4,2)),VALUE(LEFT(TRIM(Raw_Data!B196),2))),IF(MID(TRIM(Raw_Data!B196),5,1)="-",DATE(VALUE(LEFT(TRIM(Raw_Data!B196),4)),VALUE(MID(TRIM(Raw_Data!B196),6,2)),VALUE(RIGHT(TRIM(Raw_Data!B196),2))),DATE(VALUE(RIGHT(TRIM(Raw_Data!B196),4)),MATCH(MID(TRIM(Raw_Data!B196),4,3),{"Jan","Feb","Mar","Apr","May","Jun","Jul","Aug","Sep","Oct","Nov","Dec"},0),VALUE(LEFT(TRIM(Raw_Data!B196),2)))))),"")</f>
        <v>45958</v>
      </c>
      <c r="C196" s="9" t="str">
        <f aca="false">IF(TRIM(Raw_Data!C196)="","Unknown",PROPER(TRIM(Raw_Data!C196)))</f>
        <v>Maryam Hussain</v>
      </c>
      <c r="D196" s="9" t="str">
        <f aca="false">IFERROR(INDEX({"Punjab","Sindh","KPK","Balochistan"},MATCH(UPPER(LEFT(TRIM(Raw_Data!D196),1)),{"P","S","K","B"},0)),IFERROR(INDEX(Data_Dictionary!$G$4:$G$16,MATCH(E196,Data_Dictionary!$F$4:$F$16,0)),"Unassigned"))</f>
        <v>Punjab</v>
      </c>
      <c r="E196" s="9" t="str">
        <f aca="false">IF(TRIM(Raw_Data!E196)="","Unknown",PROPER(TRIM(Raw_Data!E196)))</f>
        <v>Faisalabad</v>
      </c>
      <c r="F196" s="9" t="str">
        <f aca="false">IFERROR(INDEX({"Electronics","Home &amp; Kitchen","Clothing","Groceries","Beauty"},MATCH(UPPER(LEFT(TRIM(Raw_Data!F196),3)),{"ELE","HOM","CLO","GRO","BEA"},0)),"Uncategorised")</f>
        <v>Home &amp; Kitchen</v>
      </c>
      <c r="G196" s="9" t="str">
        <f aca="false">IF(TRIM(Raw_Data!G196)="","Unknown",PROPER(TRIM(Raw_Data!G196)))</f>
        <v>Air Fryer</v>
      </c>
      <c r="H196" s="11" t="n">
        <f aca="false">IFERROR(ABS(VALUE(TRIM(Raw_Data!H196))),"")</f>
        <v>3</v>
      </c>
      <c r="I196" s="12" t="n">
        <f aca="false">IFERROR(VALUE(TRIM(SUBSTITUTE(SUBSTITUTE(SUBSTITUTE(SUBSTITUTE(TRIM(Raw_Data!I196),"PKR",""),"Rs.",""),"Rs",""),",",""))),"")</f>
        <v>17750</v>
      </c>
      <c r="J196" s="13" t="n">
        <f aca="false">IFERROR(IF(TRIM(Raw_Data!J196)="",0,IF(VALUE(TRIM(Raw_Data!J196))&gt;1,VALUE(TRIM(Raw_Data!J196))/100,VALUE(TRIM(Raw_Data!J196)))),0)</f>
        <v>0.2</v>
      </c>
      <c r="K196" s="9" t="str">
        <f aca="false">IF(TRIM(Raw_Data!K196)="","Unassigned",PROPER(TRIM(Raw_Data!K196)))</f>
        <v>Sadia Noor</v>
      </c>
      <c r="L196" s="9" t="str">
        <f aca="false">IFERROR(INDEX({"Credit Card","Credit Card","Debit Card","Debit Card","Cash","PayPal"},MATCH(UPPER(LEFT(TRIM(Raw_Data!L196),2)),{"CR","CC","DE","DC","CA","PA"},0)),"Other")</f>
        <v>Credit Card</v>
      </c>
      <c r="M196" s="9" t="str">
        <f aca="false">IFERROR(INDEX({"Completed","Returned","Cancelled","Pending"},MATCH(UPPER(LEFT(TRIM(Raw_Data!M196),3)),{"COM","RET","CAN","PEN"},0)),"Unknown")</f>
        <v>Completed</v>
      </c>
      <c r="N196" s="14" t="n">
        <f aca="false">IF(OR(H196="",I196=""),"",H196*I196)</f>
        <v>53250</v>
      </c>
      <c r="O196" s="14" t="n">
        <f aca="false">IF(N196="","",N196*J196)</f>
        <v>10650</v>
      </c>
      <c r="P196" s="14" t="n">
        <f aca="false">IF(N196="","",N196-O196)</f>
        <v>42600</v>
      </c>
      <c r="Q196" s="15" t="n">
        <f aca="false">IF(B196="","",DATE(YEAR(B196),MONTH(B196),1))</f>
        <v>45931</v>
      </c>
      <c r="R196" s="16" t="str">
        <f aca="false">IF(A196="","Invalid - Exclude",IF(COUNTIF($A$2:A196,A196)&gt;1,"Duplicate - Exclude",IF(OR(B196="",H196="",I196=""),"Invalid - Exclude","Valid")))</f>
        <v>Valid</v>
      </c>
      <c r="S196" s="16" t="str">
        <f aca="false">IF(R196="Valid","",IF(R196="Duplicate - Exclude","Repeat of an earlier Order ID",IF(B196="","Date missing or unreadable",IF(H196="","Quantity missing or unreadable",IF(I196="","Unit price missing or unreadable","Order ID missing")))))</f>
        <v/>
      </c>
    </row>
    <row r="197" customFormat="false" ht="15" hidden="false" customHeight="true" outlineLevel="0" collapsed="false">
      <c r="A197" s="17" t="str">
        <f aca="false">UPPER(TRIM(Raw_Data!A197))</f>
        <v>ORD-1190</v>
      </c>
      <c r="B197" s="18" t="n">
        <f aca="false">IFERROR(IF(ISNUMBER(Raw_Data!B197),Raw_Data!B197,IF(ISNUMBER(FIND("/",Raw_Data!B197)),DATE(VALUE(RIGHT(TRIM(Raw_Data!B197),4)),VALUE(MID(TRIM(Raw_Data!B197),4,2)),VALUE(LEFT(TRIM(Raw_Data!B197),2))),IF(MID(TRIM(Raw_Data!B197),5,1)="-",DATE(VALUE(LEFT(TRIM(Raw_Data!B197),4)),VALUE(MID(TRIM(Raw_Data!B197),6,2)),VALUE(RIGHT(TRIM(Raw_Data!B197),2))),DATE(VALUE(RIGHT(TRIM(Raw_Data!B197),4)),MATCH(MID(TRIM(Raw_Data!B197),4,3),{"Jan","Feb","Mar","Apr","May","Jun","Jul","Aug","Sep","Oct","Nov","Dec"},0),VALUE(LEFT(TRIM(Raw_Data!B197),2)))))),"")</f>
        <v>45773</v>
      </c>
      <c r="C197" s="17" t="str">
        <f aca="false">IF(TRIM(Raw_Data!C197)="","Unknown",PROPER(TRIM(Raw_Data!C197)))</f>
        <v>Saad Qureshi</v>
      </c>
      <c r="D197" s="17" t="str">
        <f aca="false">IFERROR(INDEX({"Punjab","Sindh","KPK","Balochistan"},MATCH(UPPER(LEFT(TRIM(Raw_Data!D197),1)),{"P","S","K","B"},0)),IFERROR(INDEX(Data_Dictionary!$G$4:$G$16,MATCH(E197,Data_Dictionary!$F$4:$F$16,0)),"Unassigned"))</f>
        <v>KPK</v>
      </c>
      <c r="E197" s="17" t="str">
        <f aca="false">IF(TRIM(Raw_Data!E197)="","Unknown",PROPER(TRIM(Raw_Data!E197)))</f>
        <v>Peshawar</v>
      </c>
      <c r="F197" s="17" t="str">
        <f aca="false">IFERROR(INDEX({"Electronics","Home &amp; Kitchen","Clothing","Groceries","Beauty"},MATCH(UPPER(LEFT(TRIM(Raw_Data!F197),3)),{"ELE","HOM","CLO","GRO","BEA"},0)),"Uncategorised")</f>
        <v>Clothing</v>
      </c>
      <c r="G197" s="17" t="str">
        <f aca="false">IF(TRIM(Raw_Data!G197)="","Unknown",PROPER(TRIM(Raw_Data!G197)))</f>
        <v>Running Shoes</v>
      </c>
      <c r="H197" s="19" t="n">
        <f aca="false">IFERROR(ABS(VALUE(TRIM(Raw_Data!H197))),"")</f>
        <v>6</v>
      </c>
      <c r="I197" s="20" t="n">
        <f aca="false">IFERROR(VALUE(TRIM(SUBSTITUTE(SUBSTITUTE(SUBSTITUTE(SUBSTITUTE(TRIM(Raw_Data!I197),"PKR",""),"Rs.",""),"Rs",""),",",""))),"")</f>
        <v>7800</v>
      </c>
      <c r="J197" s="21" t="n">
        <f aca="false">IFERROR(IF(TRIM(Raw_Data!J197)="",0,IF(VALUE(TRIM(Raw_Data!J197))&gt;1,VALUE(TRIM(Raw_Data!J197))/100,VALUE(TRIM(Raw_Data!J197)))),0)</f>
        <v>0.1</v>
      </c>
      <c r="K197" s="17" t="str">
        <f aca="false">IF(TRIM(Raw_Data!K197)="","Unassigned",PROPER(TRIM(Raw_Data!K197)))</f>
        <v>Sadia Noor</v>
      </c>
      <c r="L197" s="17" t="str">
        <f aca="false">IFERROR(INDEX({"Credit Card","Credit Card","Debit Card","Debit Card","Cash","PayPal"},MATCH(UPPER(LEFT(TRIM(Raw_Data!L197),2)),{"CR","CC","DE","DC","CA","PA"},0)),"Other")</f>
        <v>Cash</v>
      </c>
      <c r="M197" s="17" t="str">
        <f aca="false">IFERROR(INDEX({"Completed","Returned","Cancelled","Pending"},MATCH(UPPER(LEFT(TRIM(Raw_Data!M197),3)),{"COM","RET","CAN","PEN"},0)),"Unknown")</f>
        <v>Completed</v>
      </c>
      <c r="N197" s="20" t="n">
        <f aca="false">IF(OR(H197="",I197=""),"",H197*I197)</f>
        <v>46800</v>
      </c>
      <c r="O197" s="20" t="n">
        <f aca="false">IF(N197="","",N197*J197)</f>
        <v>4680</v>
      </c>
      <c r="P197" s="20" t="n">
        <f aca="false">IF(N197="","",N197-O197)</f>
        <v>42120</v>
      </c>
      <c r="Q197" s="22" t="n">
        <f aca="false">IF(B197="","",DATE(YEAR(B197),MONTH(B197),1))</f>
        <v>45748</v>
      </c>
      <c r="R197" s="17" t="str">
        <f aca="false">IF(A197="","Invalid - Exclude",IF(COUNTIF($A$2:A197,A197)&gt;1,"Duplicate - Exclude",IF(OR(B197="",H197="",I197=""),"Invalid - Exclude","Valid")))</f>
        <v>Valid</v>
      </c>
      <c r="S197" s="17" t="str">
        <f aca="false">IF(R197="Valid","",IF(R197="Duplicate - Exclude","Repeat of an earlier Order ID",IF(B197="","Date missing or unreadable",IF(H197="","Quantity missing or unreadable",IF(I197="","Unit price missing or unreadable","Order ID missing")))))</f>
        <v/>
      </c>
    </row>
    <row r="198" customFormat="false" ht="15" hidden="false" customHeight="true" outlineLevel="0" collapsed="false">
      <c r="A198" s="9" t="str">
        <f aca="false">UPPER(TRIM(Raw_Data!A198))</f>
        <v>ORD-1191</v>
      </c>
      <c r="B198" s="10" t="n">
        <f aca="false">IFERROR(IF(ISNUMBER(Raw_Data!B198),Raw_Data!B198,IF(ISNUMBER(FIND("/",Raw_Data!B198)),DATE(VALUE(RIGHT(TRIM(Raw_Data!B198),4)),VALUE(MID(TRIM(Raw_Data!B198),4,2)),VALUE(LEFT(TRIM(Raw_Data!B198),2))),IF(MID(TRIM(Raw_Data!B198),5,1)="-",DATE(VALUE(LEFT(TRIM(Raw_Data!B198),4)),VALUE(MID(TRIM(Raw_Data!B198),6,2)),VALUE(RIGHT(TRIM(Raw_Data!B198),2))),DATE(VALUE(RIGHT(TRIM(Raw_Data!B198),4)),MATCH(MID(TRIM(Raw_Data!B198),4,3),{"Jan","Feb","Mar","Apr","May","Jun","Jul","Aug","Sep","Oct","Nov","Dec"},0),VALUE(LEFT(TRIM(Raw_Data!B198),2)))))),"")</f>
        <v>45818</v>
      </c>
      <c r="C198" s="9" t="str">
        <f aca="false">IF(TRIM(Raw_Data!C198)="","Unknown",PROPER(TRIM(Raw_Data!C198)))</f>
        <v>Kashif Malik</v>
      </c>
      <c r="D198" s="9" t="str">
        <f aca="false">IFERROR(INDEX({"Punjab","Sindh","KPK","Balochistan"},MATCH(UPPER(LEFT(TRIM(Raw_Data!D198),1)),{"P","S","K","B"},0)),IFERROR(INDEX(Data_Dictionary!$G$4:$G$16,MATCH(E198,Data_Dictionary!$F$4:$F$16,0)),"Unassigned"))</f>
        <v>KPK</v>
      </c>
      <c r="E198" s="9" t="str">
        <f aca="false">IF(TRIM(Raw_Data!E198)="","Unknown",PROPER(TRIM(Raw_Data!E198)))</f>
        <v>Peshawar</v>
      </c>
      <c r="F198" s="9" t="str">
        <f aca="false">IFERROR(INDEX({"Electronics","Home &amp; Kitchen","Clothing","Groceries","Beauty"},MATCH(UPPER(LEFT(TRIM(Raw_Data!F198),3)),{"ELE","HOM","CLO","GRO","BEA"},0)),"Uncategorised")</f>
        <v>Electronics</v>
      </c>
      <c r="G198" s="9" t="str">
        <f aca="false">IF(TRIM(Raw_Data!G198)="","Unknown",PROPER(TRIM(Raw_Data!G198)))</f>
        <v>Bluetooth Speaker</v>
      </c>
      <c r="H198" s="11" t="n">
        <f aca="false">IFERROR(ABS(VALUE(TRIM(Raw_Data!H198))),"")</f>
        <v>2</v>
      </c>
      <c r="I198" s="12" t="n">
        <f aca="false">IFERROR(VALUE(TRIM(SUBSTITUTE(SUBSTITUTE(SUBSTITUTE(SUBSTITUTE(TRIM(Raw_Data!I198),"PKR",""),"Rs.",""),"Rs",""),",",""))),"")</f>
        <v>4350</v>
      </c>
      <c r="J198" s="13" t="n">
        <f aca="false">IFERROR(IF(TRIM(Raw_Data!J198)="",0,IF(VALUE(TRIM(Raw_Data!J198))&gt;1,VALUE(TRIM(Raw_Data!J198))/100,VALUE(TRIM(Raw_Data!J198)))),0)</f>
        <v>0.2</v>
      </c>
      <c r="K198" s="9" t="str">
        <f aca="false">IF(TRIM(Raw_Data!K198)="","Unassigned",PROPER(TRIM(Raw_Data!K198)))</f>
        <v>Sadia Noor</v>
      </c>
      <c r="L198" s="9" t="str">
        <f aca="false">IFERROR(INDEX({"Credit Card","Credit Card","Debit Card","Debit Card","Cash","PayPal"},MATCH(UPPER(LEFT(TRIM(Raw_Data!L198),2)),{"CR","CC","DE","DC","CA","PA"},0)),"Other")</f>
        <v>Credit Card</v>
      </c>
      <c r="M198" s="9" t="str">
        <f aca="false">IFERROR(INDEX({"Completed","Returned","Cancelled","Pending"},MATCH(UPPER(LEFT(TRIM(Raw_Data!M198),3)),{"COM","RET","CAN","PEN"},0)),"Unknown")</f>
        <v>Completed</v>
      </c>
      <c r="N198" s="14" t="n">
        <f aca="false">IF(OR(H198="",I198=""),"",H198*I198)</f>
        <v>8700</v>
      </c>
      <c r="O198" s="14" t="n">
        <f aca="false">IF(N198="","",N198*J198)</f>
        <v>1740</v>
      </c>
      <c r="P198" s="14" t="n">
        <f aca="false">IF(N198="","",N198-O198)</f>
        <v>6960</v>
      </c>
      <c r="Q198" s="15" t="n">
        <f aca="false">IF(B198="","",DATE(YEAR(B198),MONTH(B198),1))</f>
        <v>45809</v>
      </c>
      <c r="R198" s="16" t="str">
        <f aca="false">IF(A198="","Invalid - Exclude",IF(COUNTIF($A$2:A198,A198)&gt;1,"Duplicate - Exclude",IF(OR(B198="",H198="",I198=""),"Invalid - Exclude","Valid")))</f>
        <v>Duplicate - Exclude</v>
      </c>
      <c r="S198" s="16" t="str">
        <f aca="false">IF(R198="Valid","",IF(R198="Duplicate - Exclude","Repeat of an earlier Order ID",IF(B198="","Date missing or unreadable",IF(H198="","Quantity missing or unreadable",IF(I198="","Unit price missing or unreadable","Order ID missing")))))</f>
        <v>Repeat of an earlier Order ID</v>
      </c>
    </row>
    <row r="199" customFormat="false" ht="15" hidden="false" customHeight="true" outlineLevel="0" collapsed="false">
      <c r="A199" s="17" t="str">
        <f aca="false">UPPER(TRIM(Raw_Data!A199))</f>
        <v>ORD-1192</v>
      </c>
      <c r="B199" s="18" t="n">
        <f aca="false">IFERROR(IF(ISNUMBER(Raw_Data!B199),Raw_Data!B199,IF(ISNUMBER(FIND("/",Raw_Data!B199)),DATE(VALUE(RIGHT(TRIM(Raw_Data!B199),4)),VALUE(MID(TRIM(Raw_Data!B199),4,2)),VALUE(LEFT(TRIM(Raw_Data!B199),2))),IF(MID(TRIM(Raw_Data!B199),5,1)="-",DATE(VALUE(LEFT(TRIM(Raw_Data!B199),4)),VALUE(MID(TRIM(Raw_Data!B199),6,2)),VALUE(RIGHT(TRIM(Raw_Data!B199),2))),DATE(VALUE(RIGHT(TRIM(Raw_Data!B199),4)),MATCH(MID(TRIM(Raw_Data!B199),4,3),{"Jan","Feb","Mar","Apr","May","Jun","Jul","Aug","Sep","Oct","Nov","Dec"},0),VALUE(LEFT(TRIM(Raw_Data!B199),2)))))),"")</f>
        <v>45800</v>
      </c>
      <c r="C199" s="17" t="str">
        <f aca="false">IF(TRIM(Raw_Data!C199)="","Unknown",PROPER(TRIM(Raw_Data!C199)))</f>
        <v>Tariq Ansari</v>
      </c>
      <c r="D199" s="17" t="str">
        <f aca="false">IFERROR(INDEX({"Punjab","Sindh","KPK","Balochistan"},MATCH(UPPER(LEFT(TRIM(Raw_Data!D199),1)),{"P","S","K","B"},0)),IFERROR(INDEX(Data_Dictionary!$G$4:$G$16,MATCH(E199,Data_Dictionary!$F$4:$F$16,0)),"Unassigned"))</f>
        <v>Punjab</v>
      </c>
      <c r="E199" s="17" t="str">
        <f aca="false">IF(TRIM(Raw_Data!E199)="","Unknown",PROPER(TRIM(Raw_Data!E199)))</f>
        <v>Gujranwala</v>
      </c>
      <c r="F199" s="17" t="str">
        <f aca="false">IFERROR(INDEX({"Electronics","Home &amp; Kitchen","Clothing","Groceries","Beauty"},MATCH(UPPER(LEFT(TRIM(Raw_Data!F199),3)),{"ELE","HOM","CLO","GRO","BEA"},0)),"Uncategorised")</f>
        <v>Electronics</v>
      </c>
      <c r="G199" s="17" t="str">
        <f aca="false">IF(TRIM(Raw_Data!G199)="","Unknown",PROPER(TRIM(Raw_Data!G199)))</f>
        <v>Smart Television 43 Inch</v>
      </c>
      <c r="H199" s="19" t="n">
        <f aca="false">IFERROR(ABS(VALUE(TRIM(Raw_Data!H199))),"")</f>
        <v>2</v>
      </c>
      <c r="I199" s="20" t="n">
        <f aca="false">IFERROR(VALUE(TRIM(SUBSTITUTE(SUBSTITUTE(SUBSTITUTE(SUBSTITUTE(TRIM(Raw_Data!I199),"PKR",""),"Rs.",""),"Rs",""),",",""))),"")</f>
        <v>53600</v>
      </c>
      <c r="J199" s="21" t="n">
        <f aca="false">IFERROR(IF(TRIM(Raw_Data!J199)="",0,IF(VALUE(TRIM(Raw_Data!J199))&gt;1,VALUE(TRIM(Raw_Data!J199))/100,VALUE(TRIM(Raw_Data!J199)))),0)</f>
        <v>0.05</v>
      </c>
      <c r="K199" s="17" t="str">
        <f aca="false">IF(TRIM(Raw_Data!K199)="","Unassigned",PROPER(TRIM(Raw_Data!K199)))</f>
        <v>Imran Shah</v>
      </c>
      <c r="L199" s="17" t="str">
        <f aca="false">IFERROR(INDEX({"Credit Card","Credit Card","Debit Card","Debit Card","Cash","PayPal"},MATCH(UPPER(LEFT(TRIM(Raw_Data!L199),2)),{"CR","CC","DE","DC","CA","PA"},0)),"Other")</f>
        <v>Debit Card</v>
      </c>
      <c r="M199" s="17" t="str">
        <f aca="false">IFERROR(INDEX({"Completed","Returned","Cancelled","Pending"},MATCH(UPPER(LEFT(TRIM(Raw_Data!M199),3)),{"COM","RET","CAN","PEN"},0)),"Unknown")</f>
        <v>Cancelled</v>
      </c>
      <c r="N199" s="20" t="n">
        <f aca="false">IF(OR(H199="",I199=""),"",H199*I199)</f>
        <v>107200</v>
      </c>
      <c r="O199" s="20" t="n">
        <f aca="false">IF(N199="","",N199*J199)</f>
        <v>5360</v>
      </c>
      <c r="P199" s="20" t="n">
        <f aca="false">IF(N199="","",N199-O199)</f>
        <v>101840</v>
      </c>
      <c r="Q199" s="22" t="n">
        <f aca="false">IF(B199="","",DATE(YEAR(B199),MONTH(B199),1))</f>
        <v>45778</v>
      </c>
      <c r="R199" s="17" t="str">
        <f aca="false">IF(A199="","Invalid - Exclude",IF(COUNTIF($A$2:A199,A199)&gt;1,"Duplicate - Exclude",IF(OR(B199="",H199="",I199=""),"Invalid - Exclude","Valid")))</f>
        <v>Valid</v>
      </c>
      <c r="S199" s="17" t="str">
        <f aca="false">IF(R199="Valid","",IF(R199="Duplicate - Exclude","Repeat of an earlier Order ID",IF(B199="","Date missing or unreadable",IF(H199="","Quantity missing or unreadable",IF(I199="","Unit price missing or unreadable","Order ID missing")))))</f>
        <v/>
      </c>
    </row>
    <row r="200" customFormat="false" ht="15" hidden="false" customHeight="true" outlineLevel="0" collapsed="false">
      <c r="A200" s="9" t="str">
        <f aca="false">UPPER(TRIM(Raw_Data!A200))</f>
        <v>ORD-1193</v>
      </c>
      <c r="B200" s="10" t="n">
        <f aca="false">IFERROR(IF(ISNUMBER(Raw_Data!B200),Raw_Data!B200,IF(ISNUMBER(FIND("/",Raw_Data!B200)),DATE(VALUE(RIGHT(TRIM(Raw_Data!B200),4)),VALUE(MID(TRIM(Raw_Data!B200),4,2)),VALUE(LEFT(TRIM(Raw_Data!B200),2))),IF(MID(TRIM(Raw_Data!B200),5,1)="-",DATE(VALUE(LEFT(TRIM(Raw_Data!B200),4)),VALUE(MID(TRIM(Raw_Data!B200),6,2)),VALUE(RIGHT(TRIM(Raw_Data!B200),2))),DATE(VALUE(RIGHT(TRIM(Raw_Data!B200),4)),MATCH(MID(TRIM(Raw_Data!B200),4,3),{"Jan","Feb","Mar","Apr","May","Jun","Jul","Aug","Sep","Oct","Nov","Dec"},0),VALUE(LEFT(TRIM(Raw_Data!B200),2)))))),"")</f>
        <v>45955</v>
      </c>
      <c r="C200" s="9" t="str">
        <f aca="false">IF(TRIM(Raw_Data!C200)="","Unknown",PROPER(TRIM(Raw_Data!C200)))</f>
        <v>Nida Siddiqui</v>
      </c>
      <c r="D200" s="9" t="str">
        <f aca="false">IFERROR(INDEX({"Punjab","Sindh","KPK","Balochistan"},MATCH(UPPER(LEFT(TRIM(Raw_Data!D200),1)),{"P","S","K","B"},0)),IFERROR(INDEX(Data_Dictionary!$G$4:$G$16,MATCH(E200,Data_Dictionary!$F$4:$F$16,0)),"Unassigned"))</f>
        <v>Sindh</v>
      </c>
      <c r="E200" s="9" t="str">
        <f aca="false">IF(TRIM(Raw_Data!E200)="","Unknown",PROPER(TRIM(Raw_Data!E200)))</f>
        <v>Sukkur</v>
      </c>
      <c r="F200" s="9" t="str">
        <f aca="false">IFERROR(INDEX({"Electronics","Home &amp; Kitchen","Clothing","Groceries","Beauty"},MATCH(UPPER(LEFT(TRIM(Raw_Data!F200),3)),{"ELE","HOM","CLO","GRO","BEA"},0)),"Uncategorised")</f>
        <v>Uncategorised</v>
      </c>
      <c r="G200" s="9" t="str">
        <f aca="false">IF(TRIM(Raw_Data!G200)="","Unknown",PROPER(TRIM(Raw_Data!G200)))</f>
        <v>Hair Dryer</v>
      </c>
      <c r="H200" s="11" t="n">
        <f aca="false">IFERROR(ABS(VALUE(TRIM(Raw_Data!H200))),"")</f>
        <v>3</v>
      </c>
      <c r="I200" s="12" t="n">
        <f aca="false">IFERROR(VALUE(TRIM(SUBSTITUTE(SUBSTITUTE(SUBSTITUTE(SUBSTITUTE(TRIM(Raw_Data!I200),"PKR",""),"Rs.",""),"Rs",""),",",""))),"")</f>
        <v>4400</v>
      </c>
      <c r="J200" s="13" t="n">
        <f aca="false">IFERROR(IF(TRIM(Raw_Data!J200)="",0,IF(VALUE(TRIM(Raw_Data!J200))&gt;1,VALUE(TRIM(Raw_Data!J200))/100,VALUE(TRIM(Raw_Data!J200)))),0)</f>
        <v>0</v>
      </c>
      <c r="K200" s="9" t="str">
        <f aca="false">IF(TRIM(Raw_Data!K200)="","Unassigned",PROPER(TRIM(Raw_Data!K200)))</f>
        <v>Nimra Aslam</v>
      </c>
      <c r="L200" s="9" t="str">
        <f aca="false">IFERROR(INDEX({"Credit Card","Credit Card","Debit Card","Debit Card","Cash","PayPal"},MATCH(UPPER(LEFT(TRIM(Raw_Data!L200),2)),{"CR","CC","DE","DC","CA","PA"},0)),"Other")</f>
        <v>PayPal</v>
      </c>
      <c r="M200" s="9" t="str">
        <f aca="false">IFERROR(INDEX({"Completed","Returned","Cancelled","Pending"},MATCH(UPPER(LEFT(TRIM(Raw_Data!M200),3)),{"COM","RET","CAN","PEN"},0)),"Unknown")</f>
        <v>Completed</v>
      </c>
      <c r="N200" s="14" t="n">
        <f aca="false">IF(OR(H200="",I200=""),"",H200*I200)</f>
        <v>13200</v>
      </c>
      <c r="O200" s="14" t="n">
        <f aca="false">IF(N200="","",N200*J200)</f>
        <v>0</v>
      </c>
      <c r="P200" s="14" t="n">
        <f aca="false">IF(N200="","",N200-O200)</f>
        <v>13200</v>
      </c>
      <c r="Q200" s="15" t="n">
        <f aca="false">IF(B200="","",DATE(YEAR(B200),MONTH(B200),1))</f>
        <v>45931</v>
      </c>
      <c r="R200" s="16" t="str">
        <f aca="false">IF(A200="","Invalid - Exclude",IF(COUNTIF($A$2:A200,A200)&gt;1,"Duplicate - Exclude",IF(OR(B200="",H200="",I200=""),"Invalid - Exclude","Valid")))</f>
        <v>Valid</v>
      </c>
      <c r="S200" s="16" t="str">
        <f aca="false">IF(R200="Valid","",IF(R200="Duplicate - Exclude","Repeat of an earlier Order ID",IF(B200="","Date missing or unreadable",IF(H200="","Quantity missing or unreadable",IF(I200="","Unit price missing or unreadable","Order ID missing")))))</f>
        <v/>
      </c>
    </row>
    <row r="201" customFormat="false" ht="15" hidden="false" customHeight="true" outlineLevel="0" collapsed="false">
      <c r="A201" s="17" t="str">
        <f aca="false">UPPER(TRIM(Raw_Data!A201))</f>
        <v>ORD-1194</v>
      </c>
      <c r="B201" s="18" t="n">
        <f aca="false">IFERROR(IF(ISNUMBER(Raw_Data!B201),Raw_Data!B201,IF(ISNUMBER(FIND("/",Raw_Data!B201)),DATE(VALUE(RIGHT(TRIM(Raw_Data!B201),4)),VALUE(MID(TRIM(Raw_Data!B201),4,2)),VALUE(LEFT(TRIM(Raw_Data!B201),2))),IF(MID(TRIM(Raw_Data!B201),5,1)="-",DATE(VALUE(LEFT(TRIM(Raw_Data!B201),4)),VALUE(MID(TRIM(Raw_Data!B201),6,2)),VALUE(RIGHT(TRIM(Raw_Data!B201),2))),DATE(VALUE(RIGHT(TRIM(Raw_Data!B201),4)),MATCH(MID(TRIM(Raw_Data!B201),4,3),{"Jan","Feb","Mar","Apr","May","Jun","Jul","Aug","Sep","Oct","Nov","Dec"},0),VALUE(LEFT(TRIM(Raw_Data!B201),2)))))),"")</f>
        <v>45753</v>
      </c>
      <c r="C201" s="17" t="str">
        <f aca="false">IF(TRIM(Raw_Data!C201)="","Unknown",PROPER(TRIM(Raw_Data!C201)))</f>
        <v>Kashif Raza</v>
      </c>
      <c r="D201" s="17" t="str">
        <f aca="false">IFERROR(INDEX({"Punjab","Sindh","KPK","Balochistan"},MATCH(UPPER(LEFT(TRIM(Raw_Data!D201),1)),{"P","S","K","B"},0)),IFERROR(INDEX(Data_Dictionary!$G$4:$G$16,MATCH(E201,Data_Dictionary!$F$4:$F$16,0)),"Unassigned"))</f>
        <v>Punjab</v>
      </c>
      <c r="E201" s="17" t="str">
        <f aca="false">IF(TRIM(Raw_Data!E201)="","Unknown",PROPER(TRIM(Raw_Data!E201)))</f>
        <v>Gujranwala</v>
      </c>
      <c r="F201" s="17" t="str">
        <f aca="false">IFERROR(INDEX({"Electronics","Home &amp; Kitchen","Clothing","Groceries","Beauty"},MATCH(UPPER(LEFT(TRIM(Raw_Data!F201),3)),{"ELE","HOM","CLO","GRO","BEA"},0)),"Uncategorised")</f>
        <v>Electronics</v>
      </c>
      <c r="G201" s="17" t="str">
        <f aca="false">IF(TRIM(Raw_Data!G201)="","Unknown",PROPER(TRIM(Raw_Data!G201)))</f>
        <v>Phone Charger</v>
      </c>
      <c r="H201" s="19" t="n">
        <f aca="false">IFERROR(ABS(VALUE(TRIM(Raw_Data!H201))),"")</f>
        <v>3</v>
      </c>
      <c r="I201" s="20" t="n">
        <f aca="false">IFERROR(VALUE(TRIM(SUBSTITUTE(SUBSTITUTE(SUBSTITUTE(SUBSTITUTE(TRIM(Raw_Data!I201),"PKR",""),"Rs.",""),"Rs",""),",",""))),"")</f>
        <v>1250</v>
      </c>
      <c r="J201" s="21" t="n">
        <f aca="false">IFERROR(IF(TRIM(Raw_Data!J201)="",0,IF(VALUE(TRIM(Raw_Data!J201))&gt;1,VALUE(TRIM(Raw_Data!J201))/100,VALUE(TRIM(Raw_Data!J201)))),0)</f>
        <v>0</v>
      </c>
      <c r="K201" s="17" t="str">
        <f aca="false">IF(TRIM(Raw_Data!K201)="","Unassigned",PROPER(TRIM(Raw_Data!K201)))</f>
        <v>Nimra Aslam</v>
      </c>
      <c r="L201" s="17" t="str">
        <f aca="false">IFERROR(INDEX({"Credit Card","Credit Card","Debit Card","Debit Card","Cash","PayPal"},MATCH(UPPER(LEFT(TRIM(Raw_Data!L201),2)),{"CR","CC","DE","DC","CA","PA"},0)),"Other")</f>
        <v>Debit Card</v>
      </c>
      <c r="M201" s="17" t="str">
        <f aca="false">IFERROR(INDEX({"Completed","Returned","Cancelled","Pending"},MATCH(UPPER(LEFT(TRIM(Raw_Data!M201),3)),{"COM","RET","CAN","PEN"},0)),"Unknown")</f>
        <v>Completed</v>
      </c>
      <c r="N201" s="20" t="n">
        <f aca="false">IF(OR(H201="",I201=""),"",H201*I201)</f>
        <v>3750</v>
      </c>
      <c r="O201" s="20" t="n">
        <f aca="false">IF(N201="","",N201*J201)</f>
        <v>0</v>
      </c>
      <c r="P201" s="20" t="n">
        <f aca="false">IF(N201="","",N201-O201)</f>
        <v>3750</v>
      </c>
      <c r="Q201" s="22" t="n">
        <f aca="false">IF(B201="","",DATE(YEAR(B201),MONTH(B201),1))</f>
        <v>45748</v>
      </c>
      <c r="R201" s="17" t="str">
        <f aca="false">IF(A201="","Invalid - Exclude",IF(COUNTIF($A$2:A201,A201)&gt;1,"Duplicate - Exclude",IF(OR(B201="",H201="",I201=""),"Invalid - Exclude","Valid")))</f>
        <v>Valid</v>
      </c>
      <c r="S201" s="17" t="str">
        <f aca="false">IF(R201="Valid","",IF(R201="Duplicate - Exclude","Repeat of an earlier Order ID",IF(B201="","Date missing or unreadable",IF(H201="","Quantity missing or unreadable",IF(I201="","Unit price missing or unreadable","Order ID missing")))))</f>
        <v/>
      </c>
    </row>
    <row r="202" customFormat="false" ht="15" hidden="false" customHeight="true" outlineLevel="0" collapsed="false">
      <c r="A202" s="9" t="str">
        <f aca="false">UPPER(TRIM(Raw_Data!A202))</f>
        <v>ORD-1195</v>
      </c>
      <c r="B202" s="10" t="n">
        <f aca="false">IFERROR(IF(ISNUMBER(Raw_Data!B202),Raw_Data!B202,IF(ISNUMBER(FIND("/",Raw_Data!B202)),DATE(VALUE(RIGHT(TRIM(Raw_Data!B202),4)),VALUE(MID(TRIM(Raw_Data!B202),4,2)),VALUE(LEFT(TRIM(Raw_Data!B202),2))),IF(MID(TRIM(Raw_Data!B202),5,1)="-",DATE(VALUE(LEFT(TRIM(Raw_Data!B202),4)),VALUE(MID(TRIM(Raw_Data!B202),6,2)),VALUE(RIGHT(TRIM(Raw_Data!B202),2))),DATE(VALUE(RIGHT(TRIM(Raw_Data!B202),4)),MATCH(MID(TRIM(Raw_Data!B202),4,3),{"Jan","Feb","Mar","Apr","May","Jun","Jul","Aug","Sep","Oct","Nov","Dec"},0),VALUE(LEFT(TRIM(Raw_Data!B202),2)))))),"")</f>
        <v>45890</v>
      </c>
      <c r="C202" s="9" t="str">
        <f aca="false">IF(TRIM(Raw_Data!C202)="","Unknown",PROPER(TRIM(Raw_Data!C202)))</f>
        <v>Ayesha Malik</v>
      </c>
      <c r="D202" s="9" t="str">
        <f aca="false">IFERROR(INDEX({"Punjab","Sindh","KPK","Balochistan"},MATCH(UPPER(LEFT(TRIM(Raw_Data!D202),1)),{"P","S","K","B"},0)),IFERROR(INDEX(Data_Dictionary!$G$4:$G$16,MATCH(E202,Data_Dictionary!$F$4:$F$16,0)),"Unassigned"))</f>
        <v>Sindh</v>
      </c>
      <c r="E202" s="9" t="str">
        <f aca="false">IF(TRIM(Raw_Data!E202)="","Unknown",PROPER(TRIM(Raw_Data!E202)))</f>
        <v>Karachi</v>
      </c>
      <c r="F202" s="9" t="str">
        <f aca="false">IFERROR(INDEX({"Electronics","Home &amp; Kitchen","Clothing","Groceries","Beauty"},MATCH(UPPER(LEFT(TRIM(Raw_Data!F202),3)),{"ELE","HOM","CLO","GRO","BEA"},0)),"Uncategorised")</f>
        <v>Electronics</v>
      </c>
      <c r="G202" s="9" t="str">
        <f aca="false">IF(TRIM(Raw_Data!G202)="","Unknown",PROPER(TRIM(Raw_Data!G202)))</f>
        <v>Smart Television 43 Inch</v>
      </c>
      <c r="H202" s="11" t="n">
        <f aca="false">IFERROR(ABS(VALUE(TRIM(Raw_Data!H202))),"")</f>
        <v>1</v>
      </c>
      <c r="I202" s="12" t="n">
        <f aca="false">IFERROR(VALUE(TRIM(SUBSTITUTE(SUBSTITUTE(SUBSTITUTE(SUBSTITUTE(TRIM(Raw_Data!I202),"PKR",""),"Rs.",""),"Rs",""),",",""))),"")</f>
        <v>50900</v>
      </c>
      <c r="J202" s="13" t="n">
        <f aca="false">IFERROR(IF(TRIM(Raw_Data!J202)="",0,IF(VALUE(TRIM(Raw_Data!J202))&gt;1,VALUE(TRIM(Raw_Data!J202))/100,VALUE(TRIM(Raw_Data!J202)))),0)</f>
        <v>0.05</v>
      </c>
      <c r="K202" s="9" t="str">
        <f aca="false">IF(TRIM(Raw_Data!K202)="","Unassigned",PROPER(TRIM(Raw_Data!K202)))</f>
        <v>Waqar Ahmed</v>
      </c>
      <c r="L202" s="9" t="str">
        <f aca="false">IFERROR(INDEX({"Credit Card","Credit Card","Debit Card","Debit Card","Cash","PayPal"},MATCH(UPPER(LEFT(TRIM(Raw_Data!L202),2)),{"CR","CC","DE","DC","CA","PA"},0)),"Other")</f>
        <v>Debit Card</v>
      </c>
      <c r="M202" s="9" t="str">
        <f aca="false">IFERROR(INDEX({"Completed","Returned","Cancelled","Pending"},MATCH(UPPER(LEFT(TRIM(Raw_Data!M202),3)),{"COM","RET","CAN","PEN"},0)),"Unknown")</f>
        <v>Returned</v>
      </c>
      <c r="N202" s="14" t="n">
        <f aca="false">IF(OR(H202="",I202=""),"",H202*I202)</f>
        <v>50900</v>
      </c>
      <c r="O202" s="14" t="n">
        <f aca="false">IF(N202="","",N202*J202)</f>
        <v>2545</v>
      </c>
      <c r="P202" s="14" t="n">
        <f aca="false">IF(N202="","",N202-O202)</f>
        <v>48355</v>
      </c>
      <c r="Q202" s="15" t="n">
        <f aca="false">IF(B202="","",DATE(YEAR(B202),MONTH(B202),1))</f>
        <v>45870</v>
      </c>
      <c r="R202" s="16" t="str">
        <f aca="false">IF(A202="","Invalid - Exclude",IF(COUNTIF($A$2:A202,A202)&gt;1,"Duplicate - Exclude",IF(OR(B202="",H202="",I202=""),"Invalid - Exclude","Valid")))</f>
        <v>Valid</v>
      </c>
      <c r="S202" s="16" t="str">
        <f aca="false">IF(R202="Valid","",IF(R202="Duplicate - Exclude","Repeat of an earlier Order ID",IF(B202="","Date missing or unreadable",IF(H202="","Quantity missing or unreadable",IF(I202="","Unit price missing or unreadable","Order ID missing")))))</f>
        <v/>
      </c>
    </row>
    <row r="203" customFormat="false" ht="15" hidden="false" customHeight="true" outlineLevel="0" collapsed="false">
      <c r="A203" s="17" t="str">
        <f aca="false">UPPER(TRIM(Raw_Data!A203))</f>
        <v>ORD-1196</v>
      </c>
      <c r="B203" s="18" t="n">
        <f aca="false">IFERROR(IF(ISNUMBER(Raw_Data!B203),Raw_Data!B203,IF(ISNUMBER(FIND("/",Raw_Data!B203)),DATE(VALUE(RIGHT(TRIM(Raw_Data!B203),4)),VALUE(MID(TRIM(Raw_Data!B203),4,2)),VALUE(LEFT(TRIM(Raw_Data!B203),2))),IF(MID(TRIM(Raw_Data!B203),5,1)="-",DATE(VALUE(LEFT(TRIM(Raw_Data!B203),4)),VALUE(MID(TRIM(Raw_Data!B203),6,2)),VALUE(RIGHT(TRIM(Raw_Data!B203),2))),DATE(VALUE(RIGHT(TRIM(Raw_Data!B203),4)),MATCH(MID(TRIM(Raw_Data!B203),4,3),{"Jan","Feb","Mar","Apr","May","Jun","Jul","Aug","Sep","Oct","Nov","Dec"},0),VALUE(LEFT(TRIM(Raw_Data!B203),2)))))),"")</f>
        <v>45809</v>
      </c>
      <c r="C203" s="17" t="str">
        <f aca="false">IF(TRIM(Raw_Data!C203)="","Unknown",PROPER(TRIM(Raw_Data!C203)))</f>
        <v>Rabia Iqbal</v>
      </c>
      <c r="D203" s="17" t="str">
        <f aca="false">IFERROR(INDEX({"Punjab","Sindh","KPK","Balochistan"},MATCH(UPPER(LEFT(TRIM(Raw_Data!D203),1)),{"P","S","K","B"},0)),IFERROR(INDEX(Data_Dictionary!$G$4:$G$16,MATCH(E203,Data_Dictionary!$F$4:$F$16,0)),"Unassigned"))</f>
        <v>Punjab</v>
      </c>
      <c r="E203" s="17" t="str">
        <f aca="false">IF(TRIM(Raw_Data!E203)="","Unknown",PROPER(TRIM(Raw_Data!E203)))</f>
        <v>Faisalabad</v>
      </c>
      <c r="F203" s="17" t="str">
        <f aca="false">IFERROR(INDEX({"Electronics","Home &amp; Kitchen","Clothing","Groceries","Beauty"},MATCH(UPPER(LEFT(TRIM(Raw_Data!F203),3)),{"ELE","HOM","CLO","GRO","BEA"},0)),"Uncategorised")</f>
        <v>Groceries</v>
      </c>
      <c r="G203" s="17" t="str">
        <f aca="false">IF(TRIM(Raw_Data!G203)="","Unknown",PROPER(TRIM(Raw_Data!G203)))</f>
        <v>Refined Sugar 10 Kg</v>
      </c>
      <c r="H203" s="19" t="n">
        <f aca="false">IFERROR(ABS(VALUE(TRIM(Raw_Data!H203))),"")</f>
        <v>2</v>
      </c>
      <c r="I203" s="20" t="n">
        <f aca="false">IFERROR(VALUE(TRIM(SUBSTITUTE(SUBSTITUTE(SUBSTITUTE(SUBSTITUTE(TRIM(Raw_Data!I203),"PKR",""),"Rs.",""),"Rs",""),",",""))),"")</f>
        <v>1600</v>
      </c>
      <c r="J203" s="21" t="n">
        <f aca="false">IFERROR(IF(TRIM(Raw_Data!J203)="",0,IF(VALUE(TRIM(Raw_Data!J203))&gt;1,VALUE(TRIM(Raw_Data!J203))/100,VALUE(TRIM(Raw_Data!J203)))),0)</f>
        <v>0.1</v>
      </c>
      <c r="K203" s="17" t="str">
        <f aca="false">IF(TRIM(Raw_Data!K203)="","Unassigned",PROPER(TRIM(Raw_Data!K203)))</f>
        <v>Sadia Noor</v>
      </c>
      <c r="L203" s="17" t="str">
        <f aca="false">IFERROR(INDEX({"Credit Card","Credit Card","Debit Card","Debit Card","Cash","PayPal"},MATCH(UPPER(LEFT(TRIM(Raw_Data!L203),2)),{"CR","CC","DE","DC","CA","PA"},0)),"Other")</f>
        <v>Cash</v>
      </c>
      <c r="M203" s="17" t="str">
        <f aca="false">IFERROR(INDEX({"Completed","Returned","Cancelled","Pending"},MATCH(UPPER(LEFT(TRIM(Raw_Data!M203),3)),{"COM","RET","CAN","PEN"},0)),"Unknown")</f>
        <v>Pending</v>
      </c>
      <c r="N203" s="20" t="n">
        <f aca="false">IF(OR(H203="",I203=""),"",H203*I203)</f>
        <v>3200</v>
      </c>
      <c r="O203" s="20" t="n">
        <f aca="false">IF(N203="","",N203*J203)</f>
        <v>320</v>
      </c>
      <c r="P203" s="20" t="n">
        <f aca="false">IF(N203="","",N203-O203)</f>
        <v>2880</v>
      </c>
      <c r="Q203" s="22" t="n">
        <f aca="false">IF(B203="","",DATE(YEAR(B203),MONTH(B203),1))</f>
        <v>45809</v>
      </c>
      <c r="R203" s="17" t="str">
        <f aca="false">IF(A203="","Invalid - Exclude",IF(COUNTIF($A$2:A203,A203)&gt;1,"Duplicate - Exclude",IF(OR(B203="",H203="",I203=""),"Invalid - Exclude","Valid")))</f>
        <v>Valid</v>
      </c>
      <c r="S203" s="17" t="str">
        <f aca="false">IF(R203="Valid","",IF(R203="Duplicate - Exclude","Repeat of an earlier Order ID",IF(B203="","Date missing or unreadable",IF(H203="","Quantity missing or unreadable",IF(I203="","Unit price missing or unreadable","Order ID missing")))))</f>
        <v/>
      </c>
    </row>
    <row r="204" customFormat="false" ht="15" hidden="false" customHeight="true" outlineLevel="0" collapsed="false">
      <c r="A204" s="9" t="str">
        <f aca="false">UPPER(TRIM(Raw_Data!A204))</f>
        <v>ORD-1197</v>
      </c>
      <c r="B204" s="10" t="n">
        <f aca="false">IFERROR(IF(ISNUMBER(Raw_Data!B204),Raw_Data!B204,IF(ISNUMBER(FIND("/",Raw_Data!B204)),DATE(VALUE(RIGHT(TRIM(Raw_Data!B204),4)),VALUE(MID(TRIM(Raw_Data!B204),4,2)),VALUE(LEFT(TRIM(Raw_Data!B204),2))),IF(MID(TRIM(Raw_Data!B204),5,1)="-",DATE(VALUE(LEFT(TRIM(Raw_Data!B204),4)),VALUE(MID(TRIM(Raw_Data!B204),6,2)),VALUE(RIGHT(TRIM(Raw_Data!B204),2))),DATE(VALUE(RIGHT(TRIM(Raw_Data!B204),4)),MATCH(MID(TRIM(Raw_Data!B204),4,3),{"Jan","Feb","Mar","Apr","May","Jun","Jul","Aug","Sep","Oct","Nov","Dec"},0),VALUE(LEFT(TRIM(Raw_Data!B204),2)))))),"")</f>
        <v>45993</v>
      </c>
      <c r="C204" s="9" t="str">
        <f aca="false">IF(TRIM(Raw_Data!C204)="","Unknown",PROPER(TRIM(Raw_Data!C204)))</f>
        <v>Kashif Ansari</v>
      </c>
      <c r="D204" s="9" t="str">
        <f aca="false">IFERROR(INDEX({"Punjab","Sindh","KPK","Balochistan"},MATCH(UPPER(LEFT(TRIM(Raw_Data!D204),1)),{"P","S","K","B"},0)),IFERROR(INDEX(Data_Dictionary!$G$4:$G$16,MATCH(E204,Data_Dictionary!$F$4:$F$16,0)),"Unassigned"))</f>
        <v>Balochistan</v>
      </c>
      <c r="E204" s="9" t="str">
        <f aca="false">IF(TRIM(Raw_Data!E204)="","Unknown",PROPER(TRIM(Raw_Data!E204)))</f>
        <v>Gwadar</v>
      </c>
      <c r="F204" s="9" t="str">
        <f aca="false">IFERROR(INDEX({"Electronics","Home &amp; Kitchen","Clothing","Groceries","Beauty"},MATCH(UPPER(LEFT(TRIM(Raw_Data!F204),3)),{"ELE","HOM","CLO","GRO","BEA"},0)),"Uncategorised")</f>
        <v>Home &amp; Kitchen</v>
      </c>
      <c r="G204" s="9" t="str">
        <f aca="false">IF(TRIM(Raw_Data!G204)="","Unknown",PROPER(TRIM(Raw_Data!G204)))</f>
        <v>Rice Cooker</v>
      </c>
      <c r="H204" s="11" t="n">
        <f aca="false">IFERROR(ABS(VALUE(TRIM(Raw_Data!H204))),"")</f>
        <v>2</v>
      </c>
      <c r="I204" s="12" t="n">
        <f aca="false">IFERROR(VALUE(TRIM(SUBSTITUTE(SUBSTITUTE(SUBSTITUTE(SUBSTITUTE(TRIM(Raw_Data!I204),"PKR",""),"Rs.",""),"Rs",""),",",""))),"")</f>
        <v>7150</v>
      </c>
      <c r="J204" s="13" t="n">
        <f aca="false">IFERROR(IF(TRIM(Raw_Data!J204)="",0,IF(VALUE(TRIM(Raw_Data!J204))&gt;1,VALUE(TRIM(Raw_Data!J204))/100,VALUE(TRIM(Raw_Data!J204)))),0)</f>
        <v>0</v>
      </c>
      <c r="K204" s="9" t="str">
        <f aca="false">IF(TRIM(Raw_Data!K204)="","Unassigned",PROPER(TRIM(Raw_Data!K204)))</f>
        <v>Zoya Tariq</v>
      </c>
      <c r="L204" s="9" t="str">
        <f aca="false">IFERROR(INDEX({"Credit Card","Credit Card","Debit Card","Debit Card","Cash","PayPal"},MATCH(UPPER(LEFT(TRIM(Raw_Data!L204),2)),{"CR","CC","DE","DC","CA","PA"},0)),"Other")</f>
        <v>Cash</v>
      </c>
      <c r="M204" s="9" t="str">
        <f aca="false">IFERROR(INDEX({"Completed","Returned","Cancelled","Pending"},MATCH(UPPER(LEFT(TRIM(Raw_Data!M204),3)),{"COM","RET","CAN","PEN"},0)),"Unknown")</f>
        <v>Completed</v>
      </c>
      <c r="N204" s="14" t="n">
        <f aca="false">IF(OR(H204="",I204=""),"",H204*I204)</f>
        <v>14300</v>
      </c>
      <c r="O204" s="14" t="n">
        <f aca="false">IF(N204="","",N204*J204)</f>
        <v>0</v>
      </c>
      <c r="P204" s="14" t="n">
        <f aca="false">IF(N204="","",N204-O204)</f>
        <v>14300</v>
      </c>
      <c r="Q204" s="15" t="n">
        <f aca="false">IF(B204="","",DATE(YEAR(B204),MONTH(B204),1))</f>
        <v>45992</v>
      </c>
      <c r="R204" s="16" t="str">
        <f aca="false">IF(A204="","Invalid - Exclude",IF(COUNTIF($A$2:A204,A204)&gt;1,"Duplicate - Exclude",IF(OR(B204="",H204="",I204=""),"Invalid - Exclude","Valid")))</f>
        <v>Valid</v>
      </c>
      <c r="S204" s="16" t="str">
        <f aca="false">IF(R204="Valid","",IF(R204="Duplicate - Exclude","Repeat of an earlier Order ID",IF(B204="","Date missing or unreadable",IF(H204="","Quantity missing or unreadable",IF(I204="","Unit price missing or unreadable","Order ID missing")))))</f>
        <v/>
      </c>
    </row>
    <row r="205" customFormat="false" ht="15" hidden="false" customHeight="true" outlineLevel="0" collapsed="false">
      <c r="A205" s="17" t="str">
        <f aca="false">UPPER(TRIM(Raw_Data!A205))</f>
        <v>ORD-1198</v>
      </c>
      <c r="B205" s="18" t="n">
        <f aca="false">IFERROR(IF(ISNUMBER(Raw_Data!B205),Raw_Data!B205,IF(ISNUMBER(FIND("/",Raw_Data!B205)),DATE(VALUE(RIGHT(TRIM(Raw_Data!B205),4)),VALUE(MID(TRIM(Raw_Data!B205),4,2)),VALUE(LEFT(TRIM(Raw_Data!B205),2))),IF(MID(TRIM(Raw_Data!B205),5,1)="-",DATE(VALUE(LEFT(TRIM(Raw_Data!B205),4)),VALUE(MID(TRIM(Raw_Data!B205),6,2)),VALUE(RIGHT(TRIM(Raw_Data!B205),2))),DATE(VALUE(RIGHT(TRIM(Raw_Data!B205),4)),MATCH(MID(TRIM(Raw_Data!B205),4,3),{"Jan","Feb","Mar","Apr","May","Jun","Jul","Aug","Sep","Oct","Nov","Dec"},0),VALUE(LEFT(TRIM(Raw_Data!B205),2)))))),"")</f>
        <v>45938</v>
      </c>
      <c r="C205" s="17" t="str">
        <f aca="false">IF(TRIM(Raw_Data!C205)="","Unknown",PROPER(TRIM(Raw_Data!C205)))</f>
        <v>Rabia Butt</v>
      </c>
      <c r="D205" s="17" t="str">
        <f aca="false">IFERROR(INDEX({"Punjab","Sindh","KPK","Balochistan"},MATCH(UPPER(LEFT(TRIM(Raw_Data!D205),1)),{"P","S","K","B"},0)),IFERROR(INDEX(Data_Dictionary!$G$4:$G$16,MATCH(E205,Data_Dictionary!$F$4:$F$16,0)),"Unassigned"))</f>
        <v>Sindh</v>
      </c>
      <c r="E205" s="17" t="str">
        <f aca="false">IF(TRIM(Raw_Data!E205)="","Unknown",PROPER(TRIM(Raw_Data!E205)))</f>
        <v>Hyderabad</v>
      </c>
      <c r="F205" s="17" t="str">
        <f aca="false">IFERROR(INDEX({"Electronics","Home &amp; Kitchen","Clothing","Groceries","Beauty"},MATCH(UPPER(LEFT(TRIM(Raw_Data!F205),3)),{"ELE","HOM","CLO","GRO","BEA"},0)),"Uncategorised")</f>
        <v>Beauty</v>
      </c>
      <c r="G205" s="17" t="str">
        <f aca="false">IF(TRIM(Raw_Data!G205)="","Unknown",PROPER(TRIM(Raw_Data!G205)))</f>
        <v>Hair Dryer</v>
      </c>
      <c r="H205" s="19" t="n">
        <f aca="false">IFERROR(ABS(VALUE(TRIM(Raw_Data!H205))),"")</f>
        <v>1</v>
      </c>
      <c r="I205" s="20" t="n">
        <f aca="false">IFERROR(VALUE(TRIM(SUBSTITUTE(SUBSTITUTE(SUBSTITUTE(SUBSTITUTE(TRIM(Raw_Data!I205),"PKR",""),"Rs.",""),"Rs",""),",",""))),"")</f>
        <v>4300</v>
      </c>
      <c r="J205" s="21" t="n">
        <f aca="false">IFERROR(IF(TRIM(Raw_Data!J205)="",0,IF(VALUE(TRIM(Raw_Data!J205))&gt;1,VALUE(TRIM(Raw_Data!J205))/100,VALUE(TRIM(Raw_Data!J205)))),0)</f>
        <v>0</v>
      </c>
      <c r="K205" s="17" t="str">
        <f aca="false">IF(TRIM(Raw_Data!K205)="","Unassigned",PROPER(TRIM(Raw_Data!K205)))</f>
        <v>Zoya Tariq</v>
      </c>
      <c r="L205" s="17" t="str">
        <f aca="false">IFERROR(INDEX({"Credit Card","Credit Card","Debit Card","Debit Card","Cash","PayPal"},MATCH(UPPER(LEFT(TRIM(Raw_Data!L205),2)),{"CR","CC","DE","DC","CA","PA"},0)),"Other")</f>
        <v>Cash</v>
      </c>
      <c r="M205" s="17" t="str">
        <f aca="false">IFERROR(INDEX({"Completed","Returned","Cancelled","Pending"},MATCH(UPPER(LEFT(TRIM(Raw_Data!M205),3)),{"COM","RET","CAN","PEN"},0)),"Unknown")</f>
        <v>Completed</v>
      </c>
      <c r="N205" s="20" t="n">
        <f aca="false">IF(OR(H205="",I205=""),"",H205*I205)</f>
        <v>4300</v>
      </c>
      <c r="O205" s="20" t="n">
        <f aca="false">IF(N205="","",N205*J205)</f>
        <v>0</v>
      </c>
      <c r="P205" s="20" t="n">
        <f aca="false">IF(N205="","",N205-O205)</f>
        <v>4300</v>
      </c>
      <c r="Q205" s="22" t="n">
        <f aca="false">IF(B205="","",DATE(YEAR(B205),MONTH(B205),1))</f>
        <v>45931</v>
      </c>
      <c r="R205" s="17" t="str">
        <f aca="false">IF(A205="","Invalid - Exclude",IF(COUNTIF($A$2:A205,A205)&gt;1,"Duplicate - Exclude",IF(OR(B205="",H205="",I205=""),"Invalid - Exclude","Valid")))</f>
        <v>Valid</v>
      </c>
      <c r="S205" s="17" t="str">
        <f aca="false">IF(R205="Valid","",IF(R205="Duplicate - Exclude","Repeat of an earlier Order ID",IF(B205="","Date missing or unreadable",IF(H205="","Quantity missing or unreadable",IF(I205="","Unit price missing or unreadable","Order ID missing")))))</f>
        <v/>
      </c>
    </row>
    <row r="206" customFormat="false" ht="15" hidden="false" customHeight="true" outlineLevel="0" collapsed="false">
      <c r="A206" s="9" t="str">
        <f aca="false">UPPER(TRIM(Raw_Data!A206))</f>
        <v>ORD-1199</v>
      </c>
      <c r="B206" s="10" t="n">
        <f aca="false">IFERROR(IF(ISNUMBER(Raw_Data!B206),Raw_Data!B206,IF(ISNUMBER(FIND("/",Raw_Data!B206)),DATE(VALUE(RIGHT(TRIM(Raw_Data!B206),4)),VALUE(MID(TRIM(Raw_Data!B206),4,2)),VALUE(LEFT(TRIM(Raw_Data!B206),2))),IF(MID(TRIM(Raw_Data!B206),5,1)="-",DATE(VALUE(LEFT(TRIM(Raw_Data!B206),4)),VALUE(MID(TRIM(Raw_Data!B206),6,2)),VALUE(RIGHT(TRIM(Raw_Data!B206),2))),DATE(VALUE(RIGHT(TRIM(Raw_Data!B206),4)),MATCH(MID(TRIM(Raw_Data!B206),4,3),{"Jan","Feb","Mar","Apr","May","Jun","Jul","Aug","Sep","Oct","Nov","Dec"},0),VALUE(LEFT(TRIM(Raw_Data!B206),2)))))),"")</f>
        <v>45917</v>
      </c>
      <c r="C206" s="9" t="str">
        <f aca="false">IF(TRIM(Raw_Data!C206)="","Unknown",PROPER(TRIM(Raw_Data!C206)))</f>
        <v>Ali Siddiqui</v>
      </c>
      <c r="D206" s="9" t="str">
        <f aca="false">IFERROR(INDEX({"Punjab","Sindh","KPK","Balochistan"},MATCH(UPPER(LEFT(TRIM(Raw_Data!D206),1)),{"P","S","K","B"},0)),IFERROR(INDEX(Data_Dictionary!$G$4:$G$16,MATCH(E206,Data_Dictionary!$F$4:$F$16,0)),"Unassigned"))</f>
        <v>Balochistan</v>
      </c>
      <c r="E206" s="9" t="str">
        <f aca="false">IF(TRIM(Raw_Data!E206)="","Unknown",PROPER(TRIM(Raw_Data!E206)))</f>
        <v>Quetta</v>
      </c>
      <c r="F206" s="9" t="str">
        <f aca="false">IFERROR(INDEX({"Electronics","Home &amp; Kitchen","Clothing","Groceries","Beauty"},MATCH(UPPER(LEFT(TRIM(Raw_Data!F206),3)),{"ELE","HOM","CLO","GRO","BEA"},0)),"Uncategorised")</f>
        <v>Electronics</v>
      </c>
      <c r="G206" s="9" t="str">
        <f aca="false">IF(TRIM(Raw_Data!G206)="","Unknown",PROPER(TRIM(Raw_Data!G206)))</f>
        <v>Phone Charger</v>
      </c>
      <c r="H206" s="11" t="n">
        <f aca="false">IFERROR(ABS(VALUE(TRIM(Raw_Data!H206))),"")</f>
        <v>1</v>
      </c>
      <c r="I206" s="12" t="n">
        <f aca="false">IFERROR(VALUE(TRIM(SUBSTITUTE(SUBSTITUTE(SUBSTITUTE(SUBSTITUTE(TRIM(Raw_Data!I206),"PKR",""),"Rs.",""),"Rs",""),",",""))),"")</f>
        <v>1250</v>
      </c>
      <c r="J206" s="13" t="n">
        <f aca="false">IFERROR(IF(TRIM(Raw_Data!J206)="",0,IF(VALUE(TRIM(Raw_Data!J206))&gt;1,VALUE(TRIM(Raw_Data!J206))/100,VALUE(TRIM(Raw_Data!J206)))),0)</f>
        <v>0.1</v>
      </c>
      <c r="K206" s="9" t="str">
        <f aca="false">IF(TRIM(Raw_Data!K206)="","Unassigned",PROPER(TRIM(Raw_Data!K206)))</f>
        <v>Imran Shah</v>
      </c>
      <c r="L206" s="9" t="str">
        <f aca="false">IFERROR(INDEX({"Credit Card","Credit Card","Debit Card","Debit Card","Cash","PayPal"},MATCH(UPPER(LEFT(TRIM(Raw_Data!L206),2)),{"CR","CC","DE","DC","CA","PA"},0)),"Other")</f>
        <v>Cash</v>
      </c>
      <c r="M206" s="9" t="str">
        <f aca="false">IFERROR(INDEX({"Completed","Returned","Cancelled","Pending"},MATCH(UPPER(LEFT(TRIM(Raw_Data!M206),3)),{"COM","RET","CAN","PEN"},0)),"Unknown")</f>
        <v>Completed</v>
      </c>
      <c r="N206" s="14" t="n">
        <f aca="false">IF(OR(H206="",I206=""),"",H206*I206)</f>
        <v>1250</v>
      </c>
      <c r="O206" s="14" t="n">
        <f aca="false">IF(N206="","",N206*J206)</f>
        <v>125</v>
      </c>
      <c r="P206" s="14" t="n">
        <f aca="false">IF(N206="","",N206-O206)</f>
        <v>1125</v>
      </c>
      <c r="Q206" s="15" t="n">
        <f aca="false">IF(B206="","",DATE(YEAR(B206),MONTH(B206),1))</f>
        <v>45901</v>
      </c>
      <c r="R206" s="16" t="str">
        <f aca="false">IF(A206="","Invalid - Exclude",IF(COUNTIF($A$2:A206,A206)&gt;1,"Duplicate - Exclude",IF(OR(B206="",H206="",I206=""),"Invalid - Exclude","Valid")))</f>
        <v>Valid</v>
      </c>
      <c r="S206" s="16" t="str">
        <f aca="false">IF(R206="Valid","",IF(R206="Duplicate - Exclude","Repeat of an earlier Order ID",IF(B206="","Date missing or unreadable",IF(H206="","Quantity missing or unreadable",IF(I206="","Unit price missing or unreadable","Order ID missing")))))</f>
        <v/>
      </c>
    </row>
    <row r="207" customFormat="false" ht="15" hidden="false" customHeight="true" outlineLevel="0" collapsed="false">
      <c r="A207" s="17" t="str">
        <f aca="false">UPPER(TRIM(Raw_Data!A207))</f>
        <v>ORD-1200</v>
      </c>
      <c r="B207" s="18" t="n">
        <f aca="false">IFERROR(IF(ISNUMBER(Raw_Data!B207),Raw_Data!B207,IF(ISNUMBER(FIND("/",Raw_Data!B207)),DATE(VALUE(RIGHT(TRIM(Raw_Data!B207),4)),VALUE(MID(TRIM(Raw_Data!B207),4,2)),VALUE(LEFT(TRIM(Raw_Data!B207),2))),IF(MID(TRIM(Raw_Data!B207),5,1)="-",DATE(VALUE(LEFT(TRIM(Raw_Data!B207),4)),VALUE(MID(TRIM(Raw_Data!B207),6,2)),VALUE(RIGHT(TRIM(Raw_Data!B207),2))),DATE(VALUE(RIGHT(TRIM(Raw_Data!B207),4)),MATCH(MID(TRIM(Raw_Data!B207),4,3),{"Jan","Feb","Mar","Apr","May","Jun","Jul","Aug","Sep","Oct","Nov","Dec"},0),VALUE(LEFT(TRIM(Raw_Data!B207),2)))))),"")</f>
        <v>45823</v>
      </c>
      <c r="C207" s="17" t="str">
        <f aca="false">IF(TRIM(Raw_Data!C207)="","Unknown",PROPER(TRIM(Raw_Data!C207)))</f>
        <v>Ayesha Qureshi</v>
      </c>
      <c r="D207" s="17" t="str">
        <f aca="false">IFERROR(INDEX({"Punjab","Sindh","KPK","Balochistan"},MATCH(UPPER(LEFT(TRIM(Raw_Data!D207),1)),{"P","S","K","B"},0)),IFERROR(INDEX(Data_Dictionary!$G$4:$G$16,MATCH(E207,Data_Dictionary!$F$4:$F$16,0)),"Unassigned"))</f>
        <v>Punjab</v>
      </c>
      <c r="E207" s="17" t="str">
        <f aca="false">IF(TRIM(Raw_Data!E207)="","Unknown",PROPER(TRIM(Raw_Data!E207)))</f>
        <v>Rawalpindi</v>
      </c>
      <c r="F207" s="17" t="str">
        <f aca="false">IFERROR(INDEX({"Electronics","Home &amp; Kitchen","Clothing","Groceries","Beauty"},MATCH(UPPER(LEFT(TRIM(Raw_Data!F207),3)),{"ELE","HOM","CLO","GRO","BEA"},0)),"Uncategorised")</f>
        <v>Uncategorised</v>
      </c>
      <c r="G207" s="17" t="str">
        <f aca="false">IF(TRIM(Raw_Data!G207)="","Unknown",PROPER(TRIM(Raw_Data!G207)))</f>
        <v>Winter Jacket</v>
      </c>
      <c r="H207" s="19" t="n">
        <f aca="false">IFERROR(ABS(VALUE(TRIM(Raw_Data!H207))),"")</f>
        <v>7</v>
      </c>
      <c r="I207" s="20" t="n">
        <f aca="false">IFERROR(VALUE(TRIM(SUBSTITUTE(SUBSTITUTE(SUBSTITUTE(SUBSTITUTE(TRIM(Raw_Data!I207),"PKR",""),"Rs.",""),"Rs",""),",",""))),"")</f>
        <v>9900</v>
      </c>
      <c r="J207" s="21" t="n">
        <f aca="false">IFERROR(IF(TRIM(Raw_Data!J207)="",0,IF(VALUE(TRIM(Raw_Data!J207))&gt;1,VALUE(TRIM(Raw_Data!J207))/100,VALUE(TRIM(Raw_Data!J207)))),0)</f>
        <v>0</v>
      </c>
      <c r="K207" s="17" t="str">
        <f aca="false">IF(TRIM(Raw_Data!K207)="","Unassigned",PROPER(TRIM(Raw_Data!K207)))</f>
        <v>Faisal Mehmood</v>
      </c>
      <c r="L207" s="17" t="str">
        <f aca="false">IFERROR(INDEX({"Credit Card","Credit Card","Debit Card","Debit Card","Cash","PayPal"},MATCH(UPPER(LEFT(TRIM(Raw_Data!L207),2)),{"CR","CC","DE","DC","CA","PA"},0)),"Other")</f>
        <v>Credit Card</v>
      </c>
      <c r="M207" s="17" t="str">
        <f aca="false">IFERROR(INDEX({"Completed","Returned","Cancelled","Pending"},MATCH(UPPER(LEFT(TRIM(Raw_Data!M207),3)),{"COM","RET","CAN","PEN"},0)),"Unknown")</f>
        <v>Completed</v>
      </c>
      <c r="N207" s="20" t="n">
        <f aca="false">IF(OR(H207="",I207=""),"",H207*I207)</f>
        <v>69300</v>
      </c>
      <c r="O207" s="20" t="n">
        <f aca="false">IF(N207="","",N207*J207)</f>
        <v>0</v>
      </c>
      <c r="P207" s="20" t="n">
        <f aca="false">IF(N207="","",N207-O207)</f>
        <v>69300</v>
      </c>
      <c r="Q207" s="22" t="n">
        <f aca="false">IF(B207="","",DATE(YEAR(B207),MONTH(B207),1))</f>
        <v>45809</v>
      </c>
      <c r="R207" s="17" t="str">
        <f aca="false">IF(A207="","Invalid - Exclude",IF(COUNTIF($A$2:A207,A207)&gt;1,"Duplicate - Exclude",IF(OR(B207="",H207="",I207=""),"Invalid - Exclude","Valid")))</f>
        <v>Valid</v>
      </c>
      <c r="S207" s="17" t="str">
        <f aca="false">IF(R207="Valid","",IF(R207="Duplicate - Exclude","Repeat of an earlier Order ID",IF(B207="","Date missing or unreadable",IF(H207="","Quantity missing or unreadable",IF(I207="","Unit price missing or unreadable","Order ID missing")))))</f>
        <v/>
      </c>
    </row>
    <row r="208" customFormat="false" ht="15" hidden="false" customHeight="true" outlineLevel="0" collapsed="false">
      <c r="A208" s="9" t="str">
        <f aca="false">UPPER(TRIM(Raw_Data!A208))</f>
        <v>ORD-1201</v>
      </c>
      <c r="B208" s="10" t="n">
        <f aca="false">IFERROR(IF(ISNUMBER(Raw_Data!B208),Raw_Data!B208,IF(ISNUMBER(FIND("/",Raw_Data!B208)),DATE(VALUE(RIGHT(TRIM(Raw_Data!B208),4)),VALUE(MID(TRIM(Raw_Data!B208),4,2)),VALUE(LEFT(TRIM(Raw_Data!B208),2))),IF(MID(TRIM(Raw_Data!B208),5,1)="-",DATE(VALUE(LEFT(TRIM(Raw_Data!B208),4)),VALUE(MID(TRIM(Raw_Data!B208),6,2)),VALUE(RIGHT(TRIM(Raw_Data!B208),2))),DATE(VALUE(RIGHT(TRIM(Raw_Data!B208),4)),MATCH(MID(TRIM(Raw_Data!B208),4,3),{"Jan","Feb","Mar","Apr","May","Jun","Jul","Aug","Sep","Oct","Nov","Dec"},0),VALUE(LEFT(TRIM(Raw_Data!B208),2)))))),"")</f>
        <v>45796</v>
      </c>
      <c r="C208" s="9" t="str">
        <f aca="false">IF(TRIM(Raw_Data!C208)="","Unknown",PROPER(TRIM(Raw_Data!C208)))</f>
        <v>Iqra Sheikh</v>
      </c>
      <c r="D208" s="9" t="str">
        <f aca="false">IFERROR(INDEX({"Punjab","Sindh","KPK","Balochistan"},MATCH(UPPER(LEFT(TRIM(Raw_Data!D208),1)),{"P","S","K","B"},0)),IFERROR(INDEX(Data_Dictionary!$G$4:$G$16,MATCH(E208,Data_Dictionary!$F$4:$F$16,0)),"Unassigned"))</f>
        <v>Punjab</v>
      </c>
      <c r="E208" s="9" t="str">
        <f aca="false">IF(TRIM(Raw_Data!E208)="","Unknown",PROPER(TRIM(Raw_Data!E208)))</f>
        <v>Rawalpindi</v>
      </c>
      <c r="F208" s="9" t="str">
        <f aca="false">IFERROR(INDEX({"Electronics","Home &amp; Kitchen","Clothing","Groceries","Beauty"},MATCH(UPPER(LEFT(TRIM(Raw_Data!F208),3)),{"ELE","HOM","CLO","GRO","BEA"},0)),"Uncategorised")</f>
        <v>Clothing</v>
      </c>
      <c r="G208" s="9" t="str">
        <f aca="false">IF(TRIM(Raw_Data!G208)="","Unknown",PROPER(TRIM(Raw_Data!G208)))</f>
        <v>Winter Jacket</v>
      </c>
      <c r="H208" s="11" t="n">
        <f aca="false">IFERROR(ABS(VALUE(TRIM(Raw_Data!H208))),"")</f>
        <v>5</v>
      </c>
      <c r="I208" s="12" t="n">
        <f aca="false">IFERROR(VALUE(TRIM(SUBSTITUTE(SUBSTITUTE(SUBSTITUTE(SUBSTITUTE(TRIM(Raw_Data!I208),"PKR",""),"Rs.",""),"Rs",""),",",""))),"")</f>
        <v>9850</v>
      </c>
      <c r="J208" s="13" t="n">
        <f aca="false">IFERROR(IF(TRIM(Raw_Data!J208)="",0,IF(VALUE(TRIM(Raw_Data!J208))&gt;1,VALUE(TRIM(Raw_Data!J208))/100,VALUE(TRIM(Raw_Data!J208)))),0)</f>
        <v>0.05</v>
      </c>
      <c r="K208" s="9" t="str">
        <f aca="false">IF(TRIM(Raw_Data!K208)="","Unassigned",PROPER(TRIM(Raw_Data!K208)))</f>
        <v>Nimra Aslam</v>
      </c>
      <c r="L208" s="9" t="str">
        <f aca="false">IFERROR(INDEX({"Credit Card","Credit Card","Debit Card","Debit Card","Cash","PayPal"},MATCH(UPPER(LEFT(TRIM(Raw_Data!L208),2)),{"CR","CC","DE","DC","CA","PA"},0)),"Other")</f>
        <v>Debit Card</v>
      </c>
      <c r="M208" s="9" t="str">
        <f aca="false">IFERROR(INDEX({"Completed","Returned","Cancelled","Pending"},MATCH(UPPER(LEFT(TRIM(Raw_Data!M208),3)),{"COM","RET","CAN","PEN"},0)),"Unknown")</f>
        <v>Completed</v>
      </c>
      <c r="N208" s="14" t="n">
        <f aca="false">IF(OR(H208="",I208=""),"",H208*I208)</f>
        <v>49250</v>
      </c>
      <c r="O208" s="14" t="n">
        <f aca="false">IF(N208="","",N208*J208)</f>
        <v>2462.5</v>
      </c>
      <c r="P208" s="14" t="n">
        <f aca="false">IF(N208="","",N208-O208)</f>
        <v>46787.5</v>
      </c>
      <c r="Q208" s="15" t="n">
        <f aca="false">IF(B208="","",DATE(YEAR(B208),MONTH(B208),1))</f>
        <v>45778</v>
      </c>
      <c r="R208" s="16" t="str">
        <f aca="false">IF(A208="","Invalid - Exclude",IF(COUNTIF($A$2:A208,A208)&gt;1,"Duplicate - Exclude",IF(OR(B208="",H208="",I208=""),"Invalid - Exclude","Valid")))</f>
        <v>Valid</v>
      </c>
      <c r="S208" s="16" t="str">
        <f aca="false">IF(R208="Valid","",IF(R208="Duplicate - Exclude","Repeat of an earlier Order ID",IF(B208="","Date missing or unreadable",IF(H208="","Quantity missing or unreadable",IF(I208="","Unit price missing or unreadable","Order ID missing")))))</f>
        <v/>
      </c>
    </row>
    <row r="209" customFormat="false" ht="15" hidden="false" customHeight="true" outlineLevel="0" collapsed="false">
      <c r="A209" s="17" t="str">
        <f aca="false">UPPER(TRIM(Raw_Data!A209))</f>
        <v>ORD-1202</v>
      </c>
      <c r="B209" s="18" t="n">
        <f aca="false">IFERROR(IF(ISNUMBER(Raw_Data!B209),Raw_Data!B209,IF(ISNUMBER(FIND("/",Raw_Data!B209)),DATE(VALUE(RIGHT(TRIM(Raw_Data!B209),4)),VALUE(MID(TRIM(Raw_Data!B209),4,2)),VALUE(LEFT(TRIM(Raw_Data!B209),2))),IF(MID(TRIM(Raw_Data!B209),5,1)="-",DATE(VALUE(LEFT(TRIM(Raw_Data!B209),4)),VALUE(MID(TRIM(Raw_Data!B209),6,2)),VALUE(RIGHT(TRIM(Raw_Data!B209),2))),DATE(VALUE(RIGHT(TRIM(Raw_Data!B209),4)),MATCH(MID(TRIM(Raw_Data!B209),4,3),{"Jan","Feb","Mar","Apr","May","Jun","Jul","Aug","Sep","Oct","Nov","Dec"},0),VALUE(LEFT(TRIM(Raw_Data!B209),2)))))),"")</f>
        <v>46021</v>
      </c>
      <c r="C209" s="17" t="str">
        <f aca="false">IF(TRIM(Raw_Data!C209)="","Unknown",PROPER(TRIM(Raw_Data!C209)))</f>
        <v>Hassan Butt</v>
      </c>
      <c r="D209" s="17" t="str">
        <f aca="false">IFERROR(INDEX({"Punjab","Sindh","KPK","Balochistan"},MATCH(UPPER(LEFT(TRIM(Raw_Data!D209),1)),{"P","S","K","B"},0)),IFERROR(INDEX(Data_Dictionary!$G$4:$G$16,MATCH(E209,Data_Dictionary!$F$4:$F$16,0)),"Unassigned"))</f>
        <v>Punjab</v>
      </c>
      <c r="E209" s="17" t="str">
        <f aca="false">IF(TRIM(Raw_Data!E209)="","Unknown",PROPER(TRIM(Raw_Data!E209)))</f>
        <v>Faisalabad</v>
      </c>
      <c r="F209" s="17" t="str">
        <f aca="false">IFERROR(INDEX({"Electronics","Home &amp; Kitchen","Clothing","Groceries","Beauty"},MATCH(UPPER(LEFT(TRIM(Raw_Data!F209),3)),{"ELE","HOM","CLO","GRO","BEA"},0)),"Uncategorised")</f>
        <v>Beauty</v>
      </c>
      <c r="G209" s="17" t="str">
        <f aca="false">IF(TRIM(Raw_Data!G209)="","Unknown",PROPER(TRIM(Raw_Data!G209)))</f>
        <v>Hair Dryer</v>
      </c>
      <c r="H209" s="19" t="n">
        <f aca="false">IFERROR(ABS(VALUE(TRIM(Raw_Data!H209))),"")</f>
        <v>1</v>
      </c>
      <c r="I209" s="20" t="n">
        <f aca="false">IFERROR(VALUE(TRIM(SUBSTITUTE(SUBSTITUTE(SUBSTITUTE(SUBSTITUTE(TRIM(Raw_Data!I209),"PKR",""),"Rs.",""),"Rs",""),",",""))),"")</f>
        <v>4200</v>
      </c>
      <c r="J209" s="21" t="n">
        <f aca="false">IFERROR(IF(TRIM(Raw_Data!J209)="",0,IF(VALUE(TRIM(Raw_Data!J209))&gt;1,VALUE(TRIM(Raw_Data!J209))/100,VALUE(TRIM(Raw_Data!J209)))),0)</f>
        <v>0.05</v>
      </c>
      <c r="K209" s="17" t="str">
        <f aca="false">IF(TRIM(Raw_Data!K209)="","Unassigned",PROPER(TRIM(Raw_Data!K209)))</f>
        <v>Faisal Mehmood</v>
      </c>
      <c r="L209" s="17" t="str">
        <f aca="false">IFERROR(INDEX({"Credit Card","Credit Card","Debit Card","Debit Card","Cash","PayPal"},MATCH(UPPER(LEFT(TRIM(Raw_Data!L209),2)),{"CR","CC","DE","DC","CA","PA"},0)),"Other")</f>
        <v>Debit Card</v>
      </c>
      <c r="M209" s="17" t="str">
        <f aca="false">IFERROR(INDEX({"Completed","Returned","Cancelled","Pending"},MATCH(UPPER(LEFT(TRIM(Raw_Data!M209),3)),{"COM","RET","CAN","PEN"},0)),"Unknown")</f>
        <v>Completed</v>
      </c>
      <c r="N209" s="20" t="n">
        <f aca="false">IF(OR(H209="",I209=""),"",H209*I209)</f>
        <v>4200</v>
      </c>
      <c r="O209" s="20" t="n">
        <f aca="false">IF(N209="","",N209*J209)</f>
        <v>210</v>
      </c>
      <c r="P209" s="20" t="n">
        <f aca="false">IF(N209="","",N209-O209)</f>
        <v>3990</v>
      </c>
      <c r="Q209" s="22" t="n">
        <f aca="false">IF(B209="","",DATE(YEAR(B209),MONTH(B209),1))</f>
        <v>45992</v>
      </c>
      <c r="R209" s="17" t="str">
        <f aca="false">IF(A209="","Invalid - Exclude",IF(COUNTIF($A$2:A209,A209)&gt;1,"Duplicate - Exclude",IF(OR(B209="",H209="",I209=""),"Invalid - Exclude","Valid")))</f>
        <v>Valid</v>
      </c>
      <c r="S209" s="17" t="str">
        <f aca="false">IF(R209="Valid","",IF(R209="Duplicate - Exclude","Repeat of an earlier Order ID",IF(B209="","Date missing or unreadable",IF(H209="","Quantity missing or unreadable",IF(I209="","Unit price missing or unreadable","Order ID missing")))))</f>
        <v/>
      </c>
    </row>
    <row r="210" customFormat="false" ht="15" hidden="false" customHeight="true" outlineLevel="0" collapsed="false">
      <c r="A210" s="9" t="str">
        <f aca="false">UPPER(TRIM(Raw_Data!A210))</f>
        <v>ORD-1203</v>
      </c>
      <c r="B210" s="10" t="n">
        <f aca="false">IFERROR(IF(ISNUMBER(Raw_Data!B210),Raw_Data!B210,IF(ISNUMBER(FIND("/",Raw_Data!B210)),DATE(VALUE(RIGHT(TRIM(Raw_Data!B210),4)),VALUE(MID(TRIM(Raw_Data!B210),4,2)),VALUE(LEFT(TRIM(Raw_Data!B210),2))),IF(MID(TRIM(Raw_Data!B210),5,1)="-",DATE(VALUE(LEFT(TRIM(Raw_Data!B210),4)),VALUE(MID(TRIM(Raw_Data!B210),6,2)),VALUE(RIGHT(TRIM(Raw_Data!B210),2))),DATE(VALUE(RIGHT(TRIM(Raw_Data!B210),4)),MATCH(MID(TRIM(Raw_Data!B210),4,3),{"Jan","Feb","Mar","Apr","May","Jun","Jul","Aug","Sep","Oct","Nov","Dec"},0),VALUE(LEFT(TRIM(Raw_Data!B210),2)))))),"")</f>
        <v>46009</v>
      </c>
      <c r="C210" s="9" t="str">
        <f aca="false">IF(TRIM(Raw_Data!C210)="","Unknown",PROPER(TRIM(Raw_Data!C210)))</f>
        <v>Hina Malik</v>
      </c>
      <c r="D210" s="9" t="str">
        <f aca="false">IFERROR(INDEX({"Punjab","Sindh","KPK","Balochistan"},MATCH(UPPER(LEFT(TRIM(Raw_Data!D210),1)),{"P","S","K","B"},0)),IFERROR(INDEX(Data_Dictionary!$G$4:$G$16,MATCH(E210,Data_Dictionary!$F$4:$F$16,0)),"Unassigned"))</f>
        <v>Punjab</v>
      </c>
      <c r="E210" s="9" t="str">
        <f aca="false">IF(TRIM(Raw_Data!E210)="","Unknown",PROPER(TRIM(Raw_Data!E210)))</f>
        <v>Lahore</v>
      </c>
      <c r="F210" s="9" t="str">
        <f aca="false">IFERROR(INDEX({"Electronics","Home &amp; Kitchen","Clothing","Groceries","Beauty"},MATCH(UPPER(LEFT(TRIM(Raw_Data!F210),3)),{"ELE","HOM","CLO","GRO","BEA"},0)),"Uncategorised")</f>
        <v>Electronics</v>
      </c>
      <c r="G210" s="9" t="str">
        <f aca="false">IF(TRIM(Raw_Data!G210)="","Unknown",PROPER(TRIM(Raw_Data!G210)))</f>
        <v>Wireless Earbuds</v>
      </c>
      <c r="H210" s="11" t="str">
        <f aca="false">IFERROR(ABS(VALUE(TRIM(Raw_Data!H210))),"")</f>
        <v/>
      </c>
      <c r="I210" s="12" t="n">
        <f aca="false">IFERROR(VALUE(TRIM(SUBSTITUTE(SUBSTITUTE(SUBSTITUTE(SUBSTITUTE(TRIM(Raw_Data!I210),"PKR",""),"Rs.",""),"Rs",""),",",""))),"")</f>
        <v>6650</v>
      </c>
      <c r="J210" s="13" t="n">
        <f aca="false">IFERROR(IF(TRIM(Raw_Data!J210)="",0,IF(VALUE(TRIM(Raw_Data!J210))&gt;1,VALUE(TRIM(Raw_Data!J210))/100,VALUE(TRIM(Raw_Data!J210)))),0)</f>
        <v>0.1</v>
      </c>
      <c r="K210" s="9" t="str">
        <f aca="false">IF(TRIM(Raw_Data!K210)="","Unassigned",PROPER(TRIM(Raw_Data!K210)))</f>
        <v>Imran Shah</v>
      </c>
      <c r="L210" s="9" t="str">
        <f aca="false">IFERROR(INDEX({"Credit Card","Credit Card","Debit Card","Debit Card","Cash","PayPal"},MATCH(UPPER(LEFT(TRIM(Raw_Data!L210),2)),{"CR","CC","DE","DC","CA","PA"},0)),"Other")</f>
        <v>Credit Card</v>
      </c>
      <c r="M210" s="9" t="str">
        <f aca="false">IFERROR(INDEX({"Completed","Returned","Cancelled","Pending"},MATCH(UPPER(LEFT(TRIM(Raw_Data!M210),3)),{"COM","RET","CAN","PEN"},0)),"Unknown")</f>
        <v>Completed</v>
      </c>
      <c r="N210" s="14" t="str">
        <f aca="false">IF(OR(H210="",I210=""),"",H210*I210)</f>
        <v/>
      </c>
      <c r="O210" s="14" t="str">
        <f aca="false">IF(N210="","",N210*J210)</f>
        <v/>
      </c>
      <c r="P210" s="14" t="str">
        <f aca="false">IF(N210="","",N210-O210)</f>
        <v/>
      </c>
      <c r="Q210" s="15" t="n">
        <f aca="false">IF(B210="","",DATE(YEAR(B210),MONTH(B210),1))</f>
        <v>45992</v>
      </c>
      <c r="R210" s="16" t="str">
        <f aca="false">IF(A210="","Invalid - Exclude",IF(COUNTIF($A$2:A210,A210)&gt;1,"Duplicate - Exclude",IF(OR(B210="",H210="",I210=""),"Invalid - Exclude","Valid")))</f>
        <v>Invalid - Exclude</v>
      </c>
      <c r="S210" s="16" t="str">
        <f aca="false">IF(R210="Valid","",IF(R210="Duplicate - Exclude","Repeat of an earlier Order ID",IF(B210="","Date missing or unreadable",IF(H210="","Quantity missing or unreadable",IF(I210="","Unit price missing or unreadable","Order ID missing")))))</f>
        <v>Quantity missing or unreadable</v>
      </c>
    </row>
    <row r="211" customFormat="false" ht="15" hidden="false" customHeight="true" outlineLevel="0" collapsed="false">
      <c r="A211" s="17" t="str">
        <f aca="false">UPPER(TRIM(Raw_Data!A211))</f>
        <v>ORD-1204</v>
      </c>
      <c r="B211" s="18" t="n">
        <f aca="false">IFERROR(IF(ISNUMBER(Raw_Data!B211),Raw_Data!B211,IF(ISNUMBER(FIND("/",Raw_Data!B211)),DATE(VALUE(RIGHT(TRIM(Raw_Data!B211),4)),VALUE(MID(TRIM(Raw_Data!B211),4,2)),VALUE(LEFT(TRIM(Raw_Data!B211),2))),IF(MID(TRIM(Raw_Data!B211),5,1)="-",DATE(VALUE(LEFT(TRIM(Raw_Data!B211),4)),VALUE(MID(TRIM(Raw_Data!B211),6,2)),VALUE(RIGHT(TRIM(Raw_Data!B211),2))),DATE(VALUE(RIGHT(TRIM(Raw_Data!B211),4)),MATCH(MID(TRIM(Raw_Data!B211),4,3),{"Jan","Feb","Mar","Apr","May","Jun","Jul","Aug","Sep","Oct","Nov","Dec"},0),VALUE(LEFT(TRIM(Raw_Data!B211),2)))))),"")</f>
        <v>45783</v>
      </c>
      <c r="C211" s="17" t="str">
        <f aca="false">IF(TRIM(Raw_Data!C211)="","Unknown",PROPER(TRIM(Raw_Data!C211)))</f>
        <v>Fatima Qureshi</v>
      </c>
      <c r="D211" s="17" t="str">
        <f aca="false">IFERROR(INDEX({"Punjab","Sindh","KPK","Balochistan"},MATCH(UPPER(LEFT(TRIM(Raw_Data!D211),1)),{"P","S","K","B"},0)),IFERROR(INDEX(Data_Dictionary!$G$4:$G$16,MATCH(E211,Data_Dictionary!$F$4:$F$16,0)),"Unassigned"))</f>
        <v>Sindh</v>
      </c>
      <c r="E211" s="17" t="str">
        <f aca="false">IF(TRIM(Raw_Data!E211)="","Unknown",PROPER(TRIM(Raw_Data!E211)))</f>
        <v>Karachi</v>
      </c>
      <c r="F211" s="17" t="str">
        <f aca="false">IFERROR(INDEX({"Electronics","Home &amp; Kitchen","Clothing","Groceries","Beauty"},MATCH(UPPER(LEFT(TRIM(Raw_Data!F211),3)),{"ELE","HOM","CLO","GRO","BEA"},0)),"Uncategorised")</f>
        <v>Electronics</v>
      </c>
      <c r="G211" s="17" t="str">
        <f aca="false">IF(TRIM(Raw_Data!G211)="","Unknown",PROPER(TRIM(Raw_Data!G211)))</f>
        <v>Phone Charger</v>
      </c>
      <c r="H211" s="19" t="n">
        <f aca="false">IFERROR(ABS(VALUE(TRIM(Raw_Data!H211))),"")</f>
        <v>2</v>
      </c>
      <c r="I211" s="20" t="n">
        <f aca="false">IFERROR(VALUE(TRIM(SUBSTITUTE(SUBSTITUTE(SUBSTITUTE(SUBSTITUTE(TRIM(Raw_Data!I211),"PKR",""),"Rs.",""),"Rs",""),",",""))),"")</f>
        <v>1250</v>
      </c>
      <c r="J211" s="21" t="n">
        <f aca="false">IFERROR(IF(TRIM(Raw_Data!J211)="",0,IF(VALUE(TRIM(Raw_Data!J211))&gt;1,VALUE(TRIM(Raw_Data!J211))/100,VALUE(TRIM(Raw_Data!J211)))),0)</f>
        <v>0</v>
      </c>
      <c r="K211" s="17" t="str">
        <f aca="false">IF(TRIM(Raw_Data!K211)="","Unassigned",PROPER(TRIM(Raw_Data!K211)))</f>
        <v>Zoya Tariq</v>
      </c>
      <c r="L211" s="17" t="str">
        <f aca="false">IFERROR(INDEX({"Credit Card","Credit Card","Debit Card","Debit Card","Cash","PayPal"},MATCH(UPPER(LEFT(TRIM(Raw_Data!L211),2)),{"CR","CC","DE","DC","CA","PA"},0)),"Other")</f>
        <v>PayPal</v>
      </c>
      <c r="M211" s="17" t="str">
        <f aca="false">IFERROR(INDEX({"Completed","Returned","Cancelled","Pending"},MATCH(UPPER(LEFT(TRIM(Raw_Data!M211),3)),{"COM","RET","CAN","PEN"},0)),"Unknown")</f>
        <v>Completed</v>
      </c>
      <c r="N211" s="20" t="n">
        <f aca="false">IF(OR(H211="",I211=""),"",H211*I211)</f>
        <v>2500</v>
      </c>
      <c r="O211" s="20" t="n">
        <f aca="false">IF(N211="","",N211*J211)</f>
        <v>0</v>
      </c>
      <c r="P211" s="20" t="n">
        <f aca="false">IF(N211="","",N211-O211)</f>
        <v>2500</v>
      </c>
      <c r="Q211" s="22" t="n">
        <f aca="false">IF(B211="","",DATE(YEAR(B211),MONTH(B211),1))</f>
        <v>45778</v>
      </c>
      <c r="R211" s="17" t="str">
        <f aca="false">IF(A211="","Invalid - Exclude",IF(COUNTIF($A$2:A211,A211)&gt;1,"Duplicate - Exclude",IF(OR(B211="",H211="",I211=""),"Invalid - Exclude","Valid")))</f>
        <v>Valid</v>
      </c>
      <c r="S211" s="17" t="str">
        <f aca="false">IF(R211="Valid","",IF(R211="Duplicate - Exclude","Repeat of an earlier Order ID",IF(B211="","Date missing or unreadable",IF(H211="","Quantity missing or unreadable",IF(I211="","Unit price missing or unreadable","Order ID missing")))))</f>
        <v/>
      </c>
    </row>
    <row r="212" customFormat="false" ht="15" hidden="false" customHeight="true" outlineLevel="0" collapsed="false">
      <c r="A212" s="9" t="str">
        <f aca="false">UPPER(TRIM(Raw_Data!A212))</f>
        <v>ORD-1205</v>
      </c>
      <c r="B212" s="10" t="n">
        <f aca="false">IFERROR(IF(ISNUMBER(Raw_Data!B212),Raw_Data!B212,IF(ISNUMBER(FIND("/",Raw_Data!B212)),DATE(VALUE(RIGHT(TRIM(Raw_Data!B212),4)),VALUE(MID(TRIM(Raw_Data!B212),4,2)),VALUE(LEFT(TRIM(Raw_Data!B212),2))),IF(MID(TRIM(Raw_Data!B212),5,1)="-",DATE(VALUE(LEFT(TRIM(Raw_Data!B212),4)),VALUE(MID(TRIM(Raw_Data!B212),6,2)),VALUE(RIGHT(TRIM(Raw_Data!B212),2))),DATE(VALUE(RIGHT(TRIM(Raw_Data!B212),4)),MATCH(MID(TRIM(Raw_Data!B212),4,3),{"Jan","Feb","Mar","Apr","May","Jun","Jul","Aug","Sep","Oct","Nov","Dec"},0),VALUE(LEFT(TRIM(Raw_Data!B212),2)))))),"")</f>
        <v>45965</v>
      </c>
      <c r="C212" s="9" t="str">
        <f aca="false">IF(TRIM(Raw_Data!C212)="","Unknown",PROPER(TRIM(Raw_Data!C212)))</f>
        <v>Kashif Sheikh</v>
      </c>
      <c r="D212" s="9" t="str">
        <f aca="false">IFERROR(INDEX({"Punjab","Sindh","KPK","Balochistan"},MATCH(UPPER(LEFT(TRIM(Raw_Data!D212),1)),{"P","S","K","B"},0)),IFERROR(INDEX(Data_Dictionary!$G$4:$G$16,MATCH(E212,Data_Dictionary!$F$4:$F$16,0)),"Unassigned"))</f>
        <v>Punjab</v>
      </c>
      <c r="E212" s="9" t="str">
        <f aca="false">IF(TRIM(Raw_Data!E212)="","Unknown",PROPER(TRIM(Raw_Data!E212)))</f>
        <v>Faisalabad</v>
      </c>
      <c r="F212" s="9" t="str">
        <f aca="false">IFERROR(INDEX({"Electronics","Home &amp; Kitchen","Clothing","Groceries","Beauty"},MATCH(UPPER(LEFT(TRIM(Raw_Data!F212),3)),{"ELE","HOM","CLO","GRO","BEA"},0)),"Uncategorised")</f>
        <v>Electronics</v>
      </c>
      <c r="G212" s="9" t="str">
        <f aca="false">IF(TRIM(Raw_Data!G212)="","Unknown",PROPER(TRIM(Raw_Data!G212)))</f>
        <v>Phone Charger</v>
      </c>
      <c r="H212" s="11" t="n">
        <f aca="false">IFERROR(ABS(VALUE(TRIM(Raw_Data!H212))),"")</f>
        <v>1</v>
      </c>
      <c r="I212" s="12" t="n">
        <f aca="false">IFERROR(VALUE(TRIM(SUBSTITUTE(SUBSTITUTE(SUBSTITUTE(SUBSTITUTE(TRIM(Raw_Data!I212),"PKR",""),"Rs.",""),"Rs",""),",",""))),"")</f>
        <v>1250</v>
      </c>
      <c r="J212" s="13" t="n">
        <f aca="false">IFERROR(IF(TRIM(Raw_Data!J212)="",0,IF(VALUE(TRIM(Raw_Data!J212))&gt;1,VALUE(TRIM(Raw_Data!J212))/100,VALUE(TRIM(Raw_Data!J212)))),0)</f>
        <v>0.1</v>
      </c>
      <c r="K212" s="9" t="str">
        <f aca="false">IF(TRIM(Raw_Data!K212)="","Unassigned",PROPER(TRIM(Raw_Data!K212)))</f>
        <v>Nimra Aslam</v>
      </c>
      <c r="L212" s="9" t="str">
        <f aca="false">IFERROR(INDEX({"Credit Card","Credit Card","Debit Card","Debit Card","Cash","PayPal"},MATCH(UPPER(LEFT(TRIM(Raw_Data!L212),2)),{"CR","CC","DE","DC","CA","PA"},0)),"Other")</f>
        <v>Cash</v>
      </c>
      <c r="M212" s="9" t="str">
        <f aca="false">IFERROR(INDEX({"Completed","Returned","Cancelled","Pending"},MATCH(UPPER(LEFT(TRIM(Raw_Data!M212),3)),{"COM","RET","CAN","PEN"},0)),"Unknown")</f>
        <v>Completed</v>
      </c>
      <c r="N212" s="14" t="n">
        <f aca="false">IF(OR(H212="",I212=""),"",H212*I212)</f>
        <v>1250</v>
      </c>
      <c r="O212" s="14" t="n">
        <f aca="false">IF(N212="","",N212*J212)</f>
        <v>125</v>
      </c>
      <c r="P212" s="14" t="n">
        <f aca="false">IF(N212="","",N212-O212)</f>
        <v>1125</v>
      </c>
      <c r="Q212" s="15" t="n">
        <f aca="false">IF(B212="","",DATE(YEAR(B212),MONTH(B212),1))</f>
        <v>45962</v>
      </c>
      <c r="R212" s="16" t="str">
        <f aca="false">IF(A212="","Invalid - Exclude",IF(COUNTIF($A$2:A212,A212)&gt;1,"Duplicate - Exclude",IF(OR(B212="",H212="",I212=""),"Invalid - Exclude","Valid")))</f>
        <v>Valid</v>
      </c>
      <c r="S212" s="16" t="str">
        <f aca="false">IF(R212="Valid","",IF(R212="Duplicate - Exclude","Repeat of an earlier Order ID",IF(B212="","Date missing or unreadable",IF(H212="","Quantity missing or unreadable",IF(I212="","Unit price missing or unreadable","Order ID missing")))))</f>
        <v/>
      </c>
    </row>
    <row r="213" customFormat="false" ht="15" hidden="false" customHeight="true" outlineLevel="0" collapsed="false">
      <c r="A213" s="17" t="str">
        <f aca="false">UPPER(TRIM(Raw_Data!A213))</f>
        <v>ORD-1206</v>
      </c>
      <c r="B213" s="18" t="n">
        <f aca="false">IFERROR(IF(ISNUMBER(Raw_Data!B213),Raw_Data!B213,IF(ISNUMBER(FIND("/",Raw_Data!B213)),DATE(VALUE(RIGHT(TRIM(Raw_Data!B213),4)),VALUE(MID(TRIM(Raw_Data!B213),4,2)),VALUE(LEFT(TRIM(Raw_Data!B213),2))),IF(MID(TRIM(Raw_Data!B213),5,1)="-",DATE(VALUE(LEFT(TRIM(Raw_Data!B213),4)),VALUE(MID(TRIM(Raw_Data!B213),6,2)),VALUE(RIGHT(TRIM(Raw_Data!B213),2))),DATE(VALUE(RIGHT(TRIM(Raw_Data!B213),4)),MATCH(MID(TRIM(Raw_Data!B213),4,3),{"Jan","Feb","Mar","Apr","May","Jun","Jul","Aug","Sep","Oct","Nov","Dec"},0),VALUE(LEFT(TRIM(Raw_Data!B213),2)))))),"")</f>
        <v>45950</v>
      </c>
      <c r="C213" s="17" t="str">
        <f aca="false">IF(TRIM(Raw_Data!C213)="","Unknown",PROPER(TRIM(Raw_Data!C213)))</f>
        <v>Saad Iqbal</v>
      </c>
      <c r="D213" s="17" t="str">
        <f aca="false">IFERROR(INDEX({"Punjab","Sindh","KPK","Balochistan"},MATCH(UPPER(LEFT(TRIM(Raw_Data!D213),1)),{"P","S","K","B"},0)),IFERROR(INDEX(Data_Dictionary!$G$4:$G$16,MATCH(E213,Data_Dictionary!$F$4:$F$16,0)),"Unassigned"))</f>
        <v>KPK</v>
      </c>
      <c r="E213" s="17" t="str">
        <f aca="false">IF(TRIM(Raw_Data!E213)="","Unknown",PROPER(TRIM(Raw_Data!E213)))</f>
        <v>Peshawar</v>
      </c>
      <c r="F213" s="17" t="str">
        <f aca="false">IFERROR(INDEX({"Electronics","Home &amp; Kitchen","Clothing","Groceries","Beauty"},MATCH(UPPER(LEFT(TRIM(Raw_Data!F213),3)),{"ELE","HOM","CLO","GRO","BEA"},0)),"Uncategorised")</f>
        <v>Beauty</v>
      </c>
      <c r="G213" s="17" t="str">
        <f aca="false">IF(TRIM(Raw_Data!G213)="","Unknown",PROPER(TRIM(Raw_Data!G213)))</f>
        <v>Hair Dryer</v>
      </c>
      <c r="H213" s="19" t="n">
        <f aca="false">IFERROR(ABS(VALUE(TRIM(Raw_Data!H213))),"")</f>
        <v>1</v>
      </c>
      <c r="I213" s="20" t="n">
        <f aca="false">IFERROR(VALUE(TRIM(SUBSTITUTE(SUBSTITUTE(SUBSTITUTE(SUBSTITUTE(TRIM(Raw_Data!I213),"PKR",""),"Rs.",""),"Rs",""),",",""))),"")</f>
        <v>4000</v>
      </c>
      <c r="J213" s="21" t="n">
        <f aca="false">IFERROR(IF(TRIM(Raw_Data!J213)="",0,IF(VALUE(TRIM(Raw_Data!J213))&gt;1,VALUE(TRIM(Raw_Data!J213))/100,VALUE(TRIM(Raw_Data!J213)))),0)</f>
        <v>0.1</v>
      </c>
      <c r="K213" s="17" t="str">
        <f aca="false">IF(TRIM(Raw_Data!K213)="","Unassigned",PROPER(TRIM(Raw_Data!K213)))</f>
        <v>Zoya Tariq</v>
      </c>
      <c r="L213" s="17" t="str">
        <f aca="false">IFERROR(INDEX({"Credit Card","Credit Card","Debit Card","Debit Card","Cash","PayPal"},MATCH(UPPER(LEFT(TRIM(Raw_Data!L213),2)),{"CR","CC","DE","DC","CA","PA"},0)),"Other")</f>
        <v>Debit Card</v>
      </c>
      <c r="M213" s="17" t="str">
        <f aca="false">IFERROR(INDEX({"Completed","Returned","Cancelled","Pending"},MATCH(UPPER(LEFT(TRIM(Raw_Data!M213),3)),{"COM","RET","CAN","PEN"},0)),"Unknown")</f>
        <v>Completed</v>
      </c>
      <c r="N213" s="20" t="n">
        <f aca="false">IF(OR(H213="",I213=""),"",H213*I213)</f>
        <v>4000</v>
      </c>
      <c r="O213" s="20" t="n">
        <f aca="false">IF(N213="","",N213*J213)</f>
        <v>400</v>
      </c>
      <c r="P213" s="20" t="n">
        <f aca="false">IF(N213="","",N213-O213)</f>
        <v>3600</v>
      </c>
      <c r="Q213" s="22" t="n">
        <f aca="false">IF(B213="","",DATE(YEAR(B213),MONTH(B213),1))</f>
        <v>45931</v>
      </c>
      <c r="R213" s="17" t="str">
        <f aca="false">IF(A213="","Invalid - Exclude",IF(COUNTIF($A$2:A213,A213)&gt;1,"Duplicate - Exclude",IF(OR(B213="",H213="",I213=""),"Invalid - Exclude","Valid")))</f>
        <v>Valid</v>
      </c>
      <c r="S213" s="17" t="str">
        <f aca="false">IF(R213="Valid","",IF(R213="Duplicate - Exclude","Repeat of an earlier Order ID",IF(B213="","Date missing or unreadable",IF(H213="","Quantity missing or unreadable",IF(I213="","Unit price missing or unreadable","Order ID missing")))))</f>
        <v/>
      </c>
    </row>
    <row r="214" customFormat="false" ht="15" hidden="false" customHeight="true" outlineLevel="0" collapsed="false">
      <c r="A214" s="9" t="str">
        <f aca="false">UPPER(TRIM(Raw_Data!A214))</f>
        <v>ORD-1207</v>
      </c>
      <c r="B214" s="10" t="n">
        <f aca="false">IFERROR(IF(ISNUMBER(Raw_Data!B214),Raw_Data!B214,IF(ISNUMBER(FIND("/",Raw_Data!B214)),DATE(VALUE(RIGHT(TRIM(Raw_Data!B214),4)),VALUE(MID(TRIM(Raw_Data!B214),4,2)),VALUE(LEFT(TRIM(Raw_Data!B214),2))),IF(MID(TRIM(Raw_Data!B214),5,1)="-",DATE(VALUE(LEFT(TRIM(Raw_Data!B214),4)),VALUE(MID(TRIM(Raw_Data!B214),6,2)),VALUE(RIGHT(TRIM(Raw_Data!B214),2))),DATE(VALUE(RIGHT(TRIM(Raw_Data!B214),4)),MATCH(MID(TRIM(Raw_Data!B214),4,3),{"Jan","Feb","Mar","Apr","May","Jun","Jul","Aug","Sep","Oct","Nov","Dec"},0),VALUE(LEFT(TRIM(Raw_Data!B214),2)))))),"")</f>
        <v>45826</v>
      </c>
      <c r="C214" s="9" t="str">
        <f aca="false">IF(TRIM(Raw_Data!C214)="","Unknown",PROPER(TRIM(Raw_Data!C214)))</f>
        <v>Unknown</v>
      </c>
      <c r="D214" s="9" t="str">
        <f aca="false">IFERROR(INDEX({"Punjab","Sindh","KPK","Balochistan"},MATCH(UPPER(LEFT(TRIM(Raw_Data!D214),1)),{"P","S","K","B"},0)),IFERROR(INDEX(Data_Dictionary!$G$4:$G$16,MATCH(E214,Data_Dictionary!$F$4:$F$16,0)),"Unassigned"))</f>
        <v>Sindh</v>
      </c>
      <c r="E214" s="9" t="str">
        <f aca="false">IF(TRIM(Raw_Data!E214)="","Unknown",PROPER(TRIM(Raw_Data!E214)))</f>
        <v>Karachi</v>
      </c>
      <c r="F214" s="9" t="str">
        <f aca="false">IFERROR(INDEX({"Electronics","Home &amp; Kitchen","Clothing","Groceries","Beauty"},MATCH(UPPER(LEFT(TRIM(Raw_Data!F214),3)),{"ELE","HOM","CLO","GRO","BEA"},0)),"Uncategorised")</f>
        <v>Electronics</v>
      </c>
      <c r="G214" s="9" t="str">
        <f aca="false">IF(TRIM(Raw_Data!G214)="","Unknown",PROPER(TRIM(Raw_Data!G214)))</f>
        <v>Smart Television 43 Inch</v>
      </c>
      <c r="H214" s="11" t="n">
        <f aca="false">IFERROR(ABS(VALUE(TRIM(Raw_Data!H214))),"")</f>
        <v>4</v>
      </c>
      <c r="I214" s="12" t="n">
        <f aca="false">IFERROR(VALUE(TRIM(SUBSTITUTE(SUBSTITUTE(SUBSTITUTE(SUBSTITUTE(TRIM(Raw_Data!I214),"PKR",""),"Rs.",""),"Rs",""),",",""))),"")</f>
        <v>49950</v>
      </c>
      <c r="J214" s="13" t="n">
        <f aca="false">IFERROR(IF(TRIM(Raw_Data!J214)="",0,IF(VALUE(TRIM(Raw_Data!J214))&gt;1,VALUE(TRIM(Raw_Data!J214))/100,VALUE(TRIM(Raw_Data!J214)))),0)</f>
        <v>0.1</v>
      </c>
      <c r="K214" s="9" t="str">
        <f aca="false">IF(TRIM(Raw_Data!K214)="","Unassigned",PROPER(TRIM(Raw_Data!K214)))</f>
        <v>Zoya Tariq</v>
      </c>
      <c r="L214" s="9" t="str">
        <f aca="false">IFERROR(INDEX({"Credit Card","Credit Card","Debit Card","Debit Card","Cash","PayPal"},MATCH(UPPER(LEFT(TRIM(Raw_Data!L214),2)),{"CR","CC","DE","DC","CA","PA"},0)),"Other")</f>
        <v>Cash</v>
      </c>
      <c r="M214" s="9" t="str">
        <f aca="false">IFERROR(INDEX({"Completed","Returned","Cancelled","Pending"},MATCH(UPPER(LEFT(TRIM(Raw_Data!M214),3)),{"COM","RET","CAN","PEN"},0)),"Unknown")</f>
        <v>Completed</v>
      </c>
      <c r="N214" s="14" t="n">
        <f aca="false">IF(OR(H214="",I214=""),"",H214*I214)</f>
        <v>199800</v>
      </c>
      <c r="O214" s="14" t="n">
        <f aca="false">IF(N214="","",N214*J214)</f>
        <v>19980</v>
      </c>
      <c r="P214" s="14" t="n">
        <f aca="false">IF(N214="","",N214-O214)</f>
        <v>179820</v>
      </c>
      <c r="Q214" s="15" t="n">
        <f aca="false">IF(B214="","",DATE(YEAR(B214),MONTH(B214),1))</f>
        <v>45809</v>
      </c>
      <c r="R214" s="16" t="str">
        <f aca="false">IF(A214="","Invalid - Exclude",IF(COUNTIF($A$2:A214,A214)&gt;1,"Duplicate - Exclude",IF(OR(B214="",H214="",I214=""),"Invalid - Exclude","Valid")))</f>
        <v>Valid</v>
      </c>
      <c r="S214" s="16" t="str">
        <f aca="false">IF(R214="Valid","",IF(R214="Duplicate - Exclude","Repeat of an earlier Order ID",IF(B214="","Date missing or unreadable",IF(H214="","Quantity missing or unreadable",IF(I214="","Unit price missing or unreadable","Order ID missing")))))</f>
        <v/>
      </c>
    </row>
    <row r="215" customFormat="false" ht="15" hidden="false" customHeight="true" outlineLevel="0" collapsed="false">
      <c r="A215" s="17" t="str">
        <f aca="false">UPPER(TRIM(Raw_Data!A215))</f>
        <v>ORD-1208</v>
      </c>
      <c r="B215" s="18" t="n">
        <f aca="false">IFERROR(IF(ISNUMBER(Raw_Data!B215),Raw_Data!B215,IF(ISNUMBER(FIND("/",Raw_Data!B215)),DATE(VALUE(RIGHT(TRIM(Raw_Data!B215),4)),VALUE(MID(TRIM(Raw_Data!B215),4,2)),VALUE(LEFT(TRIM(Raw_Data!B215),2))),IF(MID(TRIM(Raw_Data!B215),5,1)="-",DATE(VALUE(LEFT(TRIM(Raw_Data!B215),4)),VALUE(MID(TRIM(Raw_Data!B215),6,2)),VALUE(RIGHT(TRIM(Raw_Data!B215),2))),DATE(VALUE(RIGHT(TRIM(Raw_Data!B215),4)),MATCH(MID(TRIM(Raw_Data!B215),4,3),{"Jan","Feb","Mar","Apr","May","Jun","Jul","Aug","Sep","Oct","Nov","Dec"},0),VALUE(LEFT(TRIM(Raw_Data!B215),2)))))),"")</f>
        <v>45971</v>
      </c>
      <c r="C215" s="17" t="str">
        <f aca="false">IF(TRIM(Raw_Data!C215)="","Unknown",PROPER(TRIM(Raw_Data!C215)))</f>
        <v>Saad Qureshi</v>
      </c>
      <c r="D215" s="17" t="str">
        <f aca="false">IFERROR(INDEX({"Punjab","Sindh","KPK","Balochistan"},MATCH(UPPER(LEFT(TRIM(Raw_Data!D215),1)),{"P","S","K","B"},0)),IFERROR(INDEX(Data_Dictionary!$G$4:$G$16,MATCH(E215,Data_Dictionary!$F$4:$F$16,0)),"Unassigned"))</f>
        <v>Sindh</v>
      </c>
      <c r="E215" s="17" t="str">
        <f aca="false">IF(TRIM(Raw_Data!E215)="","Unknown",PROPER(TRIM(Raw_Data!E215)))</f>
        <v>Hyderabad</v>
      </c>
      <c r="F215" s="17" t="str">
        <f aca="false">IFERROR(INDEX({"Electronics","Home &amp; Kitchen","Clothing","Groceries","Beauty"},MATCH(UPPER(LEFT(TRIM(Raw_Data!F215),3)),{"ELE","HOM","CLO","GRO","BEA"},0)),"Uncategorised")</f>
        <v>Clothing</v>
      </c>
      <c r="G215" s="17" t="str">
        <f aca="false">IF(TRIM(Raw_Data!G215)="","Unknown",PROPER(TRIM(Raw_Data!G215)))</f>
        <v>Mens Kurta</v>
      </c>
      <c r="H215" s="19" t="n">
        <f aca="false">IFERROR(ABS(VALUE(TRIM(Raw_Data!H215))),"")</f>
        <v>3</v>
      </c>
      <c r="I215" s="20" t="n">
        <f aca="false">IFERROR(VALUE(TRIM(SUBSTITUTE(SUBSTITUTE(SUBSTITUTE(SUBSTITUTE(TRIM(Raw_Data!I215),"PKR",""),"Rs.",""),"Rs",""),",",""))),"")</f>
        <v>3250</v>
      </c>
      <c r="J215" s="21" t="n">
        <f aca="false">IFERROR(IF(TRIM(Raw_Data!J215)="",0,IF(VALUE(TRIM(Raw_Data!J215))&gt;1,VALUE(TRIM(Raw_Data!J215))/100,VALUE(TRIM(Raw_Data!J215)))),0)</f>
        <v>0</v>
      </c>
      <c r="K215" s="17" t="str">
        <f aca="false">IF(TRIM(Raw_Data!K215)="","Unassigned",PROPER(TRIM(Raw_Data!K215)))</f>
        <v>Waqar Ahmed</v>
      </c>
      <c r="L215" s="17" t="str">
        <f aca="false">IFERROR(INDEX({"Credit Card","Credit Card","Debit Card","Debit Card","Cash","PayPal"},MATCH(UPPER(LEFT(TRIM(Raw_Data!L215),2)),{"CR","CC","DE","DC","CA","PA"},0)),"Other")</f>
        <v>Debit Card</v>
      </c>
      <c r="M215" s="17" t="str">
        <f aca="false">IFERROR(INDEX({"Completed","Returned","Cancelled","Pending"},MATCH(UPPER(LEFT(TRIM(Raw_Data!M215),3)),{"COM","RET","CAN","PEN"},0)),"Unknown")</f>
        <v>Completed</v>
      </c>
      <c r="N215" s="20" t="n">
        <f aca="false">IF(OR(H215="",I215=""),"",H215*I215)</f>
        <v>9750</v>
      </c>
      <c r="O215" s="20" t="n">
        <f aca="false">IF(N215="","",N215*J215)</f>
        <v>0</v>
      </c>
      <c r="P215" s="20" t="n">
        <f aca="false">IF(N215="","",N215-O215)</f>
        <v>9750</v>
      </c>
      <c r="Q215" s="22" t="n">
        <f aca="false">IF(B215="","",DATE(YEAR(B215),MONTH(B215),1))</f>
        <v>45962</v>
      </c>
      <c r="R215" s="17" t="str">
        <f aca="false">IF(A215="","Invalid - Exclude",IF(COUNTIF($A$2:A215,A215)&gt;1,"Duplicate - Exclude",IF(OR(B215="",H215="",I215=""),"Invalid - Exclude","Valid")))</f>
        <v>Valid</v>
      </c>
      <c r="S215" s="17" t="str">
        <f aca="false">IF(R215="Valid","",IF(R215="Duplicate - Exclude","Repeat of an earlier Order ID",IF(B215="","Date missing or unreadable",IF(H215="","Quantity missing or unreadable",IF(I215="","Unit price missing or unreadable","Order ID missing")))))</f>
        <v/>
      </c>
    </row>
    <row r="216" customFormat="false" ht="15" hidden="false" customHeight="true" outlineLevel="0" collapsed="false">
      <c r="A216" s="9" t="str">
        <f aca="false">UPPER(TRIM(Raw_Data!A216))</f>
        <v>ORD-1209</v>
      </c>
      <c r="B216" s="10" t="n">
        <f aca="false">IFERROR(IF(ISNUMBER(Raw_Data!B216),Raw_Data!B216,IF(ISNUMBER(FIND("/",Raw_Data!B216)),DATE(VALUE(RIGHT(TRIM(Raw_Data!B216),4)),VALUE(MID(TRIM(Raw_Data!B216),4,2)),VALUE(LEFT(TRIM(Raw_Data!B216),2))),IF(MID(TRIM(Raw_Data!B216),5,1)="-",DATE(VALUE(LEFT(TRIM(Raw_Data!B216),4)),VALUE(MID(TRIM(Raw_Data!B216),6,2)),VALUE(RIGHT(TRIM(Raw_Data!B216),2))),DATE(VALUE(RIGHT(TRIM(Raw_Data!B216),4)),MATCH(MID(TRIM(Raw_Data!B216),4,3),{"Jan","Feb","Mar","Apr","May","Jun","Jul","Aug","Sep","Oct","Nov","Dec"},0),VALUE(LEFT(TRIM(Raw_Data!B216),2)))))),"")</f>
        <v>45686</v>
      </c>
      <c r="C216" s="9" t="str">
        <f aca="false">IF(TRIM(Raw_Data!C216)="","Unknown",PROPER(TRIM(Raw_Data!C216)))</f>
        <v>Rabia Iqbal</v>
      </c>
      <c r="D216" s="9" t="str">
        <f aca="false">IFERROR(INDEX({"Punjab","Sindh","KPK","Balochistan"},MATCH(UPPER(LEFT(TRIM(Raw_Data!D216),1)),{"P","S","K","B"},0)),IFERROR(INDEX(Data_Dictionary!$G$4:$G$16,MATCH(E216,Data_Dictionary!$F$4:$F$16,0)),"Unassigned"))</f>
        <v>Sindh</v>
      </c>
      <c r="E216" s="9" t="str">
        <f aca="false">IF(TRIM(Raw_Data!E216)="","Unknown",PROPER(TRIM(Raw_Data!E216)))</f>
        <v>Karachi</v>
      </c>
      <c r="F216" s="9" t="str">
        <f aca="false">IFERROR(INDEX({"Electronics","Home &amp; Kitchen","Clothing","Groceries","Beauty"},MATCH(UPPER(LEFT(TRIM(Raw_Data!F216),3)),{"ELE","HOM","CLO","GRO","BEA"},0)),"Uncategorised")</f>
        <v>Groceries</v>
      </c>
      <c r="G216" s="9" t="str">
        <f aca="false">IF(TRIM(Raw_Data!G216)="","Unknown",PROPER(TRIM(Raw_Data!G216)))</f>
        <v>Basmati Rice 5 Kg</v>
      </c>
      <c r="H216" s="11" t="n">
        <f aca="false">IFERROR(ABS(VALUE(TRIM(Raw_Data!H216))),"")</f>
        <v>3</v>
      </c>
      <c r="I216" s="12" t="n">
        <f aca="false">IFERROR(VALUE(TRIM(SUBSTITUTE(SUBSTITUTE(SUBSTITUTE(SUBSTITUTE(TRIM(Raw_Data!I216),"PKR",""),"Rs.",""),"Rs",""),",",""))),"")</f>
        <v>2650</v>
      </c>
      <c r="J216" s="13" t="n">
        <f aca="false">IFERROR(IF(TRIM(Raw_Data!J216)="",0,IF(VALUE(TRIM(Raw_Data!J216))&gt;1,VALUE(TRIM(Raw_Data!J216))/100,VALUE(TRIM(Raw_Data!J216)))),0)</f>
        <v>0.2</v>
      </c>
      <c r="K216" s="9" t="str">
        <f aca="false">IF(TRIM(Raw_Data!K216)="","Unassigned",PROPER(TRIM(Raw_Data!K216)))</f>
        <v>Nimra Aslam</v>
      </c>
      <c r="L216" s="9" t="str">
        <f aca="false">IFERROR(INDEX({"Credit Card","Credit Card","Debit Card","Debit Card","Cash","PayPal"},MATCH(UPPER(LEFT(TRIM(Raw_Data!L216),2)),{"CR","CC","DE","DC","CA","PA"},0)),"Other")</f>
        <v>Cash</v>
      </c>
      <c r="M216" s="9" t="str">
        <f aca="false">IFERROR(INDEX({"Completed","Returned","Cancelled","Pending"},MATCH(UPPER(LEFT(TRIM(Raw_Data!M216),3)),{"COM","RET","CAN","PEN"},0)),"Unknown")</f>
        <v>Completed</v>
      </c>
      <c r="N216" s="14" t="n">
        <f aca="false">IF(OR(H216="",I216=""),"",H216*I216)</f>
        <v>7950</v>
      </c>
      <c r="O216" s="14" t="n">
        <f aca="false">IF(N216="","",N216*J216)</f>
        <v>1590</v>
      </c>
      <c r="P216" s="14" t="n">
        <f aca="false">IF(N216="","",N216-O216)</f>
        <v>6360</v>
      </c>
      <c r="Q216" s="15" t="n">
        <f aca="false">IF(B216="","",DATE(YEAR(B216),MONTH(B216),1))</f>
        <v>45658</v>
      </c>
      <c r="R216" s="16" t="str">
        <f aca="false">IF(A216="","Invalid - Exclude",IF(COUNTIF($A$2:A216,A216)&gt;1,"Duplicate - Exclude",IF(OR(B216="",H216="",I216=""),"Invalid - Exclude","Valid")))</f>
        <v>Valid</v>
      </c>
      <c r="S216" s="16" t="str">
        <f aca="false">IF(R216="Valid","",IF(R216="Duplicate - Exclude","Repeat of an earlier Order ID",IF(B216="","Date missing or unreadable",IF(H216="","Quantity missing or unreadable",IF(I216="","Unit price missing or unreadable","Order ID missing")))))</f>
        <v/>
      </c>
    </row>
    <row r="217" customFormat="false" ht="15" hidden="false" customHeight="true" outlineLevel="0" collapsed="false">
      <c r="A217" s="17" t="str">
        <f aca="false">UPPER(TRIM(Raw_Data!A217))</f>
        <v>ORD-1210</v>
      </c>
      <c r="B217" s="18" t="n">
        <f aca="false">IFERROR(IF(ISNUMBER(Raw_Data!B217),Raw_Data!B217,IF(ISNUMBER(FIND("/",Raw_Data!B217)),DATE(VALUE(RIGHT(TRIM(Raw_Data!B217),4)),VALUE(MID(TRIM(Raw_Data!B217),4,2)),VALUE(LEFT(TRIM(Raw_Data!B217),2))),IF(MID(TRIM(Raw_Data!B217),5,1)="-",DATE(VALUE(LEFT(TRIM(Raw_Data!B217),4)),VALUE(MID(TRIM(Raw_Data!B217),6,2)),VALUE(RIGHT(TRIM(Raw_Data!B217),2))),DATE(VALUE(RIGHT(TRIM(Raw_Data!B217),4)),MATCH(MID(TRIM(Raw_Data!B217),4,3),{"Jan","Feb","Mar","Apr","May","Jun","Jul","Aug","Sep","Oct","Nov","Dec"},0),VALUE(LEFT(TRIM(Raw_Data!B217),2)))))),"")</f>
        <v>45875</v>
      </c>
      <c r="C217" s="17" t="str">
        <f aca="false">IF(TRIM(Raw_Data!C217)="","Unknown",PROPER(TRIM(Raw_Data!C217)))</f>
        <v>Saad Qureshi</v>
      </c>
      <c r="D217" s="17" t="str">
        <f aca="false">IFERROR(INDEX({"Punjab","Sindh","KPK","Balochistan"},MATCH(UPPER(LEFT(TRIM(Raw_Data!D217),1)),{"P","S","K","B"},0)),IFERROR(INDEX(Data_Dictionary!$G$4:$G$16,MATCH(E217,Data_Dictionary!$F$4:$F$16,0)),"Unassigned"))</f>
        <v>Punjab</v>
      </c>
      <c r="E217" s="17" t="str">
        <f aca="false">IF(TRIM(Raw_Data!E217)="","Unknown",PROPER(TRIM(Raw_Data!E217)))</f>
        <v>Gujranwala</v>
      </c>
      <c r="F217" s="17" t="str">
        <f aca="false">IFERROR(INDEX({"Electronics","Home &amp; Kitchen","Clothing","Groceries","Beauty"},MATCH(UPPER(LEFT(TRIM(Raw_Data!F217),3)),{"ELE","HOM","CLO","GRO","BEA"},0)),"Uncategorised")</f>
        <v>Clothing</v>
      </c>
      <c r="G217" s="17" t="str">
        <f aca="false">IF(TRIM(Raw_Data!G217)="","Unknown",PROPER(TRIM(Raw_Data!G217)))</f>
        <v>Lawn Suit 3 Piece</v>
      </c>
      <c r="H217" s="19" t="n">
        <f aca="false">IFERROR(ABS(VALUE(TRIM(Raw_Data!H217))),"")</f>
        <v>1</v>
      </c>
      <c r="I217" s="20" t="n">
        <f aca="false">IFERROR(VALUE(TRIM(SUBSTITUTE(SUBSTITUTE(SUBSTITUTE(SUBSTITUTE(TRIM(Raw_Data!I217),"PKR",""),"Rs.",""),"Rs",""),",",""))),"")</f>
        <v>7000</v>
      </c>
      <c r="J217" s="21" t="n">
        <f aca="false">IFERROR(IF(TRIM(Raw_Data!J217)="",0,IF(VALUE(TRIM(Raw_Data!J217))&gt;1,VALUE(TRIM(Raw_Data!J217))/100,VALUE(TRIM(Raw_Data!J217)))),0)</f>
        <v>0.15</v>
      </c>
      <c r="K217" s="17" t="str">
        <f aca="false">IF(TRIM(Raw_Data!K217)="","Unassigned",PROPER(TRIM(Raw_Data!K217)))</f>
        <v>Waqar Ahmed</v>
      </c>
      <c r="L217" s="17" t="str">
        <f aca="false">IFERROR(INDEX({"Credit Card","Credit Card","Debit Card","Debit Card","Cash","PayPal"},MATCH(UPPER(LEFT(TRIM(Raw_Data!L217),2)),{"CR","CC","DE","DC","CA","PA"},0)),"Other")</f>
        <v>PayPal</v>
      </c>
      <c r="M217" s="17" t="str">
        <f aca="false">IFERROR(INDEX({"Completed","Returned","Cancelled","Pending"},MATCH(UPPER(LEFT(TRIM(Raw_Data!M217),3)),{"COM","RET","CAN","PEN"},0)),"Unknown")</f>
        <v>Completed</v>
      </c>
      <c r="N217" s="20" t="n">
        <f aca="false">IF(OR(H217="",I217=""),"",H217*I217)</f>
        <v>7000</v>
      </c>
      <c r="O217" s="20" t="n">
        <f aca="false">IF(N217="","",N217*J217)</f>
        <v>1050</v>
      </c>
      <c r="P217" s="20" t="n">
        <f aca="false">IF(N217="","",N217-O217)</f>
        <v>5950</v>
      </c>
      <c r="Q217" s="22" t="n">
        <f aca="false">IF(B217="","",DATE(YEAR(B217),MONTH(B217),1))</f>
        <v>45870</v>
      </c>
      <c r="R217" s="17" t="str">
        <f aca="false">IF(A217="","Invalid - Exclude",IF(COUNTIF($A$2:A217,A217)&gt;1,"Duplicate - Exclude",IF(OR(B217="",H217="",I217=""),"Invalid - Exclude","Valid")))</f>
        <v>Valid</v>
      </c>
      <c r="S217" s="17" t="str">
        <f aca="false">IF(R217="Valid","",IF(R217="Duplicate - Exclude","Repeat of an earlier Order ID",IF(B217="","Date missing or unreadable",IF(H217="","Quantity missing or unreadable",IF(I217="","Unit price missing or unreadable","Order ID missing")))))</f>
        <v/>
      </c>
    </row>
    <row r="218" customFormat="false" ht="15" hidden="false" customHeight="true" outlineLevel="0" collapsed="false">
      <c r="A218" s="9" t="str">
        <f aca="false">UPPER(TRIM(Raw_Data!A218))</f>
        <v>ORD-1211</v>
      </c>
      <c r="B218" s="10" t="n">
        <f aca="false">IFERROR(IF(ISNUMBER(Raw_Data!B218),Raw_Data!B218,IF(ISNUMBER(FIND("/",Raw_Data!B218)),DATE(VALUE(RIGHT(TRIM(Raw_Data!B218),4)),VALUE(MID(TRIM(Raw_Data!B218),4,2)),VALUE(LEFT(TRIM(Raw_Data!B218),2))),IF(MID(TRIM(Raw_Data!B218),5,1)="-",DATE(VALUE(LEFT(TRIM(Raw_Data!B218),4)),VALUE(MID(TRIM(Raw_Data!B218),6,2)),VALUE(RIGHT(TRIM(Raw_Data!B218),2))),DATE(VALUE(RIGHT(TRIM(Raw_Data!B218),4)),MATCH(MID(TRIM(Raw_Data!B218),4,3),{"Jan","Feb","Mar","Apr","May","Jun","Jul","Aug","Sep","Oct","Nov","Dec"},0),VALUE(LEFT(TRIM(Raw_Data!B218),2)))))),"")</f>
        <v>45947</v>
      </c>
      <c r="C218" s="9" t="str">
        <f aca="false">IF(TRIM(Raw_Data!C218)="","Unknown",PROPER(TRIM(Raw_Data!C218)))</f>
        <v>Kashif Raza</v>
      </c>
      <c r="D218" s="9" t="str">
        <f aca="false">IFERROR(INDEX({"Punjab","Sindh","KPK","Balochistan"},MATCH(UPPER(LEFT(TRIM(Raw_Data!D218),1)),{"P","S","K","B"},0)),IFERROR(INDEX(Data_Dictionary!$G$4:$G$16,MATCH(E218,Data_Dictionary!$F$4:$F$16,0)),"Unassigned"))</f>
        <v>KPK</v>
      </c>
      <c r="E218" s="9" t="str">
        <f aca="false">IF(TRIM(Raw_Data!E218)="","Unknown",PROPER(TRIM(Raw_Data!E218)))</f>
        <v>Peshawar</v>
      </c>
      <c r="F218" s="9" t="str">
        <f aca="false">IFERROR(INDEX({"Electronics","Home &amp; Kitchen","Clothing","Groceries","Beauty"},MATCH(UPPER(LEFT(TRIM(Raw_Data!F218),3)),{"ELE","HOM","CLO","GRO","BEA"},0)),"Uncategorised")</f>
        <v>Clothing</v>
      </c>
      <c r="G218" s="9" t="str">
        <f aca="false">IF(TRIM(Raw_Data!G218)="","Unknown",PROPER(TRIM(Raw_Data!G218)))</f>
        <v>Mens Kurta</v>
      </c>
      <c r="H218" s="11" t="n">
        <f aca="false">IFERROR(ABS(VALUE(TRIM(Raw_Data!H218))),"")</f>
        <v>1</v>
      </c>
      <c r="I218" s="12" t="str">
        <f aca="false">IFERROR(VALUE(TRIM(SUBSTITUTE(SUBSTITUTE(SUBSTITUTE(SUBSTITUTE(TRIM(Raw_Data!I218),"PKR",""),"Rs.",""),"Rs",""),",",""))),"")</f>
        <v/>
      </c>
      <c r="J218" s="13" t="n">
        <f aca="false">IFERROR(IF(TRIM(Raw_Data!J218)="",0,IF(VALUE(TRIM(Raw_Data!J218))&gt;1,VALUE(TRIM(Raw_Data!J218))/100,VALUE(TRIM(Raw_Data!J218)))),0)</f>
        <v>0.1</v>
      </c>
      <c r="K218" s="9" t="str">
        <f aca="false">IF(TRIM(Raw_Data!K218)="","Unassigned",PROPER(TRIM(Raw_Data!K218)))</f>
        <v>Unassigned</v>
      </c>
      <c r="L218" s="9" t="str">
        <f aca="false">IFERROR(INDEX({"Credit Card","Credit Card","Debit Card","Debit Card","Cash","PayPal"},MATCH(UPPER(LEFT(TRIM(Raw_Data!L218),2)),{"CR","CC","DE","DC","CA","PA"},0)),"Other")</f>
        <v>Debit Card</v>
      </c>
      <c r="M218" s="9" t="str">
        <f aca="false">IFERROR(INDEX({"Completed","Returned","Cancelled","Pending"},MATCH(UPPER(LEFT(TRIM(Raw_Data!M218),3)),{"COM","RET","CAN","PEN"},0)),"Unknown")</f>
        <v>Completed</v>
      </c>
      <c r="N218" s="14" t="str">
        <f aca="false">IF(OR(H218="",I218=""),"",H218*I218)</f>
        <v/>
      </c>
      <c r="O218" s="14" t="str">
        <f aca="false">IF(N218="","",N218*J218)</f>
        <v/>
      </c>
      <c r="P218" s="14" t="str">
        <f aca="false">IF(N218="","",N218-O218)</f>
        <v/>
      </c>
      <c r="Q218" s="15" t="n">
        <f aca="false">IF(B218="","",DATE(YEAR(B218),MONTH(B218),1))</f>
        <v>45931</v>
      </c>
      <c r="R218" s="16" t="str">
        <f aca="false">IF(A218="","Invalid - Exclude",IF(COUNTIF($A$2:A218,A218)&gt;1,"Duplicate - Exclude",IF(OR(B218="",H218="",I218=""),"Invalid - Exclude","Valid")))</f>
        <v>Invalid - Exclude</v>
      </c>
      <c r="S218" s="16" t="str">
        <f aca="false">IF(R218="Valid","",IF(R218="Duplicate - Exclude","Repeat of an earlier Order ID",IF(B218="","Date missing or unreadable",IF(H218="","Quantity missing or unreadable",IF(I218="","Unit price missing or unreadable","Order ID missing")))))</f>
        <v>Unit price missing or unreadable</v>
      </c>
    </row>
    <row r="219" customFormat="false" ht="15" hidden="false" customHeight="true" outlineLevel="0" collapsed="false">
      <c r="A219" s="17" t="str">
        <f aca="false">UPPER(TRIM(Raw_Data!A219))</f>
        <v>ORD-1212</v>
      </c>
      <c r="B219" s="18" t="n">
        <f aca="false">IFERROR(IF(ISNUMBER(Raw_Data!B219),Raw_Data!B219,IF(ISNUMBER(FIND("/",Raw_Data!B219)),DATE(VALUE(RIGHT(TRIM(Raw_Data!B219),4)),VALUE(MID(TRIM(Raw_Data!B219),4,2)),VALUE(LEFT(TRIM(Raw_Data!B219),2))),IF(MID(TRIM(Raw_Data!B219),5,1)="-",DATE(VALUE(LEFT(TRIM(Raw_Data!B219),4)),VALUE(MID(TRIM(Raw_Data!B219),6,2)),VALUE(RIGHT(TRIM(Raw_Data!B219),2))),DATE(VALUE(RIGHT(TRIM(Raw_Data!B219),4)),MATCH(MID(TRIM(Raw_Data!B219),4,3),{"Jan","Feb","Mar","Apr","May","Jun","Jul","Aug","Sep","Oct","Nov","Dec"},0),VALUE(LEFT(TRIM(Raw_Data!B219),2)))))),"")</f>
        <v>46013</v>
      </c>
      <c r="C219" s="17" t="str">
        <f aca="false">IF(TRIM(Raw_Data!C219)="","Unknown",PROPER(TRIM(Raw_Data!C219)))</f>
        <v>Ayesha Sheikh</v>
      </c>
      <c r="D219" s="17" t="str">
        <f aca="false">IFERROR(INDEX({"Punjab","Sindh","KPK","Balochistan"},MATCH(UPPER(LEFT(TRIM(Raw_Data!D219),1)),{"P","S","K","B"},0)),IFERROR(INDEX(Data_Dictionary!$G$4:$G$16,MATCH(E219,Data_Dictionary!$F$4:$F$16,0)),"Unassigned"))</f>
        <v>Punjab</v>
      </c>
      <c r="E219" s="17" t="str">
        <f aca="false">IF(TRIM(Raw_Data!E219)="","Unknown",PROPER(TRIM(Raw_Data!E219)))</f>
        <v>Faisalabad</v>
      </c>
      <c r="F219" s="17" t="str">
        <f aca="false">IFERROR(INDEX({"Electronics","Home &amp; Kitchen","Clothing","Groceries","Beauty"},MATCH(UPPER(LEFT(TRIM(Raw_Data!F219),3)),{"ELE","HOM","CLO","GRO","BEA"},0)),"Uncategorised")</f>
        <v>Clothing</v>
      </c>
      <c r="G219" s="17" t="str">
        <f aca="false">IF(TRIM(Raw_Data!G219)="","Unknown",PROPER(TRIM(Raw_Data!G219)))</f>
        <v>Mens Kurta</v>
      </c>
      <c r="H219" s="19" t="n">
        <f aca="false">IFERROR(ABS(VALUE(TRIM(Raw_Data!H219))),"")</f>
        <v>1</v>
      </c>
      <c r="I219" s="20" t="n">
        <f aca="false">IFERROR(VALUE(TRIM(SUBSTITUTE(SUBSTITUTE(SUBSTITUTE(SUBSTITUTE(TRIM(Raw_Data!I219),"PKR",""),"Rs.",""),"Rs",""),",",""))),"")</f>
        <v>3350</v>
      </c>
      <c r="J219" s="21" t="n">
        <f aca="false">IFERROR(IF(TRIM(Raw_Data!J219)="",0,IF(VALUE(TRIM(Raw_Data!J219))&gt;1,VALUE(TRIM(Raw_Data!J219))/100,VALUE(TRIM(Raw_Data!J219)))),0)</f>
        <v>0</v>
      </c>
      <c r="K219" s="17" t="str">
        <f aca="false">IF(TRIM(Raw_Data!K219)="","Unassigned",PROPER(TRIM(Raw_Data!K219)))</f>
        <v>Waqar Ahmed</v>
      </c>
      <c r="L219" s="17" t="str">
        <f aca="false">IFERROR(INDEX({"Credit Card","Credit Card","Debit Card","Debit Card","Cash","PayPal"},MATCH(UPPER(LEFT(TRIM(Raw_Data!L219),2)),{"CR","CC","DE","DC","CA","PA"},0)),"Other")</f>
        <v>Cash</v>
      </c>
      <c r="M219" s="17" t="str">
        <f aca="false">IFERROR(INDEX({"Completed","Returned","Cancelled","Pending"},MATCH(UPPER(LEFT(TRIM(Raw_Data!M219),3)),{"COM","RET","CAN","PEN"},0)),"Unknown")</f>
        <v>Completed</v>
      </c>
      <c r="N219" s="20" t="n">
        <f aca="false">IF(OR(H219="",I219=""),"",H219*I219)</f>
        <v>3350</v>
      </c>
      <c r="O219" s="20" t="n">
        <f aca="false">IF(N219="","",N219*J219)</f>
        <v>0</v>
      </c>
      <c r="P219" s="20" t="n">
        <f aca="false">IF(N219="","",N219-O219)</f>
        <v>3350</v>
      </c>
      <c r="Q219" s="22" t="n">
        <f aca="false">IF(B219="","",DATE(YEAR(B219),MONTH(B219),1))</f>
        <v>45992</v>
      </c>
      <c r="R219" s="17" t="str">
        <f aca="false">IF(A219="","Invalid - Exclude",IF(COUNTIF($A$2:A219,A219)&gt;1,"Duplicate - Exclude",IF(OR(B219="",H219="",I219=""),"Invalid - Exclude","Valid")))</f>
        <v>Valid</v>
      </c>
      <c r="S219" s="17" t="str">
        <f aca="false">IF(R219="Valid","",IF(R219="Duplicate - Exclude","Repeat of an earlier Order ID",IF(B219="","Date missing or unreadable",IF(H219="","Quantity missing or unreadable",IF(I219="","Unit price missing or unreadable","Order ID missing")))))</f>
        <v/>
      </c>
    </row>
    <row r="220" customFormat="false" ht="15" hidden="false" customHeight="true" outlineLevel="0" collapsed="false">
      <c r="A220" s="9" t="str">
        <f aca="false">UPPER(TRIM(Raw_Data!A220))</f>
        <v>ORD-1213</v>
      </c>
      <c r="B220" s="10" t="n">
        <f aca="false">IFERROR(IF(ISNUMBER(Raw_Data!B220),Raw_Data!B220,IF(ISNUMBER(FIND("/",Raw_Data!B220)),DATE(VALUE(RIGHT(TRIM(Raw_Data!B220),4)),VALUE(MID(TRIM(Raw_Data!B220),4,2)),VALUE(LEFT(TRIM(Raw_Data!B220),2))),IF(MID(TRIM(Raw_Data!B220),5,1)="-",DATE(VALUE(LEFT(TRIM(Raw_Data!B220),4)),VALUE(MID(TRIM(Raw_Data!B220),6,2)),VALUE(RIGHT(TRIM(Raw_Data!B220),2))),DATE(VALUE(RIGHT(TRIM(Raw_Data!B220),4)),MATCH(MID(TRIM(Raw_Data!B220),4,3),{"Jan","Feb","Mar","Apr","May","Jun","Jul","Aug","Sep","Oct","Nov","Dec"},0),VALUE(LEFT(TRIM(Raw_Data!B220),2)))))),"")</f>
        <v>45904</v>
      </c>
      <c r="C220" s="9" t="str">
        <f aca="false">IF(TRIM(Raw_Data!C220)="","Unknown",PROPER(TRIM(Raw_Data!C220)))</f>
        <v>Hassan Qureshi</v>
      </c>
      <c r="D220" s="9" t="str">
        <f aca="false">IFERROR(INDEX({"Punjab","Sindh","KPK","Balochistan"},MATCH(UPPER(LEFT(TRIM(Raw_Data!D220),1)),{"P","S","K","B"},0)),IFERROR(INDEX(Data_Dictionary!$G$4:$G$16,MATCH(E220,Data_Dictionary!$F$4:$F$16,0)),"Unassigned"))</f>
        <v>KPK</v>
      </c>
      <c r="E220" s="9" t="str">
        <f aca="false">IF(TRIM(Raw_Data!E220)="","Unknown",PROPER(TRIM(Raw_Data!E220)))</f>
        <v>Peshawar</v>
      </c>
      <c r="F220" s="9" t="str">
        <f aca="false">IFERROR(INDEX({"Electronics","Home &amp; Kitchen","Clothing","Groceries","Beauty"},MATCH(UPPER(LEFT(TRIM(Raw_Data!F220),3)),{"ELE","HOM","CLO","GRO","BEA"},0)),"Uncategorised")</f>
        <v>Beauty</v>
      </c>
      <c r="G220" s="9" t="str">
        <f aca="false">IF(TRIM(Raw_Data!G220)="","Unknown",PROPER(TRIM(Raw_Data!G220)))</f>
        <v>Face Wash</v>
      </c>
      <c r="H220" s="11" t="n">
        <f aca="false">IFERROR(ABS(VALUE(TRIM(Raw_Data!H220))),"")</f>
        <v>5</v>
      </c>
      <c r="I220" s="12" t="n">
        <f aca="false">IFERROR(VALUE(TRIM(SUBSTITUTE(SUBSTITUTE(SUBSTITUTE(SUBSTITUTE(TRIM(Raw_Data!I220),"PKR",""),"Rs.",""),"Rs",""),",",""))),"")</f>
        <v>850</v>
      </c>
      <c r="J220" s="13" t="n">
        <f aca="false">IFERROR(IF(TRIM(Raw_Data!J220)="",0,IF(VALUE(TRIM(Raw_Data!J220))&gt;1,VALUE(TRIM(Raw_Data!J220))/100,VALUE(TRIM(Raw_Data!J220)))),0)</f>
        <v>0.1</v>
      </c>
      <c r="K220" s="9" t="str">
        <f aca="false">IF(TRIM(Raw_Data!K220)="","Unassigned",PROPER(TRIM(Raw_Data!K220)))</f>
        <v>Waqar Ahmed</v>
      </c>
      <c r="L220" s="9" t="str">
        <f aca="false">IFERROR(INDEX({"Credit Card","Credit Card","Debit Card","Debit Card","Cash","PayPal"},MATCH(UPPER(LEFT(TRIM(Raw_Data!L220),2)),{"CR","CC","DE","DC","CA","PA"},0)),"Other")</f>
        <v>Debit Card</v>
      </c>
      <c r="M220" s="9" t="str">
        <f aca="false">IFERROR(INDEX({"Completed","Returned","Cancelled","Pending"},MATCH(UPPER(LEFT(TRIM(Raw_Data!M220),3)),{"COM","RET","CAN","PEN"},0)),"Unknown")</f>
        <v>Completed</v>
      </c>
      <c r="N220" s="14" t="n">
        <f aca="false">IF(OR(H220="",I220=""),"",H220*I220)</f>
        <v>4250</v>
      </c>
      <c r="O220" s="14" t="n">
        <f aca="false">IF(N220="","",N220*J220)</f>
        <v>425</v>
      </c>
      <c r="P220" s="14" t="n">
        <f aca="false">IF(N220="","",N220-O220)</f>
        <v>3825</v>
      </c>
      <c r="Q220" s="15" t="n">
        <f aca="false">IF(B220="","",DATE(YEAR(B220),MONTH(B220),1))</f>
        <v>45901</v>
      </c>
      <c r="R220" s="16" t="str">
        <f aca="false">IF(A220="","Invalid - Exclude",IF(COUNTIF($A$2:A220,A220)&gt;1,"Duplicate - Exclude",IF(OR(B220="",H220="",I220=""),"Invalid - Exclude","Valid")))</f>
        <v>Valid</v>
      </c>
      <c r="S220" s="16" t="str">
        <f aca="false">IF(R220="Valid","",IF(R220="Duplicate - Exclude","Repeat of an earlier Order ID",IF(B220="","Date missing or unreadable",IF(H220="","Quantity missing or unreadable",IF(I220="","Unit price missing or unreadable","Order ID missing")))))</f>
        <v/>
      </c>
    </row>
    <row r="221" customFormat="false" ht="15" hidden="false" customHeight="true" outlineLevel="0" collapsed="false">
      <c r="A221" s="17" t="str">
        <f aca="false">UPPER(TRIM(Raw_Data!A221))</f>
        <v>ORD-1214</v>
      </c>
      <c r="B221" s="18" t="n">
        <f aca="false">IFERROR(IF(ISNUMBER(Raw_Data!B221),Raw_Data!B221,IF(ISNUMBER(FIND("/",Raw_Data!B221)),DATE(VALUE(RIGHT(TRIM(Raw_Data!B221),4)),VALUE(MID(TRIM(Raw_Data!B221),4,2)),VALUE(LEFT(TRIM(Raw_Data!B221),2))),IF(MID(TRIM(Raw_Data!B221),5,1)="-",DATE(VALUE(LEFT(TRIM(Raw_Data!B221),4)),VALUE(MID(TRIM(Raw_Data!B221),6,2)),VALUE(RIGHT(TRIM(Raw_Data!B221),2))),DATE(VALUE(RIGHT(TRIM(Raw_Data!B221),4)),MATCH(MID(TRIM(Raw_Data!B221),4,3),{"Jan","Feb","Mar","Apr","May","Jun","Jul","Aug","Sep","Oct","Nov","Dec"},0),VALUE(LEFT(TRIM(Raw_Data!B221),2)))))),"")</f>
        <v>45862</v>
      </c>
      <c r="C221" s="17" t="str">
        <f aca="false">IF(TRIM(Raw_Data!C221)="","Unknown",PROPER(TRIM(Raw_Data!C221)))</f>
        <v>Sana Siddiqui</v>
      </c>
      <c r="D221" s="17" t="str">
        <f aca="false">IFERROR(INDEX({"Punjab","Sindh","KPK","Balochistan"},MATCH(UPPER(LEFT(TRIM(Raw_Data!D221),1)),{"P","S","K","B"},0)),IFERROR(INDEX(Data_Dictionary!$G$4:$G$16,MATCH(E221,Data_Dictionary!$F$4:$F$16,0)),"Unassigned"))</f>
        <v>Sindh</v>
      </c>
      <c r="E221" s="17" t="str">
        <f aca="false">IF(TRIM(Raw_Data!E221)="","Unknown",PROPER(TRIM(Raw_Data!E221)))</f>
        <v>Karachi</v>
      </c>
      <c r="F221" s="17" t="str">
        <f aca="false">IFERROR(INDEX({"Electronics","Home &amp; Kitchen","Clothing","Groceries","Beauty"},MATCH(UPPER(LEFT(TRIM(Raw_Data!F221),3)),{"ELE","HOM","CLO","GRO","BEA"},0)),"Uncategorised")</f>
        <v>Home &amp; Kitchen</v>
      </c>
      <c r="G221" s="17" t="str">
        <f aca="false">IF(TRIM(Raw_Data!G221)="","Unknown",PROPER(TRIM(Raw_Data!G221)))</f>
        <v>Rice Cooker</v>
      </c>
      <c r="H221" s="19" t="n">
        <f aca="false">IFERROR(ABS(VALUE(TRIM(Raw_Data!H221))),"")</f>
        <v>2</v>
      </c>
      <c r="I221" s="20" t="n">
        <f aca="false">IFERROR(VALUE(TRIM(SUBSTITUTE(SUBSTITUTE(SUBSTITUTE(SUBSTITUTE(TRIM(Raw_Data!I221),"PKR",""),"Rs.",""),"Rs",""),",",""))),"")</f>
        <v>7200</v>
      </c>
      <c r="J221" s="21" t="n">
        <f aca="false">IFERROR(IF(TRIM(Raw_Data!J221)="",0,IF(VALUE(TRIM(Raw_Data!J221))&gt;1,VALUE(TRIM(Raw_Data!J221))/100,VALUE(TRIM(Raw_Data!J221)))),0)</f>
        <v>0.1</v>
      </c>
      <c r="K221" s="17" t="str">
        <f aca="false">IF(TRIM(Raw_Data!K221)="","Unassigned",PROPER(TRIM(Raw_Data!K221)))</f>
        <v>Nimra Aslam</v>
      </c>
      <c r="L221" s="17" t="str">
        <f aca="false">IFERROR(INDEX({"Credit Card","Credit Card","Debit Card","Debit Card","Cash","PayPal"},MATCH(UPPER(LEFT(TRIM(Raw_Data!L221),2)),{"CR","CC","DE","DC","CA","PA"},0)),"Other")</f>
        <v>Debit Card</v>
      </c>
      <c r="M221" s="17" t="str">
        <f aca="false">IFERROR(INDEX({"Completed","Returned","Cancelled","Pending"},MATCH(UPPER(LEFT(TRIM(Raw_Data!M221),3)),{"COM","RET","CAN","PEN"},0)),"Unknown")</f>
        <v>Cancelled</v>
      </c>
      <c r="N221" s="20" t="n">
        <f aca="false">IF(OR(H221="",I221=""),"",H221*I221)</f>
        <v>14400</v>
      </c>
      <c r="O221" s="20" t="n">
        <f aca="false">IF(N221="","",N221*J221)</f>
        <v>1440</v>
      </c>
      <c r="P221" s="20" t="n">
        <f aca="false">IF(N221="","",N221-O221)</f>
        <v>12960</v>
      </c>
      <c r="Q221" s="22" t="n">
        <f aca="false">IF(B221="","",DATE(YEAR(B221),MONTH(B221),1))</f>
        <v>45839</v>
      </c>
      <c r="R221" s="17" t="str">
        <f aca="false">IF(A221="","Invalid - Exclude",IF(COUNTIF($A$2:A221,A221)&gt;1,"Duplicate - Exclude",IF(OR(B221="",H221="",I221=""),"Invalid - Exclude","Valid")))</f>
        <v>Valid</v>
      </c>
      <c r="S221" s="17" t="str">
        <f aca="false">IF(R221="Valid","",IF(R221="Duplicate - Exclude","Repeat of an earlier Order ID",IF(B221="","Date missing or unreadable",IF(H221="","Quantity missing or unreadable",IF(I221="","Unit price missing or unreadable","Order ID missing")))))</f>
        <v/>
      </c>
    </row>
    <row r="222" customFormat="false" ht="15" hidden="false" customHeight="true" outlineLevel="0" collapsed="false">
      <c r="A222" s="9" t="str">
        <f aca="false">UPPER(TRIM(Raw_Data!A222))</f>
        <v>ORD-1215</v>
      </c>
      <c r="B222" s="10" t="n">
        <f aca="false">IFERROR(IF(ISNUMBER(Raw_Data!B222),Raw_Data!B222,IF(ISNUMBER(FIND("/",Raw_Data!B222)),DATE(VALUE(RIGHT(TRIM(Raw_Data!B222),4)),VALUE(MID(TRIM(Raw_Data!B222),4,2)),VALUE(LEFT(TRIM(Raw_Data!B222),2))),IF(MID(TRIM(Raw_Data!B222),5,1)="-",DATE(VALUE(LEFT(TRIM(Raw_Data!B222),4)),VALUE(MID(TRIM(Raw_Data!B222),6,2)),VALUE(RIGHT(TRIM(Raw_Data!B222),2))),DATE(VALUE(RIGHT(TRIM(Raw_Data!B222),4)),MATCH(MID(TRIM(Raw_Data!B222),4,3),{"Jan","Feb","Mar","Apr","May","Jun","Jul","Aug","Sep","Oct","Nov","Dec"},0),VALUE(LEFT(TRIM(Raw_Data!B222),2)))))),"")</f>
        <v>45821</v>
      </c>
      <c r="C222" s="9" t="str">
        <f aca="false">IF(TRIM(Raw_Data!C222)="","Unknown",PROPER(TRIM(Raw_Data!C222)))</f>
        <v>Ahmed Hussain</v>
      </c>
      <c r="D222" s="9" t="str">
        <f aca="false">IFERROR(INDEX({"Punjab","Sindh","KPK","Balochistan"},MATCH(UPPER(LEFT(TRIM(Raw_Data!D222),1)),{"P","S","K","B"},0)),IFERROR(INDEX(Data_Dictionary!$G$4:$G$16,MATCH(E222,Data_Dictionary!$F$4:$F$16,0)),"Unassigned"))</f>
        <v>Sindh</v>
      </c>
      <c r="E222" s="9" t="str">
        <f aca="false">IF(TRIM(Raw_Data!E222)="","Unknown",PROPER(TRIM(Raw_Data!E222)))</f>
        <v>Karachi</v>
      </c>
      <c r="F222" s="9" t="str">
        <f aca="false">IFERROR(INDEX({"Electronics","Home &amp; Kitchen","Clothing","Groceries","Beauty"},MATCH(UPPER(LEFT(TRIM(Raw_Data!F222),3)),{"ELE","HOM","CLO","GRO","BEA"},0)),"Uncategorised")</f>
        <v>Clothing</v>
      </c>
      <c r="G222" s="9" t="str">
        <f aca="false">IF(TRIM(Raw_Data!G222)="","Unknown",PROPER(TRIM(Raw_Data!G222)))</f>
        <v>Lawn Suit 3 Piece</v>
      </c>
      <c r="H222" s="11" t="n">
        <f aca="false">IFERROR(ABS(VALUE(TRIM(Raw_Data!H222))),"")</f>
        <v>4</v>
      </c>
      <c r="I222" s="12" t="n">
        <f aca="false">IFERROR(VALUE(TRIM(SUBSTITUTE(SUBSTITUTE(SUBSTITUTE(SUBSTITUTE(TRIM(Raw_Data!I222),"PKR",""),"Rs.",""),"Rs",""),",",""))),"")</f>
        <v>6500</v>
      </c>
      <c r="J222" s="13" t="n">
        <f aca="false">IFERROR(IF(TRIM(Raw_Data!J222)="",0,IF(VALUE(TRIM(Raw_Data!J222))&gt;1,VALUE(TRIM(Raw_Data!J222))/100,VALUE(TRIM(Raw_Data!J222)))),0)</f>
        <v>0</v>
      </c>
      <c r="K222" s="9" t="str">
        <f aca="false">IF(TRIM(Raw_Data!K222)="","Unassigned",PROPER(TRIM(Raw_Data!K222)))</f>
        <v>Nimra Aslam</v>
      </c>
      <c r="L222" s="9" t="str">
        <f aca="false">IFERROR(INDEX({"Credit Card","Credit Card","Debit Card","Debit Card","Cash","PayPal"},MATCH(UPPER(LEFT(TRIM(Raw_Data!L222),2)),{"CR","CC","DE","DC","CA","PA"},0)),"Other")</f>
        <v>Debit Card</v>
      </c>
      <c r="M222" s="9" t="str">
        <f aca="false">IFERROR(INDEX({"Completed","Returned","Cancelled","Pending"},MATCH(UPPER(LEFT(TRIM(Raw_Data!M222),3)),{"COM","RET","CAN","PEN"},0)),"Unknown")</f>
        <v>Completed</v>
      </c>
      <c r="N222" s="14" t="n">
        <f aca="false">IF(OR(H222="",I222=""),"",H222*I222)</f>
        <v>26000</v>
      </c>
      <c r="O222" s="14" t="n">
        <f aca="false">IF(N222="","",N222*J222)</f>
        <v>0</v>
      </c>
      <c r="P222" s="14" t="n">
        <f aca="false">IF(N222="","",N222-O222)</f>
        <v>26000</v>
      </c>
      <c r="Q222" s="15" t="n">
        <f aca="false">IF(B222="","",DATE(YEAR(B222),MONTH(B222),1))</f>
        <v>45809</v>
      </c>
      <c r="R222" s="16" t="str">
        <f aca="false">IF(A222="","Invalid - Exclude",IF(COUNTIF($A$2:A222,A222)&gt;1,"Duplicate - Exclude",IF(OR(B222="",H222="",I222=""),"Invalid - Exclude","Valid")))</f>
        <v>Valid</v>
      </c>
      <c r="S222" s="16" t="str">
        <f aca="false">IF(R222="Valid","",IF(R222="Duplicate - Exclude","Repeat of an earlier Order ID",IF(B222="","Date missing or unreadable",IF(H222="","Quantity missing or unreadable",IF(I222="","Unit price missing or unreadable","Order ID missing")))))</f>
        <v/>
      </c>
    </row>
    <row r="223" customFormat="false" ht="15" hidden="false" customHeight="true" outlineLevel="0" collapsed="false">
      <c r="A223" s="17" t="str">
        <f aca="false">UPPER(TRIM(Raw_Data!A223))</f>
        <v>ORD-1216</v>
      </c>
      <c r="B223" s="18" t="n">
        <f aca="false">IFERROR(IF(ISNUMBER(Raw_Data!B223),Raw_Data!B223,IF(ISNUMBER(FIND("/",Raw_Data!B223)),DATE(VALUE(RIGHT(TRIM(Raw_Data!B223),4)),VALUE(MID(TRIM(Raw_Data!B223),4,2)),VALUE(LEFT(TRIM(Raw_Data!B223),2))),IF(MID(TRIM(Raw_Data!B223),5,1)="-",DATE(VALUE(LEFT(TRIM(Raw_Data!B223),4)),VALUE(MID(TRIM(Raw_Data!B223),6,2)),VALUE(RIGHT(TRIM(Raw_Data!B223),2))),DATE(VALUE(RIGHT(TRIM(Raw_Data!B223),4)),MATCH(MID(TRIM(Raw_Data!B223),4,3),{"Jan","Feb","Mar","Apr","May","Jun","Jul","Aug","Sep","Oct","Nov","Dec"},0),VALUE(LEFT(TRIM(Raw_Data!B223),2)))))),"")</f>
        <v>45750</v>
      </c>
      <c r="C223" s="17" t="str">
        <f aca="false">IF(TRIM(Raw_Data!C223)="","Unknown",PROPER(TRIM(Raw_Data!C223)))</f>
        <v>Hina Malik</v>
      </c>
      <c r="D223" s="17" t="str">
        <f aca="false">IFERROR(INDEX({"Punjab","Sindh","KPK","Balochistan"},MATCH(UPPER(LEFT(TRIM(Raw_Data!D223),1)),{"P","S","K","B"},0)),IFERROR(INDEX(Data_Dictionary!$G$4:$G$16,MATCH(E223,Data_Dictionary!$F$4:$F$16,0)),"Unassigned"))</f>
        <v>KPK</v>
      </c>
      <c r="E223" s="17" t="str">
        <f aca="false">IF(TRIM(Raw_Data!E223)="","Unknown",PROPER(TRIM(Raw_Data!E223)))</f>
        <v>Mardan</v>
      </c>
      <c r="F223" s="17" t="str">
        <f aca="false">IFERROR(INDEX({"Electronics","Home &amp; Kitchen","Clothing","Groceries","Beauty"},MATCH(UPPER(LEFT(TRIM(Raw_Data!F223),3)),{"ELE","HOM","CLO","GRO","BEA"},0)),"Uncategorised")</f>
        <v>Groceries</v>
      </c>
      <c r="G223" s="17" t="str">
        <f aca="false">IF(TRIM(Raw_Data!G223)="","Unknown",PROPER(TRIM(Raw_Data!G223)))</f>
        <v>Cooking Oil 5 Litre</v>
      </c>
      <c r="H223" s="19" t="n">
        <f aca="false">IFERROR(ABS(VALUE(TRIM(Raw_Data!H223))),"")</f>
        <v>6</v>
      </c>
      <c r="I223" s="20" t="n">
        <f aca="false">IFERROR(VALUE(TRIM(SUBSTITUTE(SUBSTITUTE(SUBSTITUTE(SUBSTITUTE(TRIM(Raw_Data!I223),"PKR",""),"Rs.",""),"Rs",""),",",""))),"")</f>
        <v>2200</v>
      </c>
      <c r="J223" s="21" t="n">
        <f aca="false">IFERROR(IF(TRIM(Raw_Data!J223)="",0,IF(VALUE(TRIM(Raw_Data!J223))&gt;1,VALUE(TRIM(Raw_Data!J223))/100,VALUE(TRIM(Raw_Data!J223)))),0)</f>
        <v>0</v>
      </c>
      <c r="K223" s="17" t="str">
        <f aca="false">IF(TRIM(Raw_Data!K223)="","Unassigned",PROPER(TRIM(Raw_Data!K223)))</f>
        <v>Waqar Ahmed</v>
      </c>
      <c r="L223" s="17" t="str">
        <f aca="false">IFERROR(INDEX({"Credit Card","Credit Card","Debit Card","Debit Card","Cash","PayPal"},MATCH(UPPER(LEFT(TRIM(Raw_Data!L223),2)),{"CR","CC","DE","DC","CA","PA"},0)),"Other")</f>
        <v>Credit Card</v>
      </c>
      <c r="M223" s="17" t="str">
        <f aca="false">IFERROR(INDEX({"Completed","Returned","Cancelled","Pending"},MATCH(UPPER(LEFT(TRIM(Raw_Data!M223),3)),{"COM","RET","CAN","PEN"},0)),"Unknown")</f>
        <v>Completed</v>
      </c>
      <c r="N223" s="20" t="n">
        <f aca="false">IF(OR(H223="",I223=""),"",H223*I223)</f>
        <v>13200</v>
      </c>
      <c r="O223" s="20" t="n">
        <f aca="false">IF(N223="","",N223*J223)</f>
        <v>0</v>
      </c>
      <c r="P223" s="20" t="n">
        <f aca="false">IF(N223="","",N223-O223)</f>
        <v>13200</v>
      </c>
      <c r="Q223" s="22" t="n">
        <f aca="false">IF(B223="","",DATE(YEAR(B223),MONTH(B223),1))</f>
        <v>45748</v>
      </c>
      <c r="R223" s="17" t="str">
        <f aca="false">IF(A223="","Invalid - Exclude",IF(COUNTIF($A$2:A223,A223)&gt;1,"Duplicate - Exclude",IF(OR(B223="",H223="",I223=""),"Invalid - Exclude","Valid")))</f>
        <v>Valid</v>
      </c>
      <c r="S223" s="17" t="str">
        <f aca="false">IF(R223="Valid","",IF(R223="Duplicate - Exclude","Repeat of an earlier Order ID",IF(B223="","Date missing or unreadable",IF(H223="","Quantity missing or unreadable",IF(I223="","Unit price missing or unreadable","Order ID missing")))))</f>
        <v/>
      </c>
    </row>
    <row r="224" customFormat="false" ht="15" hidden="false" customHeight="true" outlineLevel="0" collapsed="false">
      <c r="A224" s="9" t="str">
        <f aca="false">UPPER(TRIM(Raw_Data!A224))</f>
        <v>ORD-1217</v>
      </c>
      <c r="B224" s="10" t="n">
        <f aca="false">IFERROR(IF(ISNUMBER(Raw_Data!B224),Raw_Data!B224,IF(ISNUMBER(FIND("/",Raw_Data!B224)),DATE(VALUE(RIGHT(TRIM(Raw_Data!B224),4)),VALUE(MID(TRIM(Raw_Data!B224),4,2)),VALUE(LEFT(TRIM(Raw_Data!B224),2))),IF(MID(TRIM(Raw_Data!B224),5,1)="-",DATE(VALUE(LEFT(TRIM(Raw_Data!B224),4)),VALUE(MID(TRIM(Raw_Data!B224),6,2)),VALUE(RIGHT(TRIM(Raw_Data!B224),2))),DATE(VALUE(RIGHT(TRIM(Raw_Data!B224),4)),MATCH(MID(TRIM(Raw_Data!B224),4,3),{"Jan","Feb","Mar","Apr","May","Jun","Jul","Aug","Sep","Oct","Nov","Dec"},0),VALUE(LEFT(TRIM(Raw_Data!B224),2)))))),"")</f>
        <v>45750</v>
      </c>
      <c r="C224" s="9" t="str">
        <f aca="false">IF(TRIM(Raw_Data!C224)="","Unknown",PROPER(TRIM(Raw_Data!C224)))</f>
        <v>Kashif Ansari</v>
      </c>
      <c r="D224" s="9" t="str">
        <f aca="false">IFERROR(INDEX({"Punjab","Sindh","KPK","Balochistan"},MATCH(UPPER(LEFT(TRIM(Raw_Data!D224),1)),{"P","S","K","B"},0)),IFERROR(INDEX(Data_Dictionary!$G$4:$G$16,MATCH(E224,Data_Dictionary!$F$4:$F$16,0)),"Unassigned"))</f>
        <v>Sindh</v>
      </c>
      <c r="E224" s="9" t="str">
        <f aca="false">IF(TRIM(Raw_Data!E224)="","Unknown",PROPER(TRIM(Raw_Data!E224)))</f>
        <v>Karachi</v>
      </c>
      <c r="F224" s="9" t="str">
        <f aca="false">IFERROR(INDEX({"Electronics","Home &amp; Kitchen","Clothing","Groceries","Beauty"},MATCH(UPPER(LEFT(TRIM(Raw_Data!F224),3)),{"ELE","HOM","CLO","GRO","BEA"},0)),"Uncategorised")</f>
        <v>Beauty</v>
      </c>
      <c r="G224" s="9" t="str">
        <f aca="false">IF(TRIM(Raw_Data!G224)="","Unknown",PROPER(TRIM(Raw_Data!G224)))</f>
        <v>Face Wash</v>
      </c>
      <c r="H224" s="11" t="n">
        <f aca="false">IFERROR(ABS(VALUE(TRIM(Raw_Data!H224))),"")</f>
        <v>1</v>
      </c>
      <c r="I224" s="12" t="n">
        <f aca="false">IFERROR(VALUE(TRIM(SUBSTITUTE(SUBSTITUTE(SUBSTITUTE(SUBSTITUTE(TRIM(Raw_Data!I224),"PKR",""),"Rs.",""),"Rs",""),",",""))),"")</f>
        <v>850</v>
      </c>
      <c r="J224" s="13" t="n">
        <f aca="false">IFERROR(IF(TRIM(Raw_Data!J224)="",0,IF(VALUE(TRIM(Raw_Data!J224))&gt;1,VALUE(TRIM(Raw_Data!J224))/100,VALUE(TRIM(Raw_Data!J224)))),0)</f>
        <v>0</v>
      </c>
      <c r="K224" s="9" t="str">
        <f aca="false">IF(TRIM(Raw_Data!K224)="","Unassigned",PROPER(TRIM(Raw_Data!K224)))</f>
        <v>Imran Shah</v>
      </c>
      <c r="L224" s="9" t="str">
        <f aca="false">IFERROR(INDEX({"Credit Card","Credit Card","Debit Card","Debit Card","Cash","PayPal"},MATCH(UPPER(LEFT(TRIM(Raw_Data!L224),2)),{"CR","CC","DE","DC","CA","PA"},0)),"Other")</f>
        <v>Credit Card</v>
      </c>
      <c r="M224" s="9" t="str">
        <f aca="false">IFERROR(INDEX({"Completed","Returned","Cancelled","Pending"},MATCH(UPPER(LEFT(TRIM(Raw_Data!M224),3)),{"COM","RET","CAN","PEN"},0)),"Unknown")</f>
        <v>Completed</v>
      </c>
      <c r="N224" s="14" t="n">
        <f aca="false">IF(OR(H224="",I224=""),"",H224*I224)</f>
        <v>850</v>
      </c>
      <c r="O224" s="14" t="n">
        <f aca="false">IF(N224="","",N224*J224)</f>
        <v>0</v>
      </c>
      <c r="P224" s="14" t="n">
        <f aca="false">IF(N224="","",N224-O224)</f>
        <v>850</v>
      </c>
      <c r="Q224" s="15" t="n">
        <f aca="false">IF(B224="","",DATE(YEAR(B224),MONTH(B224),1))</f>
        <v>45748</v>
      </c>
      <c r="R224" s="16" t="str">
        <f aca="false">IF(A224="","Invalid - Exclude",IF(COUNTIF($A$2:A224,A224)&gt;1,"Duplicate - Exclude",IF(OR(B224="",H224="",I224=""),"Invalid - Exclude","Valid")))</f>
        <v>Valid</v>
      </c>
      <c r="S224" s="16" t="str">
        <f aca="false">IF(R224="Valid","",IF(R224="Duplicate - Exclude","Repeat of an earlier Order ID",IF(B224="","Date missing or unreadable",IF(H224="","Quantity missing or unreadable",IF(I224="","Unit price missing or unreadable","Order ID missing")))))</f>
        <v/>
      </c>
    </row>
    <row r="225" customFormat="false" ht="15" hidden="false" customHeight="true" outlineLevel="0" collapsed="false">
      <c r="A225" s="17" t="str">
        <f aca="false">UPPER(TRIM(Raw_Data!A225))</f>
        <v>ORD-1218</v>
      </c>
      <c r="B225" s="18" t="n">
        <f aca="false">IFERROR(IF(ISNUMBER(Raw_Data!B225),Raw_Data!B225,IF(ISNUMBER(FIND("/",Raw_Data!B225)),DATE(VALUE(RIGHT(TRIM(Raw_Data!B225),4)),VALUE(MID(TRIM(Raw_Data!B225),4,2)),VALUE(LEFT(TRIM(Raw_Data!B225),2))),IF(MID(TRIM(Raw_Data!B225),5,1)="-",DATE(VALUE(LEFT(TRIM(Raw_Data!B225),4)),VALUE(MID(TRIM(Raw_Data!B225),6,2)),VALUE(RIGHT(TRIM(Raw_Data!B225),2))),DATE(VALUE(RIGHT(TRIM(Raw_Data!B225),4)),MATCH(MID(TRIM(Raw_Data!B225),4,3),{"Jan","Feb","Mar","Apr","May","Jun","Jul","Aug","Sep","Oct","Nov","Dec"},0),VALUE(LEFT(TRIM(Raw_Data!B225),2)))))),"")</f>
        <v>45996</v>
      </c>
      <c r="C225" s="17" t="str">
        <f aca="false">IF(TRIM(Raw_Data!C225)="","Unknown",PROPER(TRIM(Raw_Data!C225)))</f>
        <v>Ahmed Hussain</v>
      </c>
      <c r="D225" s="17" t="str">
        <f aca="false">IFERROR(INDEX({"Punjab","Sindh","KPK","Balochistan"},MATCH(UPPER(LEFT(TRIM(Raw_Data!D225),1)),{"P","S","K","B"},0)),IFERROR(INDEX(Data_Dictionary!$G$4:$G$16,MATCH(E225,Data_Dictionary!$F$4:$F$16,0)),"Unassigned"))</f>
        <v>Punjab</v>
      </c>
      <c r="E225" s="17" t="str">
        <f aca="false">IF(TRIM(Raw_Data!E225)="","Unknown",PROPER(TRIM(Raw_Data!E225)))</f>
        <v>Lahore</v>
      </c>
      <c r="F225" s="17" t="str">
        <f aca="false">IFERROR(INDEX({"Electronics","Home &amp; Kitchen","Clothing","Groceries","Beauty"},MATCH(UPPER(LEFT(TRIM(Raw_Data!F225),3)),{"ELE","HOM","CLO","GRO","BEA"},0)),"Uncategorised")</f>
        <v>Clothing</v>
      </c>
      <c r="G225" s="17" t="str">
        <f aca="false">IF(TRIM(Raw_Data!G225)="","Unknown",PROPER(TRIM(Raw_Data!G225)))</f>
        <v>Mens Kurta</v>
      </c>
      <c r="H225" s="19" t="n">
        <f aca="false">IFERROR(ABS(VALUE(TRIM(Raw_Data!H225))),"")</f>
        <v>1</v>
      </c>
      <c r="I225" s="20" t="n">
        <f aca="false">IFERROR(VALUE(TRIM(SUBSTITUTE(SUBSTITUTE(SUBSTITUTE(SUBSTITUTE(TRIM(Raw_Data!I225),"PKR",""),"Rs.",""),"Rs",""),",",""))),"")</f>
        <v>3100</v>
      </c>
      <c r="J225" s="21" t="n">
        <f aca="false">IFERROR(IF(TRIM(Raw_Data!J225)="",0,IF(VALUE(TRIM(Raw_Data!J225))&gt;1,VALUE(TRIM(Raw_Data!J225))/100,VALUE(TRIM(Raw_Data!J225)))),0)</f>
        <v>0</v>
      </c>
      <c r="K225" s="17" t="str">
        <f aca="false">IF(TRIM(Raw_Data!K225)="","Unassigned",PROPER(TRIM(Raw_Data!K225)))</f>
        <v>Waqar Ahmed</v>
      </c>
      <c r="L225" s="17" t="str">
        <f aca="false">IFERROR(INDEX({"Credit Card","Credit Card","Debit Card","Debit Card","Cash","PayPal"},MATCH(UPPER(LEFT(TRIM(Raw_Data!L225),2)),{"CR","CC","DE","DC","CA","PA"},0)),"Other")</f>
        <v>Credit Card</v>
      </c>
      <c r="M225" s="17" t="str">
        <f aca="false">IFERROR(INDEX({"Completed","Returned","Cancelled","Pending"},MATCH(UPPER(LEFT(TRIM(Raw_Data!M225),3)),{"COM","RET","CAN","PEN"},0)),"Unknown")</f>
        <v>Completed</v>
      </c>
      <c r="N225" s="20" t="n">
        <f aca="false">IF(OR(H225="",I225=""),"",H225*I225)</f>
        <v>3100</v>
      </c>
      <c r="O225" s="20" t="n">
        <f aca="false">IF(N225="","",N225*J225)</f>
        <v>0</v>
      </c>
      <c r="P225" s="20" t="n">
        <f aca="false">IF(N225="","",N225-O225)</f>
        <v>3100</v>
      </c>
      <c r="Q225" s="22" t="n">
        <f aca="false">IF(B225="","",DATE(YEAR(B225),MONTH(B225),1))</f>
        <v>45992</v>
      </c>
      <c r="R225" s="17" t="str">
        <f aca="false">IF(A225="","Invalid - Exclude",IF(COUNTIF($A$2:A225,A225)&gt;1,"Duplicate - Exclude",IF(OR(B225="",H225="",I225=""),"Invalid - Exclude","Valid")))</f>
        <v>Valid</v>
      </c>
      <c r="S225" s="17" t="str">
        <f aca="false">IF(R225="Valid","",IF(R225="Duplicate - Exclude","Repeat of an earlier Order ID",IF(B225="","Date missing or unreadable",IF(H225="","Quantity missing or unreadable",IF(I225="","Unit price missing or unreadable","Order ID missing")))))</f>
        <v/>
      </c>
    </row>
    <row r="226" customFormat="false" ht="15" hidden="false" customHeight="true" outlineLevel="0" collapsed="false">
      <c r="A226" s="9" t="str">
        <f aca="false">UPPER(TRIM(Raw_Data!A226))</f>
        <v>ORD-1219</v>
      </c>
      <c r="B226" s="10" t="n">
        <f aca="false">IFERROR(IF(ISNUMBER(Raw_Data!B226),Raw_Data!B226,IF(ISNUMBER(FIND("/",Raw_Data!B226)),DATE(VALUE(RIGHT(TRIM(Raw_Data!B226),4)),VALUE(MID(TRIM(Raw_Data!B226),4,2)),VALUE(LEFT(TRIM(Raw_Data!B226),2))),IF(MID(TRIM(Raw_Data!B226),5,1)="-",DATE(VALUE(LEFT(TRIM(Raw_Data!B226),4)),VALUE(MID(TRIM(Raw_Data!B226),6,2)),VALUE(RIGHT(TRIM(Raw_Data!B226),2))),DATE(VALUE(RIGHT(TRIM(Raw_Data!B226),4)),MATCH(MID(TRIM(Raw_Data!B226),4,3),{"Jan","Feb","Mar","Apr","May","Jun","Jul","Aug","Sep","Oct","Nov","Dec"},0),VALUE(LEFT(TRIM(Raw_Data!B226),2)))))),"")</f>
        <v>45982</v>
      </c>
      <c r="C226" s="9" t="str">
        <f aca="false">IF(TRIM(Raw_Data!C226)="","Unknown",PROPER(TRIM(Raw_Data!C226)))</f>
        <v>Omar Raza</v>
      </c>
      <c r="D226" s="9" t="str">
        <f aca="false">IFERROR(INDEX({"Punjab","Sindh","KPK","Balochistan"},MATCH(UPPER(LEFT(TRIM(Raw_Data!D226),1)),{"P","S","K","B"},0)),IFERROR(INDEX(Data_Dictionary!$G$4:$G$16,MATCH(E226,Data_Dictionary!$F$4:$F$16,0)),"Unassigned"))</f>
        <v>Punjab</v>
      </c>
      <c r="E226" s="9" t="str">
        <f aca="false">IF(TRIM(Raw_Data!E226)="","Unknown",PROPER(TRIM(Raw_Data!E226)))</f>
        <v>Gujranwala</v>
      </c>
      <c r="F226" s="9" t="str">
        <f aca="false">IFERROR(INDEX({"Electronics","Home &amp; Kitchen","Clothing","Groceries","Beauty"},MATCH(UPPER(LEFT(TRIM(Raw_Data!F226),3)),{"ELE","HOM","CLO","GRO","BEA"},0)),"Uncategorised")</f>
        <v>Home &amp; Kitchen</v>
      </c>
      <c r="G226" s="9" t="str">
        <f aca="false">IF(TRIM(Raw_Data!G226)="","Unknown",PROPER(TRIM(Raw_Data!G226)))</f>
        <v>Rice Cooker</v>
      </c>
      <c r="H226" s="11" t="n">
        <f aca="false">IFERROR(ABS(VALUE(TRIM(Raw_Data!H226))),"")</f>
        <v>5</v>
      </c>
      <c r="I226" s="12" t="n">
        <f aca="false">IFERROR(VALUE(TRIM(SUBSTITUTE(SUBSTITUTE(SUBSTITUTE(SUBSTITUTE(TRIM(Raw_Data!I226),"PKR",""),"Rs.",""),"Rs",""),",",""))),"")</f>
        <v>7250</v>
      </c>
      <c r="J226" s="13" t="n">
        <f aca="false">IFERROR(IF(TRIM(Raw_Data!J226)="",0,IF(VALUE(TRIM(Raw_Data!J226))&gt;1,VALUE(TRIM(Raw_Data!J226))/100,VALUE(TRIM(Raw_Data!J226)))),0)</f>
        <v>0.2</v>
      </c>
      <c r="K226" s="9" t="str">
        <f aca="false">IF(TRIM(Raw_Data!K226)="","Unassigned",PROPER(TRIM(Raw_Data!K226)))</f>
        <v>Faisal Mehmood</v>
      </c>
      <c r="L226" s="9" t="str">
        <f aca="false">IFERROR(INDEX({"Credit Card","Credit Card","Debit Card","Debit Card","Cash","PayPal"},MATCH(UPPER(LEFT(TRIM(Raw_Data!L226),2)),{"CR","CC","DE","DC","CA","PA"},0)),"Other")</f>
        <v>Debit Card</v>
      </c>
      <c r="M226" s="9" t="str">
        <f aca="false">IFERROR(INDEX({"Completed","Returned","Cancelled","Pending"},MATCH(UPPER(LEFT(TRIM(Raw_Data!M226),3)),{"COM","RET","CAN","PEN"},0)),"Unknown")</f>
        <v>Completed</v>
      </c>
      <c r="N226" s="14" t="n">
        <f aca="false">IF(OR(H226="",I226=""),"",H226*I226)</f>
        <v>36250</v>
      </c>
      <c r="O226" s="14" t="n">
        <f aca="false">IF(N226="","",N226*J226)</f>
        <v>7250</v>
      </c>
      <c r="P226" s="14" t="n">
        <f aca="false">IF(N226="","",N226-O226)</f>
        <v>29000</v>
      </c>
      <c r="Q226" s="15" t="n">
        <f aca="false">IF(B226="","",DATE(YEAR(B226),MONTH(B226),1))</f>
        <v>45962</v>
      </c>
      <c r="R226" s="16" t="str">
        <f aca="false">IF(A226="","Invalid - Exclude",IF(COUNTIF($A$2:A226,A226)&gt;1,"Duplicate - Exclude",IF(OR(B226="",H226="",I226=""),"Invalid - Exclude","Valid")))</f>
        <v>Valid</v>
      </c>
      <c r="S226" s="16" t="str">
        <f aca="false">IF(R226="Valid","",IF(R226="Duplicate - Exclude","Repeat of an earlier Order ID",IF(B226="","Date missing or unreadable",IF(H226="","Quantity missing or unreadable",IF(I226="","Unit price missing or unreadable","Order ID missing")))))</f>
        <v/>
      </c>
    </row>
    <row r="227" customFormat="false" ht="15" hidden="false" customHeight="true" outlineLevel="0" collapsed="false">
      <c r="A227" s="17" t="str">
        <f aca="false">UPPER(TRIM(Raw_Data!A227))</f>
        <v>ORD-1220</v>
      </c>
      <c r="B227" s="18" t="n">
        <f aca="false">IFERROR(IF(ISNUMBER(Raw_Data!B227),Raw_Data!B227,IF(ISNUMBER(FIND("/",Raw_Data!B227)),DATE(VALUE(RIGHT(TRIM(Raw_Data!B227),4)),VALUE(MID(TRIM(Raw_Data!B227),4,2)),VALUE(LEFT(TRIM(Raw_Data!B227),2))),IF(MID(TRIM(Raw_Data!B227),5,1)="-",DATE(VALUE(LEFT(TRIM(Raw_Data!B227),4)),VALUE(MID(TRIM(Raw_Data!B227),6,2)),VALUE(RIGHT(TRIM(Raw_Data!B227),2))),DATE(VALUE(RIGHT(TRIM(Raw_Data!B227),4)),MATCH(MID(TRIM(Raw_Data!B227),4,3),{"Jan","Feb","Mar","Apr","May","Jun","Jul","Aug","Sep","Oct","Nov","Dec"},0),VALUE(LEFT(TRIM(Raw_Data!B227),2)))))),"")</f>
        <v>45996</v>
      </c>
      <c r="C227" s="17" t="str">
        <f aca="false">IF(TRIM(Raw_Data!C227)="","Unknown",PROPER(TRIM(Raw_Data!C227)))</f>
        <v>Noor Sheikh</v>
      </c>
      <c r="D227" s="17" t="str">
        <f aca="false">IFERROR(INDEX({"Punjab","Sindh","KPK","Balochistan"},MATCH(UPPER(LEFT(TRIM(Raw_Data!D227),1)),{"P","S","K","B"},0)),IFERROR(INDEX(Data_Dictionary!$G$4:$G$16,MATCH(E227,Data_Dictionary!$F$4:$F$16,0)),"Unassigned"))</f>
        <v>Punjab</v>
      </c>
      <c r="E227" s="17" t="str">
        <f aca="false">IF(TRIM(Raw_Data!E227)="","Unknown",PROPER(TRIM(Raw_Data!E227)))</f>
        <v>Multan</v>
      </c>
      <c r="F227" s="17" t="str">
        <f aca="false">IFERROR(INDEX({"Electronics","Home &amp; Kitchen","Clothing","Groceries","Beauty"},MATCH(UPPER(LEFT(TRIM(Raw_Data!F227),3)),{"ELE","HOM","CLO","GRO","BEA"},0)),"Uncategorised")</f>
        <v>Electronics</v>
      </c>
      <c r="G227" s="17" t="str">
        <f aca="false">IF(TRIM(Raw_Data!G227)="","Unknown",PROPER(TRIM(Raw_Data!G227)))</f>
        <v>Wireless Earbuds</v>
      </c>
      <c r="H227" s="19" t="n">
        <f aca="false">IFERROR(ABS(VALUE(TRIM(Raw_Data!H227))),"")</f>
        <v>4</v>
      </c>
      <c r="I227" s="20" t="n">
        <f aca="false">IFERROR(VALUE(TRIM(SUBSTITUTE(SUBSTITUTE(SUBSTITUTE(SUBSTITUTE(TRIM(Raw_Data!I227),"PKR",""),"Rs.",""),"Rs",""),",",""))),"")</f>
        <v>6450</v>
      </c>
      <c r="J227" s="21" t="n">
        <f aca="false">IFERROR(IF(TRIM(Raw_Data!J227)="",0,IF(VALUE(TRIM(Raw_Data!J227))&gt;1,VALUE(TRIM(Raw_Data!J227))/100,VALUE(TRIM(Raw_Data!J227)))),0)</f>
        <v>0.1</v>
      </c>
      <c r="K227" s="17" t="str">
        <f aca="false">IF(TRIM(Raw_Data!K227)="","Unassigned",PROPER(TRIM(Raw_Data!K227)))</f>
        <v>Imran Shah</v>
      </c>
      <c r="L227" s="17" t="str">
        <f aca="false">IFERROR(INDEX({"Credit Card","Credit Card","Debit Card","Debit Card","Cash","PayPal"},MATCH(UPPER(LEFT(TRIM(Raw_Data!L227),2)),{"CR","CC","DE","DC","CA","PA"},0)),"Other")</f>
        <v>Debit Card</v>
      </c>
      <c r="M227" s="17" t="str">
        <f aca="false">IFERROR(INDEX({"Completed","Returned","Cancelled","Pending"},MATCH(UPPER(LEFT(TRIM(Raw_Data!M227),3)),{"COM","RET","CAN","PEN"},0)),"Unknown")</f>
        <v>Completed</v>
      </c>
      <c r="N227" s="20" t="n">
        <f aca="false">IF(OR(H227="",I227=""),"",H227*I227)</f>
        <v>25800</v>
      </c>
      <c r="O227" s="20" t="n">
        <f aca="false">IF(N227="","",N227*J227)</f>
        <v>2580</v>
      </c>
      <c r="P227" s="20" t="n">
        <f aca="false">IF(N227="","",N227-O227)</f>
        <v>23220</v>
      </c>
      <c r="Q227" s="22" t="n">
        <f aca="false">IF(B227="","",DATE(YEAR(B227),MONTH(B227),1))</f>
        <v>45992</v>
      </c>
      <c r="R227" s="17" t="str">
        <f aca="false">IF(A227="","Invalid - Exclude",IF(COUNTIF($A$2:A227,A227)&gt;1,"Duplicate - Exclude",IF(OR(B227="",H227="",I227=""),"Invalid - Exclude","Valid")))</f>
        <v>Valid</v>
      </c>
      <c r="S227" s="17" t="str">
        <f aca="false">IF(R227="Valid","",IF(R227="Duplicate - Exclude","Repeat of an earlier Order ID",IF(B227="","Date missing or unreadable",IF(H227="","Quantity missing or unreadable",IF(I227="","Unit price missing or unreadable","Order ID missing")))))</f>
        <v/>
      </c>
    </row>
    <row r="228" customFormat="false" ht="15" hidden="false" customHeight="true" outlineLevel="0" collapsed="false">
      <c r="A228" s="9" t="str">
        <f aca="false">UPPER(TRIM(Raw_Data!A228))</f>
        <v>ORD-1221</v>
      </c>
      <c r="B228" s="10" t="n">
        <f aca="false">IFERROR(IF(ISNUMBER(Raw_Data!B228),Raw_Data!B228,IF(ISNUMBER(FIND("/",Raw_Data!B228)),DATE(VALUE(RIGHT(TRIM(Raw_Data!B228),4)),VALUE(MID(TRIM(Raw_Data!B228),4,2)),VALUE(LEFT(TRIM(Raw_Data!B228),2))),IF(MID(TRIM(Raw_Data!B228),5,1)="-",DATE(VALUE(LEFT(TRIM(Raw_Data!B228),4)),VALUE(MID(TRIM(Raw_Data!B228),6,2)),VALUE(RIGHT(TRIM(Raw_Data!B228),2))),DATE(VALUE(RIGHT(TRIM(Raw_Data!B228),4)),MATCH(MID(TRIM(Raw_Data!B228),4,3),{"Jan","Feb","Mar","Apr","May","Jun","Jul","Aug","Sep","Oct","Nov","Dec"},0),VALUE(LEFT(TRIM(Raw_Data!B228),2)))))),"")</f>
        <v>45950</v>
      </c>
      <c r="C228" s="9" t="str">
        <f aca="false">IF(TRIM(Raw_Data!C228)="","Unknown",PROPER(TRIM(Raw_Data!C228)))</f>
        <v>Hina Qureshi</v>
      </c>
      <c r="D228" s="9" t="str">
        <f aca="false">IFERROR(INDEX({"Punjab","Sindh","KPK","Balochistan"},MATCH(UPPER(LEFT(TRIM(Raw_Data!D228),1)),{"P","S","K","B"},0)),IFERROR(INDEX(Data_Dictionary!$G$4:$G$16,MATCH(E228,Data_Dictionary!$F$4:$F$16,0)),"Unassigned"))</f>
        <v>Punjab</v>
      </c>
      <c r="E228" s="9" t="str">
        <f aca="false">IF(TRIM(Raw_Data!E228)="","Unknown",PROPER(TRIM(Raw_Data!E228)))</f>
        <v>Multan</v>
      </c>
      <c r="F228" s="9" t="str">
        <f aca="false">IFERROR(INDEX({"Electronics","Home &amp; Kitchen","Clothing","Groceries","Beauty"},MATCH(UPPER(LEFT(TRIM(Raw_Data!F228),3)),{"ELE","HOM","CLO","GRO","BEA"},0)),"Uncategorised")</f>
        <v>Clothing</v>
      </c>
      <c r="G228" s="9" t="str">
        <f aca="false">IF(TRIM(Raw_Data!G228)="","Unknown",PROPER(TRIM(Raw_Data!G228)))</f>
        <v>Winter Jacket</v>
      </c>
      <c r="H228" s="11" t="n">
        <f aca="false">IFERROR(ABS(VALUE(TRIM(Raw_Data!H228))),"")</f>
        <v>1</v>
      </c>
      <c r="I228" s="12" t="n">
        <f aca="false">IFERROR(VALUE(TRIM(SUBSTITUTE(SUBSTITUTE(SUBSTITUTE(SUBSTITUTE(TRIM(Raw_Data!I228),"PKR",""),"Rs.",""),"Rs",""),",",""))),"")</f>
        <v>10300</v>
      </c>
      <c r="J228" s="13" t="n">
        <f aca="false">IFERROR(IF(TRIM(Raw_Data!J228)="",0,IF(VALUE(TRIM(Raw_Data!J228))&gt;1,VALUE(TRIM(Raw_Data!J228))/100,VALUE(TRIM(Raw_Data!J228)))),0)</f>
        <v>0</v>
      </c>
      <c r="K228" s="9" t="str">
        <f aca="false">IF(TRIM(Raw_Data!K228)="","Unassigned",PROPER(TRIM(Raw_Data!K228)))</f>
        <v>Zoya Tariq</v>
      </c>
      <c r="L228" s="9" t="str">
        <f aca="false">IFERROR(INDEX({"Credit Card","Credit Card","Debit Card","Debit Card","Cash","PayPal"},MATCH(UPPER(LEFT(TRIM(Raw_Data!L228),2)),{"CR","CC","DE","DC","CA","PA"},0)),"Other")</f>
        <v>Credit Card</v>
      </c>
      <c r="M228" s="9" t="str">
        <f aca="false">IFERROR(INDEX({"Completed","Returned","Cancelled","Pending"},MATCH(UPPER(LEFT(TRIM(Raw_Data!M228),3)),{"COM","RET","CAN","PEN"},0)),"Unknown")</f>
        <v>Completed</v>
      </c>
      <c r="N228" s="14" t="n">
        <f aca="false">IF(OR(H228="",I228=""),"",H228*I228)</f>
        <v>10300</v>
      </c>
      <c r="O228" s="14" t="n">
        <f aca="false">IF(N228="","",N228*J228)</f>
        <v>0</v>
      </c>
      <c r="P228" s="14" t="n">
        <f aca="false">IF(N228="","",N228-O228)</f>
        <v>10300</v>
      </c>
      <c r="Q228" s="15" t="n">
        <f aca="false">IF(B228="","",DATE(YEAR(B228),MONTH(B228),1))</f>
        <v>45931</v>
      </c>
      <c r="R228" s="16" t="str">
        <f aca="false">IF(A228="","Invalid - Exclude",IF(COUNTIF($A$2:A228,A228)&gt;1,"Duplicate - Exclude",IF(OR(B228="",H228="",I228=""),"Invalid - Exclude","Valid")))</f>
        <v>Valid</v>
      </c>
      <c r="S228" s="16" t="str">
        <f aca="false">IF(R228="Valid","",IF(R228="Duplicate - Exclude","Repeat of an earlier Order ID",IF(B228="","Date missing or unreadable",IF(H228="","Quantity missing or unreadable",IF(I228="","Unit price missing or unreadable","Order ID missing")))))</f>
        <v/>
      </c>
    </row>
    <row r="229" customFormat="false" ht="15" hidden="false" customHeight="true" outlineLevel="0" collapsed="false">
      <c r="A229" s="17" t="str">
        <f aca="false">UPPER(TRIM(Raw_Data!A229))</f>
        <v>ORD-1222</v>
      </c>
      <c r="B229" s="18" t="n">
        <f aca="false">IFERROR(IF(ISNUMBER(Raw_Data!B229),Raw_Data!B229,IF(ISNUMBER(FIND("/",Raw_Data!B229)),DATE(VALUE(RIGHT(TRIM(Raw_Data!B229),4)),VALUE(MID(TRIM(Raw_Data!B229),4,2)),VALUE(LEFT(TRIM(Raw_Data!B229),2))),IF(MID(TRIM(Raw_Data!B229),5,1)="-",DATE(VALUE(LEFT(TRIM(Raw_Data!B229),4)),VALUE(MID(TRIM(Raw_Data!B229),6,2)),VALUE(RIGHT(TRIM(Raw_Data!B229),2))),DATE(VALUE(RIGHT(TRIM(Raw_Data!B229),4)),MATCH(MID(TRIM(Raw_Data!B229),4,3),{"Jan","Feb","Mar","Apr","May","Jun","Jul","Aug","Sep","Oct","Nov","Dec"},0),VALUE(LEFT(TRIM(Raw_Data!B229),2)))))),"")</f>
        <v>45937</v>
      </c>
      <c r="C229" s="17" t="str">
        <f aca="false">IF(TRIM(Raw_Data!C229)="","Unknown",PROPER(TRIM(Raw_Data!C229)))</f>
        <v>Hina Siddiqui</v>
      </c>
      <c r="D229" s="17" t="str">
        <f aca="false">IFERROR(INDEX({"Punjab","Sindh","KPK","Balochistan"},MATCH(UPPER(LEFT(TRIM(Raw_Data!D229),1)),{"P","S","K","B"},0)),IFERROR(INDEX(Data_Dictionary!$G$4:$G$16,MATCH(E229,Data_Dictionary!$F$4:$F$16,0)),"Unassigned"))</f>
        <v>Punjab</v>
      </c>
      <c r="E229" s="17" t="str">
        <f aca="false">IF(TRIM(Raw_Data!E229)="","Unknown",PROPER(TRIM(Raw_Data!E229)))</f>
        <v>Lahore</v>
      </c>
      <c r="F229" s="17" t="str">
        <f aca="false">IFERROR(INDEX({"Electronics","Home &amp; Kitchen","Clothing","Groceries","Beauty"},MATCH(UPPER(LEFT(TRIM(Raw_Data!F229),3)),{"ELE","HOM","CLO","GRO","BEA"},0)),"Uncategorised")</f>
        <v>Clothing</v>
      </c>
      <c r="G229" s="17" t="str">
        <f aca="false">IF(TRIM(Raw_Data!G229)="","Unknown",PROPER(TRIM(Raw_Data!G229)))</f>
        <v>Winter Jacket</v>
      </c>
      <c r="H229" s="19" t="n">
        <f aca="false">IFERROR(ABS(VALUE(TRIM(Raw_Data!H229))),"")</f>
        <v>3</v>
      </c>
      <c r="I229" s="20" t="n">
        <f aca="false">IFERROR(VALUE(TRIM(SUBSTITUTE(SUBSTITUTE(SUBSTITUTE(SUBSTITUTE(TRIM(Raw_Data!I229),"PKR",""),"Rs.",""),"Rs",""),",",""))),"")</f>
        <v>9550</v>
      </c>
      <c r="J229" s="21" t="n">
        <f aca="false">IFERROR(IF(TRIM(Raw_Data!J229)="",0,IF(VALUE(TRIM(Raw_Data!J229))&gt;1,VALUE(TRIM(Raw_Data!J229))/100,VALUE(TRIM(Raw_Data!J229)))),0)</f>
        <v>0.2</v>
      </c>
      <c r="K229" s="17" t="str">
        <f aca="false">IF(TRIM(Raw_Data!K229)="","Unassigned",PROPER(TRIM(Raw_Data!K229)))</f>
        <v>Zoya Tariq</v>
      </c>
      <c r="L229" s="17" t="str">
        <f aca="false">IFERROR(INDEX({"Credit Card","Credit Card","Debit Card","Debit Card","Cash","PayPal"},MATCH(UPPER(LEFT(TRIM(Raw_Data!L229),2)),{"CR","CC","DE","DC","CA","PA"},0)),"Other")</f>
        <v>Cash</v>
      </c>
      <c r="M229" s="17" t="str">
        <f aca="false">IFERROR(INDEX({"Completed","Returned","Cancelled","Pending"},MATCH(UPPER(LEFT(TRIM(Raw_Data!M229),3)),{"COM","RET","CAN","PEN"},0)),"Unknown")</f>
        <v>Completed</v>
      </c>
      <c r="N229" s="20" t="n">
        <f aca="false">IF(OR(H229="",I229=""),"",H229*I229)</f>
        <v>28650</v>
      </c>
      <c r="O229" s="20" t="n">
        <f aca="false">IF(N229="","",N229*J229)</f>
        <v>5730</v>
      </c>
      <c r="P229" s="20" t="n">
        <f aca="false">IF(N229="","",N229-O229)</f>
        <v>22920</v>
      </c>
      <c r="Q229" s="22" t="n">
        <f aca="false">IF(B229="","",DATE(YEAR(B229),MONTH(B229),1))</f>
        <v>45931</v>
      </c>
      <c r="R229" s="17" t="str">
        <f aca="false">IF(A229="","Invalid - Exclude",IF(COUNTIF($A$2:A229,A229)&gt;1,"Duplicate - Exclude",IF(OR(B229="",H229="",I229=""),"Invalid - Exclude","Valid")))</f>
        <v>Valid</v>
      </c>
      <c r="S229" s="17" t="str">
        <f aca="false">IF(R229="Valid","",IF(R229="Duplicate - Exclude","Repeat of an earlier Order ID",IF(B229="","Date missing or unreadable",IF(H229="","Quantity missing or unreadable",IF(I229="","Unit price missing or unreadable","Order ID missing")))))</f>
        <v/>
      </c>
    </row>
    <row r="230" customFormat="false" ht="15" hidden="false" customHeight="true" outlineLevel="0" collapsed="false">
      <c r="A230" s="9" t="str">
        <f aca="false">UPPER(TRIM(Raw_Data!A230))</f>
        <v>ORD-1223</v>
      </c>
      <c r="B230" s="10" t="n">
        <f aca="false">IFERROR(IF(ISNUMBER(Raw_Data!B230),Raw_Data!B230,IF(ISNUMBER(FIND("/",Raw_Data!B230)),DATE(VALUE(RIGHT(TRIM(Raw_Data!B230),4)),VALUE(MID(TRIM(Raw_Data!B230),4,2)),VALUE(LEFT(TRIM(Raw_Data!B230),2))),IF(MID(TRIM(Raw_Data!B230),5,1)="-",DATE(VALUE(LEFT(TRIM(Raw_Data!B230),4)),VALUE(MID(TRIM(Raw_Data!B230),6,2)),VALUE(RIGHT(TRIM(Raw_Data!B230),2))),DATE(VALUE(RIGHT(TRIM(Raw_Data!B230),4)),MATCH(MID(TRIM(Raw_Data!B230),4,3),{"Jan","Feb","Mar","Apr","May","Jun","Jul","Aug","Sep","Oct","Nov","Dec"},0),VALUE(LEFT(TRIM(Raw_Data!B230),2)))))),"")</f>
        <v>45828</v>
      </c>
      <c r="C230" s="9" t="str">
        <f aca="false">IF(TRIM(Raw_Data!C230)="","Unknown",PROPER(TRIM(Raw_Data!C230)))</f>
        <v>Tariq Qureshi</v>
      </c>
      <c r="D230" s="9" t="str">
        <f aca="false">IFERROR(INDEX({"Punjab","Sindh","KPK","Balochistan"},MATCH(UPPER(LEFT(TRIM(Raw_Data!D230),1)),{"P","S","K","B"},0)),IFERROR(INDEX(Data_Dictionary!$G$4:$G$16,MATCH(E230,Data_Dictionary!$F$4:$F$16,0)),"Unassigned"))</f>
        <v>Sindh</v>
      </c>
      <c r="E230" s="9" t="str">
        <f aca="false">IF(TRIM(Raw_Data!E230)="","Unknown",PROPER(TRIM(Raw_Data!E230)))</f>
        <v>Hyderabad</v>
      </c>
      <c r="F230" s="9" t="str">
        <f aca="false">IFERROR(INDEX({"Electronics","Home &amp; Kitchen","Clothing","Groceries","Beauty"},MATCH(UPPER(LEFT(TRIM(Raw_Data!F230),3)),{"ELE","HOM","CLO","GRO","BEA"},0)),"Uncategorised")</f>
        <v>Home &amp; Kitchen</v>
      </c>
      <c r="G230" s="9" t="str">
        <f aca="false">IF(TRIM(Raw_Data!G230)="","Unknown",PROPER(TRIM(Raw_Data!G230)))</f>
        <v>Bedsheet Set</v>
      </c>
      <c r="H230" s="11" t="n">
        <f aca="false">IFERROR(ABS(VALUE(TRIM(Raw_Data!H230))),"")</f>
        <v>2</v>
      </c>
      <c r="I230" s="12" t="n">
        <f aca="false">IFERROR(VALUE(TRIM(SUBSTITUTE(SUBSTITUTE(SUBSTITUTE(SUBSTITUTE(TRIM(Raw_Data!I230),"PKR",""),"Rs.",""),"Rs",""),",",""))),"")</f>
        <v>5150</v>
      </c>
      <c r="J230" s="13" t="n">
        <f aca="false">IFERROR(IF(TRIM(Raw_Data!J230)="",0,IF(VALUE(TRIM(Raw_Data!J230))&gt;1,VALUE(TRIM(Raw_Data!J230))/100,VALUE(TRIM(Raw_Data!J230)))),0)</f>
        <v>0.2</v>
      </c>
      <c r="K230" s="9" t="str">
        <f aca="false">IF(TRIM(Raw_Data!K230)="","Unassigned",PROPER(TRIM(Raw_Data!K230)))</f>
        <v>Imran Shah</v>
      </c>
      <c r="L230" s="9" t="str">
        <f aca="false">IFERROR(INDEX({"Credit Card","Credit Card","Debit Card","Debit Card","Cash","PayPal"},MATCH(UPPER(LEFT(TRIM(Raw_Data!L230),2)),{"CR","CC","DE","DC","CA","PA"},0)),"Other")</f>
        <v>Cash</v>
      </c>
      <c r="M230" s="9" t="str">
        <f aca="false">IFERROR(INDEX({"Completed","Returned","Cancelled","Pending"},MATCH(UPPER(LEFT(TRIM(Raw_Data!M230),3)),{"COM","RET","CAN","PEN"},0)),"Unknown")</f>
        <v>Completed</v>
      </c>
      <c r="N230" s="14" t="n">
        <f aca="false">IF(OR(H230="",I230=""),"",H230*I230)</f>
        <v>10300</v>
      </c>
      <c r="O230" s="14" t="n">
        <f aca="false">IF(N230="","",N230*J230)</f>
        <v>2060</v>
      </c>
      <c r="P230" s="14" t="n">
        <f aca="false">IF(N230="","",N230-O230)</f>
        <v>8240</v>
      </c>
      <c r="Q230" s="15" t="n">
        <f aca="false">IF(B230="","",DATE(YEAR(B230),MONTH(B230),1))</f>
        <v>45809</v>
      </c>
      <c r="R230" s="16" t="str">
        <f aca="false">IF(A230="","Invalid - Exclude",IF(COUNTIF($A$2:A230,A230)&gt;1,"Duplicate - Exclude",IF(OR(B230="",H230="",I230=""),"Invalid - Exclude","Valid")))</f>
        <v>Valid</v>
      </c>
      <c r="S230" s="16" t="str">
        <f aca="false">IF(R230="Valid","",IF(R230="Duplicate - Exclude","Repeat of an earlier Order ID",IF(B230="","Date missing or unreadable",IF(H230="","Quantity missing or unreadable",IF(I230="","Unit price missing or unreadable","Order ID missing")))))</f>
        <v/>
      </c>
    </row>
    <row r="231" customFormat="false" ht="15" hidden="false" customHeight="true" outlineLevel="0" collapsed="false">
      <c r="A231" s="17" t="str">
        <f aca="false">UPPER(TRIM(Raw_Data!A231))</f>
        <v>ORD-1224</v>
      </c>
      <c r="B231" s="18" t="n">
        <f aca="false">IFERROR(IF(ISNUMBER(Raw_Data!B231),Raw_Data!B231,IF(ISNUMBER(FIND("/",Raw_Data!B231)),DATE(VALUE(RIGHT(TRIM(Raw_Data!B231),4)),VALUE(MID(TRIM(Raw_Data!B231),4,2)),VALUE(LEFT(TRIM(Raw_Data!B231),2))),IF(MID(TRIM(Raw_Data!B231),5,1)="-",DATE(VALUE(LEFT(TRIM(Raw_Data!B231),4)),VALUE(MID(TRIM(Raw_Data!B231),6,2)),VALUE(RIGHT(TRIM(Raw_Data!B231),2))),DATE(VALUE(RIGHT(TRIM(Raw_Data!B231),4)),MATCH(MID(TRIM(Raw_Data!B231),4,3),{"Jan","Feb","Mar","Apr","May","Jun","Jul","Aug","Sep","Oct","Nov","Dec"},0),VALUE(LEFT(TRIM(Raw_Data!B231),2)))))),"")</f>
        <v>45992</v>
      </c>
      <c r="C231" s="17" t="str">
        <f aca="false">IF(TRIM(Raw_Data!C231)="","Unknown",PROPER(TRIM(Raw_Data!C231)))</f>
        <v>Fatima Hussain</v>
      </c>
      <c r="D231" s="17" t="str">
        <f aca="false">IFERROR(INDEX({"Punjab","Sindh","KPK","Balochistan"},MATCH(UPPER(LEFT(TRIM(Raw_Data!D231),1)),{"P","S","K","B"},0)),IFERROR(INDEX(Data_Dictionary!$G$4:$G$16,MATCH(E231,Data_Dictionary!$F$4:$F$16,0)),"Unassigned"))</f>
        <v>Punjab</v>
      </c>
      <c r="E231" s="17" t="str">
        <f aca="false">IF(TRIM(Raw_Data!E231)="","Unknown",PROPER(TRIM(Raw_Data!E231)))</f>
        <v>Rawalpindi</v>
      </c>
      <c r="F231" s="17" t="str">
        <f aca="false">IFERROR(INDEX({"Electronics","Home &amp; Kitchen","Clothing","Groceries","Beauty"},MATCH(UPPER(LEFT(TRIM(Raw_Data!F231),3)),{"ELE","HOM","CLO","GRO","BEA"},0)),"Uncategorised")</f>
        <v>Electronics</v>
      </c>
      <c r="G231" s="17" t="str">
        <f aca="false">IF(TRIM(Raw_Data!G231)="","Unknown",PROPER(TRIM(Raw_Data!G231)))</f>
        <v>Phone Charger</v>
      </c>
      <c r="H231" s="19" t="n">
        <f aca="false">IFERROR(ABS(VALUE(TRIM(Raw_Data!H231))),"")</f>
        <v>1</v>
      </c>
      <c r="I231" s="20" t="n">
        <f aca="false">IFERROR(VALUE(TRIM(SUBSTITUTE(SUBSTITUTE(SUBSTITUTE(SUBSTITUTE(TRIM(Raw_Data!I231),"PKR",""),"Rs.",""),"Rs",""),",",""))),"")</f>
        <v>1200</v>
      </c>
      <c r="J231" s="21" t="n">
        <f aca="false">IFERROR(IF(TRIM(Raw_Data!J231)="",0,IF(VALUE(TRIM(Raw_Data!J231))&gt;1,VALUE(TRIM(Raw_Data!J231))/100,VALUE(TRIM(Raw_Data!J231)))),0)</f>
        <v>0.1</v>
      </c>
      <c r="K231" s="17" t="str">
        <f aca="false">IF(TRIM(Raw_Data!K231)="","Unassigned",PROPER(TRIM(Raw_Data!K231)))</f>
        <v>Faisal Mehmood</v>
      </c>
      <c r="L231" s="17" t="str">
        <f aca="false">IFERROR(INDEX({"Credit Card","Credit Card","Debit Card","Debit Card","Cash","PayPal"},MATCH(UPPER(LEFT(TRIM(Raw_Data!L231),2)),{"CR","CC","DE","DC","CA","PA"},0)),"Other")</f>
        <v>PayPal</v>
      </c>
      <c r="M231" s="17" t="str">
        <f aca="false">IFERROR(INDEX({"Completed","Returned","Cancelled","Pending"},MATCH(UPPER(LEFT(TRIM(Raw_Data!M231),3)),{"COM","RET","CAN","PEN"},0)),"Unknown")</f>
        <v>Completed</v>
      </c>
      <c r="N231" s="20" t="n">
        <f aca="false">IF(OR(H231="",I231=""),"",H231*I231)</f>
        <v>1200</v>
      </c>
      <c r="O231" s="20" t="n">
        <f aca="false">IF(N231="","",N231*J231)</f>
        <v>120</v>
      </c>
      <c r="P231" s="20" t="n">
        <f aca="false">IF(N231="","",N231-O231)</f>
        <v>1080</v>
      </c>
      <c r="Q231" s="22" t="n">
        <f aca="false">IF(B231="","",DATE(YEAR(B231),MONTH(B231),1))</f>
        <v>45992</v>
      </c>
      <c r="R231" s="17" t="str">
        <f aca="false">IF(A231="","Invalid - Exclude",IF(COUNTIF($A$2:A231,A231)&gt;1,"Duplicate - Exclude",IF(OR(B231="",H231="",I231=""),"Invalid - Exclude","Valid")))</f>
        <v>Valid</v>
      </c>
      <c r="S231" s="17" t="str">
        <f aca="false">IF(R231="Valid","",IF(R231="Duplicate - Exclude","Repeat of an earlier Order ID",IF(B231="","Date missing or unreadable",IF(H231="","Quantity missing or unreadable",IF(I231="","Unit price missing or unreadable","Order ID missing")))))</f>
        <v/>
      </c>
    </row>
    <row r="232" customFormat="false" ht="15" hidden="false" customHeight="true" outlineLevel="0" collapsed="false">
      <c r="A232" s="9" t="str">
        <f aca="false">UPPER(TRIM(Raw_Data!A232))</f>
        <v>ORD-1225</v>
      </c>
      <c r="B232" s="10" t="n">
        <f aca="false">IFERROR(IF(ISNUMBER(Raw_Data!B232),Raw_Data!B232,IF(ISNUMBER(FIND("/",Raw_Data!B232)),DATE(VALUE(RIGHT(TRIM(Raw_Data!B232),4)),VALUE(MID(TRIM(Raw_Data!B232),4,2)),VALUE(LEFT(TRIM(Raw_Data!B232),2))),IF(MID(TRIM(Raw_Data!B232),5,1)="-",DATE(VALUE(LEFT(TRIM(Raw_Data!B232),4)),VALUE(MID(TRIM(Raw_Data!B232),6,2)),VALUE(RIGHT(TRIM(Raw_Data!B232),2))),DATE(VALUE(RIGHT(TRIM(Raw_Data!B232),4)),MATCH(MID(TRIM(Raw_Data!B232),4,3),{"Jan","Feb","Mar","Apr","May","Jun","Jul","Aug","Sep","Oct","Nov","Dec"},0),VALUE(LEFT(TRIM(Raw_Data!B232),2)))))),"")</f>
        <v>45951</v>
      </c>
      <c r="C232" s="9" t="str">
        <f aca="false">IF(TRIM(Raw_Data!C232)="","Unknown",PROPER(TRIM(Raw_Data!C232)))</f>
        <v>Fatima Khan</v>
      </c>
      <c r="D232" s="9" t="str">
        <f aca="false">IFERROR(INDEX({"Punjab","Sindh","KPK","Balochistan"},MATCH(UPPER(LEFT(TRIM(Raw_Data!D232),1)),{"P","S","K","B"},0)),IFERROR(INDEX(Data_Dictionary!$G$4:$G$16,MATCH(E232,Data_Dictionary!$F$4:$F$16,0)),"Unassigned"))</f>
        <v>Balochistan</v>
      </c>
      <c r="E232" s="9" t="str">
        <f aca="false">IF(TRIM(Raw_Data!E232)="","Unknown",PROPER(TRIM(Raw_Data!E232)))</f>
        <v>Quetta</v>
      </c>
      <c r="F232" s="9" t="str">
        <f aca="false">IFERROR(INDEX({"Electronics","Home &amp; Kitchen","Clothing","Groceries","Beauty"},MATCH(UPPER(LEFT(TRIM(Raw_Data!F232),3)),{"ELE","HOM","CLO","GRO","BEA"},0)),"Uncategorised")</f>
        <v>Electronics</v>
      </c>
      <c r="G232" s="9" t="str">
        <f aca="false">IF(TRIM(Raw_Data!G232)="","Unknown",PROPER(TRIM(Raw_Data!G232)))</f>
        <v>Smart Television 43 Inch</v>
      </c>
      <c r="H232" s="11" t="n">
        <f aca="false">IFERROR(ABS(VALUE(TRIM(Raw_Data!H232))),"")</f>
        <v>1</v>
      </c>
      <c r="I232" s="12" t="n">
        <f aca="false">IFERROR(VALUE(TRIM(SUBSTITUTE(SUBSTITUTE(SUBSTITUTE(SUBSTITUTE(TRIM(Raw_Data!I232),"PKR",""),"Rs.",""),"Rs",""),",",""))),"")</f>
        <v>49500</v>
      </c>
      <c r="J232" s="13" t="n">
        <f aca="false">IFERROR(IF(TRIM(Raw_Data!J232)="",0,IF(VALUE(TRIM(Raw_Data!J232))&gt;1,VALUE(TRIM(Raw_Data!J232))/100,VALUE(TRIM(Raw_Data!J232)))),0)</f>
        <v>0</v>
      </c>
      <c r="K232" s="9" t="str">
        <f aca="false">IF(TRIM(Raw_Data!K232)="","Unassigned",PROPER(TRIM(Raw_Data!K232)))</f>
        <v>Sadia Noor</v>
      </c>
      <c r="L232" s="9" t="str">
        <f aca="false">IFERROR(INDEX({"Credit Card","Credit Card","Debit Card","Debit Card","Cash","PayPal"},MATCH(UPPER(LEFT(TRIM(Raw_Data!L232),2)),{"CR","CC","DE","DC","CA","PA"},0)),"Other")</f>
        <v>Credit Card</v>
      </c>
      <c r="M232" s="9" t="str">
        <f aca="false">IFERROR(INDEX({"Completed","Returned","Cancelled","Pending"},MATCH(UPPER(LEFT(TRIM(Raw_Data!M232),3)),{"COM","RET","CAN","PEN"},0)),"Unknown")</f>
        <v>Completed</v>
      </c>
      <c r="N232" s="14" t="n">
        <f aca="false">IF(OR(H232="",I232=""),"",H232*I232)</f>
        <v>49500</v>
      </c>
      <c r="O232" s="14" t="n">
        <f aca="false">IF(N232="","",N232*J232)</f>
        <v>0</v>
      </c>
      <c r="P232" s="14" t="n">
        <f aca="false">IF(N232="","",N232-O232)</f>
        <v>49500</v>
      </c>
      <c r="Q232" s="15" t="n">
        <f aca="false">IF(B232="","",DATE(YEAR(B232),MONTH(B232),1))</f>
        <v>45931</v>
      </c>
      <c r="R232" s="16" t="str">
        <f aca="false">IF(A232="","Invalid - Exclude",IF(COUNTIF($A$2:A232,A232)&gt;1,"Duplicate - Exclude",IF(OR(B232="",H232="",I232=""),"Invalid - Exclude","Valid")))</f>
        <v>Valid</v>
      </c>
      <c r="S232" s="16" t="str">
        <f aca="false">IF(R232="Valid","",IF(R232="Duplicate - Exclude","Repeat of an earlier Order ID",IF(B232="","Date missing or unreadable",IF(H232="","Quantity missing or unreadable",IF(I232="","Unit price missing or unreadable","Order ID missing")))))</f>
        <v/>
      </c>
    </row>
    <row r="233" customFormat="false" ht="15" hidden="false" customHeight="true" outlineLevel="0" collapsed="false">
      <c r="A233" s="17" t="str">
        <f aca="false">UPPER(TRIM(Raw_Data!A233))</f>
        <v>ORD-1226</v>
      </c>
      <c r="B233" s="18" t="n">
        <f aca="false">IFERROR(IF(ISNUMBER(Raw_Data!B233),Raw_Data!B233,IF(ISNUMBER(FIND("/",Raw_Data!B233)),DATE(VALUE(RIGHT(TRIM(Raw_Data!B233),4)),VALUE(MID(TRIM(Raw_Data!B233),4,2)),VALUE(LEFT(TRIM(Raw_Data!B233),2))),IF(MID(TRIM(Raw_Data!B233),5,1)="-",DATE(VALUE(LEFT(TRIM(Raw_Data!B233),4)),VALUE(MID(TRIM(Raw_Data!B233),6,2)),VALUE(RIGHT(TRIM(Raw_Data!B233),2))),DATE(VALUE(RIGHT(TRIM(Raw_Data!B233),4)),MATCH(MID(TRIM(Raw_Data!B233),4,3),{"Jan","Feb","Mar","Apr","May","Jun","Jul","Aug","Sep","Oct","Nov","Dec"},0),VALUE(LEFT(TRIM(Raw_Data!B233),2)))))),"")</f>
        <v>45889</v>
      </c>
      <c r="C233" s="17" t="str">
        <f aca="false">IF(TRIM(Raw_Data!C233)="","Unknown",PROPER(TRIM(Raw_Data!C233)))</f>
        <v>Usman Mirza</v>
      </c>
      <c r="D233" s="17" t="str">
        <f aca="false">IFERROR(INDEX({"Punjab","Sindh","KPK","Balochistan"},MATCH(UPPER(LEFT(TRIM(Raw_Data!D233),1)),{"P","S","K","B"},0)),IFERROR(INDEX(Data_Dictionary!$G$4:$G$16,MATCH(E233,Data_Dictionary!$F$4:$F$16,0)),"Unassigned"))</f>
        <v>Punjab</v>
      </c>
      <c r="E233" s="17" t="str">
        <f aca="false">IF(TRIM(Raw_Data!E233)="","Unknown",PROPER(TRIM(Raw_Data!E233)))</f>
        <v>Multan</v>
      </c>
      <c r="F233" s="17" t="str">
        <f aca="false">IFERROR(INDEX({"Electronics","Home &amp; Kitchen","Clothing","Groceries","Beauty"},MATCH(UPPER(LEFT(TRIM(Raw_Data!F233),3)),{"ELE","HOM","CLO","GRO","BEA"},0)),"Uncategorised")</f>
        <v>Clothing</v>
      </c>
      <c r="G233" s="17" t="str">
        <f aca="false">IF(TRIM(Raw_Data!G233)="","Unknown",PROPER(TRIM(Raw_Data!G233)))</f>
        <v>Running Shoes</v>
      </c>
      <c r="H233" s="19" t="n">
        <f aca="false">IFERROR(ABS(VALUE(TRIM(Raw_Data!H233))),"")</f>
        <v>5</v>
      </c>
      <c r="I233" s="20" t="n">
        <f aca="false">IFERROR(VALUE(TRIM(SUBSTITUTE(SUBSTITUTE(SUBSTITUTE(SUBSTITUTE(TRIM(Raw_Data!I233),"PKR",""),"Rs.",""),"Rs",""),",",""))),"")</f>
        <v>8000</v>
      </c>
      <c r="J233" s="21" t="n">
        <f aca="false">IFERROR(IF(TRIM(Raw_Data!J233)="",0,IF(VALUE(TRIM(Raw_Data!J233))&gt;1,VALUE(TRIM(Raw_Data!J233))/100,VALUE(TRIM(Raw_Data!J233)))),0)</f>
        <v>0.1</v>
      </c>
      <c r="K233" s="17" t="str">
        <f aca="false">IF(TRIM(Raw_Data!K233)="","Unassigned",PROPER(TRIM(Raw_Data!K233)))</f>
        <v>Waqar Ahmed</v>
      </c>
      <c r="L233" s="17" t="str">
        <f aca="false">IFERROR(INDEX({"Credit Card","Credit Card","Debit Card","Debit Card","Cash","PayPal"},MATCH(UPPER(LEFT(TRIM(Raw_Data!L233),2)),{"CR","CC","DE","DC","CA","PA"},0)),"Other")</f>
        <v>PayPal</v>
      </c>
      <c r="M233" s="17" t="str">
        <f aca="false">IFERROR(INDEX({"Completed","Returned","Cancelled","Pending"},MATCH(UPPER(LEFT(TRIM(Raw_Data!M233),3)),{"COM","RET","CAN","PEN"},0)),"Unknown")</f>
        <v>Completed</v>
      </c>
      <c r="N233" s="20" t="n">
        <f aca="false">IF(OR(H233="",I233=""),"",H233*I233)</f>
        <v>40000</v>
      </c>
      <c r="O233" s="20" t="n">
        <f aca="false">IF(N233="","",N233*J233)</f>
        <v>4000</v>
      </c>
      <c r="P233" s="20" t="n">
        <f aca="false">IF(N233="","",N233-O233)</f>
        <v>36000</v>
      </c>
      <c r="Q233" s="22" t="n">
        <f aca="false">IF(B233="","",DATE(YEAR(B233),MONTH(B233),1))</f>
        <v>45870</v>
      </c>
      <c r="R233" s="17" t="str">
        <f aca="false">IF(A233="","Invalid - Exclude",IF(COUNTIF($A$2:A233,A233)&gt;1,"Duplicate - Exclude",IF(OR(B233="",H233="",I233=""),"Invalid - Exclude","Valid")))</f>
        <v>Valid</v>
      </c>
      <c r="S233" s="17" t="str">
        <f aca="false">IF(R233="Valid","",IF(R233="Duplicate - Exclude","Repeat of an earlier Order ID",IF(B233="","Date missing or unreadable",IF(H233="","Quantity missing or unreadable",IF(I233="","Unit price missing or unreadable","Order ID missing")))))</f>
        <v/>
      </c>
    </row>
    <row r="234" customFormat="false" ht="15" hidden="false" customHeight="true" outlineLevel="0" collapsed="false">
      <c r="A234" s="9" t="str">
        <f aca="false">UPPER(TRIM(Raw_Data!A234))</f>
        <v>ORD-1227</v>
      </c>
      <c r="B234" s="10" t="n">
        <f aca="false">IFERROR(IF(ISNUMBER(Raw_Data!B234),Raw_Data!B234,IF(ISNUMBER(FIND("/",Raw_Data!B234)),DATE(VALUE(RIGHT(TRIM(Raw_Data!B234),4)),VALUE(MID(TRIM(Raw_Data!B234),4,2)),VALUE(LEFT(TRIM(Raw_Data!B234),2))),IF(MID(TRIM(Raw_Data!B234),5,1)="-",DATE(VALUE(LEFT(TRIM(Raw_Data!B234),4)),VALUE(MID(TRIM(Raw_Data!B234),6,2)),VALUE(RIGHT(TRIM(Raw_Data!B234),2))),DATE(VALUE(RIGHT(TRIM(Raw_Data!B234),4)),MATCH(MID(TRIM(Raw_Data!B234),4,3),{"Jan","Feb","Mar","Apr","May","Jun","Jul","Aug","Sep","Oct","Nov","Dec"},0),VALUE(LEFT(TRIM(Raw_Data!B234),2)))))),"")</f>
        <v>45847</v>
      </c>
      <c r="C234" s="9" t="str">
        <f aca="false">IF(TRIM(Raw_Data!C234)="","Unknown",PROPER(TRIM(Raw_Data!C234)))</f>
        <v>Unknown</v>
      </c>
      <c r="D234" s="9" t="str">
        <f aca="false">IFERROR(INDEX({"Punjab","Sindh","KPK","Balochistan"},MATCH(UPPER(LEFT(TRIM(Raw_Data!D234),1)),{"P","S","K","B"},0)),IFERROR(INDEX(Data_Dictionary!$G$4:$G$16,MATCH(E234,Data_Dictionary!$F$4:$F$16,0)),"Unassigned"))</f>
        <v>Sindh</v>
      </c>
      <c r="E234" s="9" t="str">
        <f aca="false">IF(TRIM(Raw_Data!E234)="","Unknown",PROPER(TRIM(Raw_Data!E234)))</f>
        <v>Sukkur</v>
      </c>
      <c r="F234" s="9" t="str">
        <f aca="false">IFERROR(INDEX({"Electronics","Home &amp; Kitchen","Clothing","Groceries","Beauty"},MATCH(UPPER(LEFT(TRIM(Raw_Data!F234),3)),{"ELE","HOM","CLO","GRO","BEA"},0)),"Uncategorised")</f>
        <v>Clothing</v>
      </c>
      <c r="G234" s="9" t="str">
        <f aca="false">IF(TRIM(Raw_Data!G234)="","Unknown",PROPER(TRIM(Raw_Data!G234)))</f>
        <v>Lawn Suit 3 Piece</v>
      </c>
      <c r="H234" s="11" t="n">
        <f aca="false">IFERROR(ABS(VALUE(TRIM(Raw_Data!H234))),"")</f>
        <v>2</v>
      </c>
      <c r="I234" s="12" t="n">
        <f aca="false">IFERROR(VALUE(TRIM(SUBSTITUTE(SUBSTITUTE(SUBSTITUTE(SUBSTITUTE(TRIM(Raw_Data!I234),"PKR",""),"Rs.",""),"Rs",""),",",""))),"")</f>
        <v>6500</v>
      </c>
      <c r="J234" s="13" t="n">
        <f aca="false">IFERROR(IF(TRIM(Raw_Data!J234)="",0,IF(VALUE(TRIM(Raw_Data!J234))&gt;1,VALUE(TRIM(Raw_Data!J234))/100,VALUE(TRIM(Raw_Data!J234)))),0)</f>
        <v>0.05</v>
      </c>
      <c r="K234" s="9" t="str">
        <f aca="false">IF(TRIM(Raw_Data!K234)="","Unassigned",PROPER(TRIM(Raw_Data!K234)))</f>
        <v>Zoya Tariq</v>
      </c>
      <c r="L234" s="9" t="str">
        <f aca="false">IFERROR(INDEX({"Credit Card","Credit Card","Debit Card","Debit Card","Cash","PayPal"},MATCH(UPPER(LEFT(TRIM(Raw_Data!L234),2)),{"CR","CC","DE","DC","CA","PA"},0)),"Other")</f>
        <v>Credit Card</v>
      </c>
      <c r="M234" s="9" t="str">
        <f aca="false">IFERROR(INDEX({"Completed","Returned","Cancelled","Pending"},MATCH(UPPER(LEFT(TRIM(Raw_Data!M234),3)),{"COM","RET","CAN","PEN"},0)),"Unknown")</f>
        <v>Completed</v>
      </c>
      <c r="N234" s="14" t="n">
        <f aca="false">IF(OR(H234="",I234=""),"",H234*I234)</f>
        <v>13000</v>
      </c>
      <c r="O234" s="14" t="n">
        <f aca="false">IF(N234="","",N234*J234)</f>
        <v>650</v>
      </c>
      <c r="P234" s="14" t="n">
        <f aca="false">IF(N234="","",N234-O234)</f>
        <v>12350</v>
      </c>
      <c r="Q234" s="15" t="n">
        <f aca="false">IF(B234="","",DATE(YEAR(B234),MONTH(B234),1))</f>
        <v>45839</v>
      </c>
      <c r="R234" s="16" t="str">
        <f aca="false">IF(A234="","Invalid - Exclude",IF(COUNTIF($A$2:A234,A234)&gt;1,"Duplicate - Exclude",IF(OR(B234="",H234="",I234=""),"Invalid - Exclude","Valid")))</f>
        <v>Valid</v>
      </c>
      <c r="S234" s="16" t="str">
        <f aca="false">IF(R234="Valid","",IF(R234="Duplicate - Exclude","Repeat of an earlier Order ID",IF(B234="","Date missing or unreadable",IF(H234="","Quantity missing or unreadable",IF(I234="","Unit price missing or unreadable","Order ID missing")))))</f>
        <v/>
      </c>
    </row>
    <row r="235" customFormat="false" ht="15" hidden="false" customHeight="true" outlineLevel="0" collapsed="false">
      <c r="A235" s="17" t="str">
        <f aca="false">UPPER(TRIM(Raw_Data!A235))</f>
        <v>ORD-1228</v>
      </c>
      <c r="B235" s="18" t="n">
        <f aca="false">IFERROR(IF(ISNUMBER(Raw_Data!B235),Raw_Data!B235,IF(ISNUMBER(FIND("/",Raw_Data!B235)),DATE(VALUE(RIGHT(TRIM(Raw_Data!B235),4)),VALUE(MID(TRIM(Raw_Data!B235),4,2)),VALUE(LEFT(TRIM(Raw_Data!B235),2))),IF(MID(TRIM(Raw_Data!B235),5,1)="-",DATE(VALUE(LEFT(TRIM(Raw_Data!B235),4)),VALUE(MID(TRIM(Raw_Data!B235),6,2)),VALUE(RIGHT(TRIM(Raw_Data!B235),2))),DATE(VALUE(RIGHT(TRIM(Raw_Data!B235),4)),MATCH(MID(TRIM(Raw_Data!B235),4,3),{"Jan","Feb","Mar","Apr","May","Jun","Jul","Aug","Sep","Oct","Nov","Dec"},0),VALUE(LEFT(TRIM(Raw_Data!B235),2)))))),"")</f>
        <v>45819</v>
      </c>
      <c r="C235" s="17" t="str">
        <f aca="false">IF(TRIM(Raw_Data!C235)="","Unknown",PROPER(TRIM(Raw_Data!C235)))</f>
        <v>Hina Malik</v>
      </c>
      <c r="D235" s="17" t="str">
        <f aca="false">IFERROR(INDEX({"Punjab","Sindh","KPK","Balochistan"},MATCH(UPPER(LEFT(TRIM(Raw_Data!D235),1)),{"P","S","K","B"},0)),IFERROR(INDEX(Data_Dictionary!$G$4:$G$16,MATCH(E235,Data_Dictionary!$F$4:$F$16,0)),"Unassigned"))</f>
        <v>Punjab</v>
      </c>
      <c r="E235" s="17" t="str">
        <f aca="false">IF(TRIM(Raw_Data!E235)="","Unknown",PROPER(TRIM(Raw_Data!E235)))</f>
        <v>Rawalpindi</v>
      </c>
      <c r="F235" s="17" t="str">
        <f aca="false">IFERROR(INDEX({"Electronics","Home &amp; Kitchen","Clothing","Groceries","Beauty"},MATCH(UPPER(LEFT(TRIM(Raw_Data!F235),3)),{"ELE","HOM","CLO","GRO","BEA"},0)),"Uncategorised")</f>
        <v>Clothing</v>
      </c>
      <c r="G235" s="17" t="str">
        <f aca="false">IF(TRIM(Raw_Data!G235)="","Unknown",PROPER(TRIM(Raw_Data!G235)))</f>
        <v>Mens Kurta</v>
      </c>
      <c r="H235" s="19" t="n">
        <f aca="false">IFERROR(ABS(VALUE(TRIM(Raw_Data!H235))),"")</f>
        <v>6</v>
      </c>
      <c r="I235" s="20" t="n">
        <f aca="false">IFERROR(VALUE(TRIM(SUBSTITUTE(SUBSTITUTE(SUBSTITUTE(SUBSTITUTE(TRIM(Raw_Data!I235),"PKR",""),"Rs.",""),"Rs",""),",",""))),"")</f>
        <v>3300</v>
      </c>
      <c r="J235" s="21" t="n">
        <f aca="false">IFERROR(IF(TRIM(Raw_Data!J235)="",0,IF(VALUE(TRIM(Raw_Data!J235))&gt;1,VALUE(TRIM(Raw_Data!J235))/100,VALUE(TRIM(Raw_Data!J235)))),0)</f>
        <v>0</v>
      </c>
      <c r="K235" s="17" t="str">
        <f aca="false">IF(TRIM(Raw_Data!K235)="","Unassigned",PROPER(TRIM(Raw_Data!K235)))</f>
        <v>Imran Shah</v>
      </c>
      <c r="L235" s="17" t="str">
        <f aca="false">IFERROR(INDEX({"Credit Card","Credit Card","Debit Card","Debit Card","Cash","PayPal"},MATCH(UPPER(LEFT(TRIM(Raw_Data!L235),2)),{"CR","CC","DE","DC","CA","PA"},0)),"Other")</f>
        <v>Credit Card</v>
      </c>
      <c r="M235" s="17" t="str">
        <f aca="false">IFERROR(INDEX({"Completed","Returned","Cancelled","Pending"},MATCH(UPPER(LEFT(TRIM(Raw_Data!M235),3)),{"COM","RET","CAN","PEN"},0)),"Unknown")</f>
        <v>Completed</v>
      </c>
      <c r="N235" s="20" t="n">
        <f aca="false">IF(OR(H235="",I235=""),"",H235*I235)</f>
        <v>19800</v>
      </c>
      <c r="O235" s="20" t="n">
        <f aca="false">IF(N235="","",N235*J235)</f>
        <v>0</v>
      </c>
      <c r="P235" s="20" t="n">
        <f aca="false">IF(N235="","",N235-O235)</f>
        <v>19800</v>
      </c>
      <c r="Q235" s="22" t="n">
        <f aca="false">IF(B235="","",DATE(YEAR(B235),MONTH(B235),1))</f>
        <v>45809</v>
      </c>
      <c r="R235" s="17" t="str">
        <f aca="false">IF(A235="","Invalid - Exclude",IF(COUNTIF($A$2:A235,A235)&gt;1,"Duplicate - Exclude",IF(OR(B235="",H235="",I235=""),"Invalid - Exclude","Valid")))</f>
        <v>Valid</v>
      </c>
      <c r="S235" s="17" t="str">
        <f aca="false">IF(R235="Valid","",IF(R235="Duplicate - Exclude","Repeat of an earlier Order ID",IF(B235="","Date missing or unreadable",IF(H235="","Quantity missing or unreadable",IF(I235="","Unit price missing or unreadable","Order ID missing")))))</f>
        <v/>
      </c>
    </row>
    <row r="236" customFormat="false" ht="15" hidden="false" customHeight="true" outlineLevel="0" collapsed="false">
      <c r="A236" s="9" t="str">
        <f aca="false">UPPER(TRIM(Raw_Data!A236))</f>
        <v>ORD-1229</v>
      </c>
      <c r="B236" s="10" t="n">
        <f aca="false">IFERROR(IF(ISNUMBER(Raw_Data!B236),Raw_Data!B236,IF(ISNUMBER(FIND("/",Raw_Data!B236)),DATE(VALUE(RIGHT(TRIM(Raw_Data!B236),4)),VALUE(MID(TRIM(Raw_Data!B236),4,2)),VALUE(LEFT(TRIM(Raw_Data!B236),2))),IF(MID(TRIM(Raw_Data!B236),5,1)="-",DATE(VALUE(LEFT(TRIM(Raw_Data!B236),4)),VALUE(MID(TRIM(Raw_Data!B236),6,2)),VALUE(RIGHT(TRIM(Raw_Data!B236),2))),DATE(VALUE(RIGHT(TRIM(Raw_Data!B236),4)),MATCH(MID(TRIM(Raw_Data!B236),4,3),{"Jan","Feb","Mar","Apr","May","Jun","Jul","Aug","Sep","Oct","Nov","Dec"},0),VALUE(LEFT(TRIM(Raw_Data!B236),2)))))),"")</f>
        <v>46011</v>
      </c>
      <c r="C236" s="9" t="str">
        <f aca="false">IF(TRIM(Raw_Data!C236)="","Unknown",PROPER(TRIM(Raw_Data!C236)))</f>
        <v>Ayesha Sheikh</v>
      </c>
      <c r="D236" s="9" t="str">
        <f aca="false">IFERROR(INDEX({"Punjab","Sindh","KPK","Balochistan"},MATCH(UPPER(LEFT(TRIM(Raw_Data!D236),1)),{"P","S","K","B"},0)),IFERROR(INDEX(Data_Dictionary!$G$4:$G$16,MATCH(E236,Data_Dictionary!$F$4:$F$16,0)),"Unassigned"))</f>
        <v>Balochistan</v>
      </c>
      <c r="E236" s="9" t="str">
        <f aca="false">IF(TRIM(Raw_Data!E236)="","Unknown",PROPER(TRIM(Raw_Data!E236)))</f>
        <v>Quetta</v>
      </c>
      <c r="F236" s="9" t="str">
        <f aca="false">IFERROR(INDEX({"Electronics","Home &amp; Kitchen","Clothing","Groceries","Beauty"},MATCH(UPPER(LEFT(TRIM(Raw_Data!F236),3)),{"ELE","HOM","CLO","GRO","BEA"},0)),"Uncategorised")</f>
        <v>Home &amp; Kitchen</v>
      </c>
      <c r="G236" s="9" t="str">
        <f aca="false">IF(TRIM(Raw_Data!G236)="","Unknown",PROPER(TRIM(Raw_Data!G236)))</f>
        <v>Hand Blender</v>
      </c>
      <c r="H236" s="11" t="n">
        <f aca="false">IFERROR(ABS(VALUE(TRIM(Raw_Data!H236))),"")</f>
        <v>4</v>
      </c>
      <c r="I236" s="12" t="n">
        <f aca="false">IFERROR(VALUE(TRIM(SUBSTITUTE(SUBSTITUTE(SUBSTITUTE(SUBSTITUTE(TRIM(Raw_Data!I236),"PKR",""),"Rs.",""),"Rs",""),",",""))),"")</f>
        <v>3800</v>
      </c>
      <c r="J236" s="13" t="n">
        <f aca="false">IFERROR(IF(TRIM(Raw_Data!J236)="",0,IF(VALUE(TRIM(Raw_Data!J236))&gt;1,VALUE(TRIM(Raw_Data!J236))/100,VALUE(TRIM(Raw_Data!J236)))),0)</f>
        <v>0.15</v>
      </c>
      <c r="K236" s="9" t="str">
        <f aca="false">IF(TRIM(Raw_Data!K236)="","Unassigned",PROPER(TRIM(Raw_Data!K236)))</f>
        <v>Nimra Aslam</v>
      </c>
      <c r="L236" s="9" t="str">
        <f aca="false">IFERROR(INDEX({"Credit Card","Credit Card","Debit Card","Debit Card","Cash","PayPal"},MATCH(UPPER(LEFT(TRIM(Raw_Data!L236),2)),{"CR","CC","DE","DC","CA","PA"},0)),"Other")</f>
        <v>Cash</v>
      </c>
      <c r="M236" s="9" t="str">
        <f aca="false">IFERROR(INDEX({"Completed","Returned","Cancelled","Pending"},MATCH(UPPER(LEFT(TRIM(Raw_Data!M236),3)),{"COM","RET","CAN","PEN"},0)),"Unknown")</f>
        <v>Returned</v>
      </c>
      <c r="N236" s="14" t="n">
        <f aca="false">IF(OR(H236="",I236=""),"",H236*I236)</f>
        <v>15200</v>
      </c>
      <c r="O236" s="14" t="n">
        <f aca="false">IF(N236="","",N236*J236)</f>
        <v>2280</v>
      </c>
      <c r="P236" s="14" t="n">
        <f aca="false">IF(N236="","",N236-O236)</f>
        <v>12920</v>
      </c>
      <c r="Q236" s="15" t="n">
        <f aca="false">IF(B236="","",DATE(YEAR(B236),MONTH(B236),1))</f>
        <v>45992</v>
      </c>
      <c r="R236" s="16" t="str">
        <f aca="false">IF(A236="","Invalid - Exclude",IF(COUNTIF($A$2:A236,A236)&gt;1,"Duplicate - Exclude",IF(OR(B236="",H236="",I236=""),"Invalid - Exclude","Valid")))</f>
        <v>Valid</v>
      </c>
      <c r="S236" s="16" t="str">
        <f aca="false">IF(R236="Valid","",IF(R236="Duplicate - Exclude","Repeat of an earlier Order ID",IF(B236="","Date missing or unreadable",IF(H236="","Quantity missing or unreadable",IF(I236="","Unit price missing or unreadable","Order ID missing")))))</f>
        <v/>
      </c>
    </row>
    <row r="237" customFormat="false" ht="15" hidden="false" customHeight="true" outlineLevel="0" collapsed="false">
      <c r="A237" s="17" t="str">
        <f aca="false">UPPER(TRIM(Raw_Data!A237))</f>
        <v>ORD-1139</v>
      </c>
      <c r="B237" s="18" t="n">
        <f aca="false">IFERROR(IF(ISNUMBER(Raw_Data!B237),Raw_Data!B237,IF(ISNUMBER(FIND("/",Raw_Data!B237)),DATE(VALUE(RIGHT(TRIM(Raw_Data!B237),4)),VALUE(MID(TRIM(Raw_Data!B237),4,2)),VALUE(LEFT(TRIM(Raw_Data!B237),2))),IF(MID(TRIM(Raw_Data!B237),5,1)="-",DATE(VALUE(LEFT(TRIM(Raw_Data!B237),4)),VALUE(MID(TRIM(Raw_Data!B237),6,2)),VALUE(RIGHT(TRIM(Raw_Data!B237),2))),DATE(VALUE(RIGHT(TRIM(Raw_Data!B237),4)),MATCH(MID(TRIM(Raw_Data!B237),4,3),{"Jan","Feb","Mar","Apr","May","Jun","Jul","Aug","Sep","Oct","Nov","Dec"},0),VALUE(LEFT(TRIM(Raw_Data!B237),2)))))),"")</f>
        <v>45762</v>
      </c>
      <c r="C237" s="17" t="str">
        <f aca="false">IF(TRIM(Raw_Data!C237)="","Unknown",PROPER(TRIM(Raw_Data!C237)))</f>
        <v>Tariq Khan</v>
      </c>
      <c r="D237" s="17" t="str">
        <f aca="false">IFERROR(INDEX({"Punjab","Sindh","KPK","Balochistan"},MATCH(UPPER(LEFT(TRIM(Raw_Data!D237),1)),{"P","S","K","B"},0)),IFERROR(INDEX(Data_Dictionary!$G$4:$G$16,MATCH(E237,Data_Dictionary!$F$4:$F$16,0)),"Unassigned"))</f>
        <v>Punjab</v>
      </c>
      <c r="E237" s="17" t="str">
        <f aca="false">IF(TRIM(Raw_Data!E237)="","Unknown",PROPER(TRIM(Raw_Data!E237)))</f>
        <v>Faisalabad</v>
      </c>
      <c r="F237" s="17" t="str">
        <f aca="false">IFERROR(INDEX({"Electronics","Home &amp; Kitchen","Clothing","Groceries","Beauty"},MATCH(UPPER(LEFT(TRIM(Raw_Data!F237),3)),{"ELE","HOM","CLO","GRO","BEA"},0)),"Uncategorised")</f>
        <v>Groceries</v>
      </c>
      <c r="G237" s="17" t="str">
        <f aca="false">IF(TRIM(Raw_Data!G237)="","Unknown",PROPER(TRIM(Raw_Data!G237)))</f>
        <v>Cooking Oil 5 Litre</v>
      </c>
      <c r="H237" s="19" t="n">
        <f aca="false">IFERROR(ABS(VALUE(TRIM(Raw_Data!H237))),"")</f>
        <v>4</v>
      </c>
      <c r="I237" s="20" t="n">
        <f aca="false">IFERROR(VALUE(TRIM(SUBSTITUTE(SUBSTITUTE(SUBSTITUTE(SUBSTITUTE(TRIM(Raw_Data!I237),"PKR",""),"Rs.",""),"Rs",""),",",""))),"")</f>
        <v>2250</v>
      </c>
      <c r="J237" s="21" t="n">
        <f aca="false">IFERROR(IF(TRIM(Raw_Data!J237)="",0,IF(VALUE(TRIM(Raw_Data!J237))&gt;1,VALUE(TRIM(Raw_Data!J237))/100,VALUE(TRIM(Raw_Data!J237)))),0)</f>
        <v>0</v>
      </c>
      <c r="K237" s="17" t="str">
        <f aca="false">IF(TRIM(Raw_Data!K237)="","Unassigned",PROPER(TRIM(Raw_Data!K237)))</f>
        <v>Sadia Noor</v>
      </c>
      <c r="L237" s="17" t="str">
        <f aca="false">IFERROR(INDEX({"Credit Card","Credit Card","Debit Card","Debit Card","Cash","PayPal"},MATCH(UPPER(LEFT(TRIM(Raw_Data!L237),2)),{"CR","CC","DE","DC","CA","PA"},0)),"Other")</f>
        <v>Credit Card</v>
      </c>
      <c r="M237" s="17" t="str">
        <f aca="false">IFERROR(INDEX({"Completed","Returned","Cancelled","Pending"},MATCH(UPPER(LEFT(TRIM(Raw_Data!M237),3)),{"COM","RET","CAN","PEN"},0)),"Unknown")</f>
        <v>Completed</v>
      </c>
      <c r="N237" s="20" t="n">
        <f aca="false">IF(OR(H237="",I237=""),"",H237*I237)</f>
        <v>9000</v>
      </c>
      <c r="O237" s="20" t="n">
        <f aca="false">IF(N237="","",N237*J237)</f>
        <v>0</v>
      </c>
      <c r="P237" s="20" t="n">
        <f aca="false">IF(N237="","",N237-O237)</f>
        <v>9000</v>
      </c>
      <c r="Q237" s="22" t="n">
        <f aca="false">IF(B237="","",DATE(YEAR(B237),MONTH(B237),1))</f>
        <v>45748</v>
      </c>
      <c r="R237" s="17" t="str">
        <f aca="false">IF(A237="","Invalid - Exclude",IF(COUNTIF($A$2:A237,A237)&gt;1,"Duplicate - Exclude",IF(OR(B237="",H237="",I237=""),"Invalid - Exclude","Valid")))</f>
        <v>Duplicate - Exclude</v>
      </c>
      <c r="S237" s="17" t="str">
        <f aca="false">IF(R237="Valid","",IF(R237="Duplicate - Exclude","Repeat of an earlier Order ID",IF(B237="","Date missing or unreadable",IF(H237="","Quantity missing or unreadable",IF(I237="","Unit price missing or unreadable","Order ID missing")))))</f>
        <v>Repeat of an earlier Order ID</v>
      </c>
    </row>
    <row r="238" customFormat="false" ht="15" hidden="false" customHeight="true" outlineLevel="0" collapsed="false">
      <c r="A238" s="9" t="str">
        <f aca="false">UPPER(TRIM(Raw_Data!A238))</f>
        <v>ORD-1230</v>
      </c>
      <c r="B238" s="10" t="n">
        <f aca="false">IFERROR(IF(ISNUMBER(Raw_Data!B238),Raw_Data!B238,IF(ISNUMBER(FIND("/",Raw_Data!B238)),DATE(VALUE(RIGHT(TRIM(Raw_Data!B238),4)),VALUE(MID(TRIM(Raw_Data!B238),4,2)),VALUE(LEFT(TRIM(Raw_Data!B238),2))),IF(MID(TRIM(Raw_Data!B238),5,1)="-",DATE(VALUE(LEFT(TRIM(Raw_Data!B238),4)),VALUE(MID(TRIM(Raw_Data!B238),6,2)),VALUE(RIGHT(TRIM(Raw_Data!B238),2))),DATE(VALUE(RIGHT(TRIM(Raw_Data!B238),4)),MATCH(MID(TRIM(Raw_Data!B238),4,3),{"Jan","Feb","Mar","Apr","May","Jun","Jul","Aug","Sep","Oct","Nov","Dec"},0),VALUE(LEFT(TRIM(Raw_Data!B238),2)))))),"")</f>
        <v>45771</v>
      </c>
      <c r="C238" s="9" t="str">
        <f aca="false">IF(TRIM(Raw_Data!C238)="","Unknown",PROPER(TRIM(Raw_Data!C238)))</f>
        <v>Hina Hussain</v>
      </c>
      <c r="D238" s="9" t="str">
        <f aca="false">IFERROR(INDEX({"Punjab","Sindh","KPK","Balochistan"},MATCH(UPPER(LEFT(TRIM(Raw_Data!D238),1)),{"P","S","K","B"},0)),IFERROR(INDEX(Data_Dictionary!$G$4:$G$16,MATCH(E238,Data_Dictionary!$F$4:$F$16,0)),"Unassigned"))</f>
        <v>Balochistan</v>
      </c>
      <c r="E238" s="9" t="str">
        <f aca="false">IF(TRIM(Raw_Data!E238)="","Unknown",PROPER(TRIM(Raw_Data!E238)))</f>
        <v>Quetta</v>
      </c>
      <c r="F238" s="9" t="str">
        <f aca="false">IFERROR(INDEX({"Electronics","Home &amp; Kitchen","Clothing","Groceries","Beauty"},MATCH(UPPER(LEFT(TRIM(Raw_Data!F238),3)),{"ELE","HOM","CLO","GRO","BEA"},0)),"Uncategorised")</f>
        <v>Electronics</v>
      </c>
      <c r="G238" s="9" t="str">
        <f aca="false">IF(TRIM(Raw_Data!G238)="","Unknown",PROPER(TRIM(Raw_Data!G238)))</f>
        <v>Smart Television 43 Inch</v>
      </c>
      <c r="H238" s="11" t="n">
        <f aca="false">IFERROR(ABS(VALUE(TRIM(Raw_Data!H238))),"")</f>
        <v>1</v>
      </c>
      <c r="I238" s="12" t="n">
        <f aca="false">IFERROR(VALUE(TRIM(SUBSTITUTE(SUBSTITUTE(SUBSTITUTE(SUBSTITUTE(TRIM(Raw_Data!I238),"PKR",""),"Rs.",""),"Rs",""),",",""))),"")</f>
        <v>50550</v>
      </c>
      <c r="J238" s="13" t="n">
        <f aca="false">IFERROR(IF(TRIM(Raw_Data!J238)="",0,IF(VALUE(TRIM(Raw_Data!J238))&gt;1,VALUE(TRIM(Raw_Data!J238))/100,VALUE(TRIM(Raw_Data!J238)))),0)</f>
        <v>0</v>
      </c>
      <c r="K238" s="9" t="str">
        <f aca="false">IF(TRIM(Raw_Data!K238)="","Unassigned",PROPER(TRIM(Raw_Data!K238)))</f>
        <v>Zoya Tariq</v>
      </c>
      <c r="L238" s="9" t="str">
        <f aca="false">IFERROR(INDEX({"Credit Card","Credit Card","Debit Card","Debit Card","Cash","PayPal"},MATCH(UPPER(LEFT(TRIM(Raw_Data!L238),2)),{"CR","CC","DE","DC","CA","PA"},0)),"Other")</f>
        <v>Debit Card</v>
      </c>
      <c r="M238" s="9" t="str">
        <f aca="false">IFERROR(INDEX({"Completed","Returned","Cancelled","Pending"},MATCH(UPPER(LEFT(TRIM(Raw_Data!M238),3)),{"COM","RET","CAN","PEN"},0)),"Unknown")</f>
        <v>Cancelled</v>
      </c>
      <c r="N238" s="14" t="n">
        <f aca="false">IF(OR(H238="",I238=""),"",H238*I238)</f>
        <v>50550</v>
      </c>
      <c r="O238" s="14" t="n">
        <f aca="false">IF(N238="","",N238*J238)</f>
        <v>0</v>
      </c>
      <c r="P238" s="14" t="n">
        <f aca="false">IF(N238="","",N238-O238)</f>
        <v>50550</v>
      </c>
      <c r="Q238" s="15" t="n">
        <f aca="false">IF(B238="","",DATE(YEAR(B238),MONTH(B238),1))</f>
        <v>45748</v>
      </c>
      <c r="R238" s="16" t="str">
        <f aca="false">IF(A238="","Invalid - Exclude",IF(COUNTIF($A$2:A238,A238)&gt;1,"Duplicate - Exclude",IF(OR(B238="",H238="",I238=""),"Invalid - Exclude","Valid")))</f>
        <v>Valid</v>
      </c>
      <c r="S238" s="16" t="str">
        <f aca="false">IF(R238="Valid","",IF(R238="Duplicate - Exclude","Repeat of an earlier Order ID",IF(B238="","Date missing or unreadable",IF(H238="","Quantity missing or unreadable",IF(I238="","Unit price missing or unreadable","Order ID missing")))))</f>
        <v/>
      </c>
    </row>
    <row r="239" customFormat="false" ht="15" hidden="false" customHeight="true" outlineLevel="0" collapsed="false">
      <c r="A239" s="17" t="str">
        <f aca="false">UPPER(TRIM(Raw_Data!A239))</f>
        <v>ORD-1231</v>
      </c>
      <c r="B239" s="18" t="n">
        <f aca="false">IFERROR(IF(ISNUMBER(Raw_Data!B239),Raw_Data!B239,IF(ISNUMBER(FIND("/",Raw_Data!B239)),DATE(VALUE(RIGHT(TRIM(Raw_Data!B239),4)),VALUE(MID(TRIM(Raw_Data!B239),4,2)),VALUE(LEFT(TRIM(Raw_Data!B239),2))),IF(MID(TRIM(Raw_Data!B239),5,1)="-",DATE(VALUE(LEFT(TRIM(Raw_Data!B239),4)),VALUE(MID(TRIM(Raw_Data!B239),6,2)),VALUE(RIGHT(TRIM(Raw_Data!B239),2))),DATE(VALUE(RIGHT(TRIM(Raw_Data!B239),4)),MATCH(MID(TRIM(Raw_Data!B239),4,3),{"Jan","Feb","Mar","Apr","May","Jun","Jul","Aug","Sep","Oct","Nov","Dec"},0),VALUE(LEFT(TRIM(Raw_Data!B239),2)))))),"")</f>
        <v>45789</v>
      </c>
      <c r="C239" s="17" t="str">
        <f aca="false">IF(TRIM(Raw_Data!C239)="","Unknown",PROPER(TRIM(Raw_Data!C239)))</f>
        <v>Rabia Butt</v>
      </c>
      <c r="D239" s="17" t="str">
        <f aca="false">IFERROR(INDEX({"Punjab","Sindh","KPK","Balochistan"},MATCH(UPPER(LEFT(TRIM(Raw_Data!D239),1)),{"P","S","K","B"},0)),IFERROR(INDEX(Data_Dictionary!$G$4:$G$16,MATCH(E239,Data_Dictionary!$F$4:$F$16,0)),"Unassigned"))</f>
        <v>KPK</v>
      </c>
      <c r="E239" s="17" t="str">
        <f aca="false">IF(TRIM(Raw_Data!E239)="","Unknown",PROPER(TRIM(Raw_Data!E239)))</f>
        <v>Mardan</v>
      </c>
      <c r="F239" s="17" t="str">
        <f aca="false">IFERROR(INDEX({"Electronics","Home &amp; Kitchen","Clothing","Groceries","Beauty"},MATCH(UPPER(LEFT(TRIM(Raw_Data!F239),3)),{"ELE","HOM","CLO","GRO","BEA"},0)),"Uncategorised")</f>
        <v>Electronics</v>
      </c>
      <c r="G239" s="17" t="str">
        <f aca="false">IF(TRIM(Raw_Data!G239)="","Unknown",PROPER(TRIM(Raw_Data!G239)))</f>
        <v>Bluetooth Speaker</v>
      </c>
      <c r="H239" s="19" t="n">
        <f aca="false">IFERROR(ABS(VALUE(TRIM(Raw_Data!H239))),"")</f>
        <v>4</v>
      </c>
      <c r="I239" s="20" t="n">
        <f aca="false">IFERROR(VALUE(TRIM(SUBSTITUTE(SUBSTITUTE(SUBSTITUTE(SUBSTITUTE(TRIM(Raw_Data!I239),"PKR",""),"Rs.",""),"Rs",""),",",""))),"")</f>
        <v>4350</v>
      </c>
      <c r="J239" s="21" t="n">
        <f aca="false">IFERROR(IF(TRIM(Raw_Data!J239)="",0,IF(VALUE(TRIM(Raw_Data!J239))&gt;1,VALUE(TRIM(Raw_Data!J239))/100,VALUE(TRIM(Raw_Data!J239)))),0)</f>
        <v>0.15</v>
      </c>
      <c r="K239" s="17" t="str">
        <f aca="false">IF(TRIM(Raw_Data!K239)="","Unassigned",PROPER(TRIM(Raw_Data!K239)))</f>
        <v>Imran Shah</v>
      </c>
      <c r="L239" s="17" t="str">
        <f aca="false">IFERROR(INDEX({"Credit Card","Credit Card","Debit Card","Debit Card","Cash","PayPal"},MATCH(UPPER(LEFT(TRIM(Raw_Data!L239),2)),{"CR","CC","DE","DC","CA","PA"},0)),"Other")</f>
        <v>Debit Card</v>
      </c>
      <c r="M239" s="17" t="str">
        <f aca="false">IFERROR(INDEX({"Completed","Returned","Cancelled","Pending"},MATCH(UPPER(LEFT(TRIM(Raw_Data!M239),3)),{"COM","RET","CAN","PEN"},0)),"Unknown")</f>
        <v>Completed</v>
      </c>
      <c r="N239" s="20" t="n">
        <f aca="false">IF(OR(H239="",I239=""),"",H239*I239)</f>
        <v>17400</v>
      </c>
      <c r="O239" s="20" t="n">
        <f aca="false">IF(N239="","",N239*J239)</f>
        <v>2610</v>
      </c>
      <c r="P239" s="20" t="n">
        <f aca="false">IF(N239="","",N239-O239)</f>
        <v>14790</v>
      </c>
      <c r="Q239" s="22" t="n">
        <f aca="false">IF(B239="","",DATE(YEAR(B239),MONTH(B239),1))</f>
        <v>45778</v>
      </c>
      <c r="R239" s="17" t="str">
        <f aca="false">IF(A239="","Invalid - Exclude",IF(COUNTIF($A$2:A239,A239)&gt;1,"Duplicate - Exclude",IF(OR(B239="",H239="",I239=""),"Invalid - Exclude","Valid")))</f>
        <v>Valid</v>
      </c>
      <c r="S239" s="17" t="str">
        <f aca="false">IF(R239="Valid","",IF(R239="Duplicate - Exclude","Repeat of an earlier Order ID",IF(B239="","Date missing or unreadable",IF(H239="","Quantity missing or unreadable",IF(I239="","Unit price missing or unreadable","Order ID missing")))))</f>
        <v/>
      </c>
    </row>
    <row r="240" customFormat="false" ht="15" hidden="false" customHeight="true" outlineLevel="0" collapsed="false">
      <c r="A240" s="9" t="str">
        <f aca="false">UPPER(TRIM(Raw_Data!A240))</f>
        <v>ORD-1232</v>
      </c>
      <c r="B240" s="10" t="n">
        <f aca="false">IFERROR(IF(ISNUMBER(Raw_Data!B240),Raw_Data!B240,IF(ISNUMBER(FIND("/",Raw_Data!B240)),DATE(VALUE(RIGHT(TRIM(Raw_Data!B240),4)),VALUE(MID(TRIM(Raw_Data!B240),4,2)),VALUE(LEFT(TRIM(Raw_Data!B240),2))),IF(MID(TRIM(Raw_Data!B240),5,1)="-",DATE(VALUE(LEFT(TRIM(Raw_Data!B240),4)),VALUE(MID(TRIM(Raw_Data!B240),6,2)),VALUE(RIGHT(TRIM(Raw_Data!B240),2))),DATE(VALUE(RIGHT(TRIM(Raw_Data!B240),4)),MATCH(MID(TRIM(Raw_Data!B240),4,3),{"Jan","Feb","Mar","Apr","May","Jun","Jul","Aug","Sep","Oct","Nov","Dec"},0),VALUE(LEFT(TRIM(Raw_Data!B240),2)))))),"")</f>
        <v>45930</v>
      </c>
      <c r="C240" s="9" t="str">
        <f aca="false">IF(TRIM(Raw_Data!C240)="","Unknown",PROPER(TRIM(Raw_Data!C240)))</f>
        <v>Hassan Qureshi</v>
      </c>
      <c r="D240" s="9" t="str">
        <f aca="false">IFERROR(INDEX({"Punjab","Sindh","KPK","Balochistan"},MATCH(UPPER(LEFT(TRIM(Raw_Data!D240),1)),{"P","S","K","B"},0)),IFERROR(INDEX(Data_Dictionary!$G$4:$G$16,MATCH(E240,Data_Dictionary!$F$4:$F$16,0)),"Unassigned"))</f>
        <v>KPK</v>
      </c>
      <c r="E240" s="9" t="str">
        <f aca="false">IF(TRIM(Raw_Data!E240)="","Unknown",PROPER(TRIM(Raw_Data!E240)))</f>
        <v>Mardan</v>
      </c>
      <c r="F240" s="9" t="str">
        <f aca="false">IFERROR(INDEX({"Electronics","Home &amp; Kitchen","Clothing","Groceries","Beauty"},MATCH(UPPER(LEFT(TRIM(Raw_Data!F240),3)),{"ELE","HOM","CLO","GRO","BEA"},0)),"Uncategorised")</f>
        <v>Electronics</v>
      </c>
      <c r="G240" s="9" t="str">
        <f aca="false">IF(TRIM(Raw_Data!G240)="","Unknown",PROPER(TRIM(Raw_Data!G240)))</f>
        <v>Wireless Earbuds</v>
      </c>
      <c r="H240" s="11" t="n">
        <f aca="false">IFERROR(ABS(VALUE(TRIM(Raw_Data!H240))),"")</f>
        <v>4</v>
      </c>
      <c r="I240" s="12" t="n">
        <f aca="false">IFERROR(VALUE(TRIM(SUBSTITUTE(SUBSTITUTE(SUBSTITUTE(SUBSTITUTE(TRIM(Raw_Data!I240),"PKR",""),"Rs.",""),"Rs",""),",",""))),"")</f>
        <v>6400</v>
      </c>
      <c r="J240" s="13" t="n">
        <f aca="false">IFERROR(IF(TRIM(Raw_Data!J240)="",0,IF(VALUE(TRIM(Raw_Data!J240))&gt;1,VALUE(TRIM(Raw_Data!J240))/100,VALUE(TRIM(Raw_Data!J240)))),0)</f>
        <v>0.05</v>
      </c>
      <c r="K240" s="9" t="str">
        <f aca="false">IF(TRIM(Raw_Data!K240)="","Unassigned",PROPER(TRIM(Raw_Data!K240)))</f>
        <v>Zoya Tariq</v>
      </c>
      <c r="L240" s="9" t="str">
        <f aca="false">IFERROR(INDEX({"Credit Card","Credit Card","Debit Card","Debit Card","Cash","PayPal"},MATCH(UPPER(LEFT(TRIM(Raw_Data!L240),2)),{"CR","CC","DE","DC","CA","PA"},0)),"Other")</f>
        <v>Credit Card</v>
      </c>
      <c r="M240" s="9" t="str">
        <f aca="false">IFERROR(INDEX({"Completed","Returned","Cancelled","Pending"},MATCH(UPPER(LEFT(TRIM(Raw_Data!M240),3)),{"COM","RET","CAN","PEN"},0)),"Unknown")</f>
        <v>Completed</v>
      </c>
      <c r="N240" s="14" t="n">
        <f aca="false">IF(OR(H240="",I240=""),"",H240*I240)</f>
        <v>25600</v>
      </c>
      <c r="O240" s="14" t="n">
        <f aca="false">IF(N240="","",N240*J240)</f>
        <v>1280</v>
      </c>
      <c r="P240" s="14" t="n">
        <f aca="false">IF(N240="","",N240-O240)</f>
        <v>24320</v>
      </c>
      <c r="Q240" s="15" t="n">
        <f aca="false">IF(B240="","",DATE(YEAR(B240),MONTH(B240),1))</f>
        <v>45901</v>
      </c>
      <c r="R240" s="16" t="str">
        <f aca="false">IF(A240="","Invalid - Exclude",IF(COUNTIF($A$2:A240,A240)&gt;1,"Duplicate - Exclude",IF(OR(B240="",H240="",I240=""),"Invalid - Exclude","Valid")))</f>
        <v>Valid</v>
      </c>
      <c r="S240" s="16" t="str">
        <f aca="false">IF(R240="Valid","",IF(R240="Duplicate - Exclude","Repeat of an earlier Order ID",IF(B240="","Date missing or unreadable",IF(H240="","Quantity missing or unreadable",IF(I240="","Unit price missing or unreadable","Order ID missing")))))</f>
        <v/>
      </c>
    </row>
    <row r="241" customFormat="false" ht="15" hidden="false" customHeight="true" outlineLevel="0" collapsed="false">
      <c r="A241" s="17" t="str">
        <f aca="false">UPPER(TRIM(Raw_Data!A241))</f>
        <v>ORD-1233</v>
      </c>
      <c r="B241" s="18" t="n">
        <f aca="false">IFERROR(IF(ISNUMBER(Raw_Data!B241),Raw_Data!B241,IF(ISNUMBER(FIND("/",Raw_Data!B241)),DATE(VALUE(RIGHT(TRIM(Raw_Data!B241),4)),VALUE(MID(TRIM(Raw_Data!B241),4,2)),VALUE(LEFT(TRIM(Raw_Data!B241),2))),IF(MID(TRIM(Raw_Data!B241),5,1)="-",DATE(VALUE(LEFT(TRIM(Raw_Data!B241),4)),VALUE(MID(TRIM(Raw_Data!B241),6,2)),VALUE(RIGHT(TRIM(Raw_Data!B241),2))),DATE(VALUE(RIGHT(TRIM(Raw_Data!B241),4)),MATCH(MID(TRIM(Raw_Data!B241),4,3),{"Jan","Feb","Mar","Apr","May","Jun","Jul","Aug","Sep","Oct","Nov","Dec"},0),VALUE(LEFT(TRIM(Raw_Data!B241),2)))))),"")</f>
        <v>45946</v>
      </c>
      <c r="C241" s="17" t="str">
        <f aca="false">IF(TRIM(Raw_Data!C241)="","Unknown",PROPER(TRIM(Raw_Data!C241)))</f>
        <v>Iqra Ansari</v>
      </c>
      <c r="D241" s="17" t="str">
        <f aca="false">IFERROR(INDEX({"Punjab","Sindh","KPK","Balochistan"},MATCH(UPPER(LEFT(TRIM(Raw_Data!D241),1)),{"P","S","K","B"},0)),IFERROR(INDEX(Data_Dictionary!$G$4:$G$16,MATCH(E241,Data_Dictionary!$F$4:$F$16,0)),"Unassigned"))</f>
        <v>Sindh</v>
      </c>
      <c r="E241" s="17" t="str">
        <f aca="false">IF(TRIM(Raw_Data!E241)="","Unknown",PROPER(TRIM(Raw_Data!E241)))</f>
        <v>Karachi</v>
      </c>
      <c r="F241" s="17" t="str">
        <f aca="false">IFERROR(INDEX({"Electronics","Home &amp; Kitchen","Clothing","Groceries","Beauty"},MATCH(UPPER(LEFT(TRIM(Raw_Data!F241),3)),{"ELE","HOM","CLO","GRO","BEA"},0)),"Uncategorised")</f>
        <v>Home &amp; Kitchen</v>
      </c>
      <c r="G241" s="17" t="str">
        <f aca="false">IF(TRIM(Raw_Data!G241)="","Unknown",PROPER(TRIM(Raw_Data!G241)))</f>
        <v>Rice Cooker</v>
      </c>
      <c r="H241" s="19" t="str">
        <f aca="false">IFERROR(ABS(VALUE(TRIM(Raw_Data!H241))),"")</f>
        <v/>
      </c>
      <c r="I241" s="20" t="n">
        <f aca="false">IFERROR(VALUE(TRIM(SUBSTITUTE(SUBSTITUTE(SUBSTITUTE(SUBSTITUTE(TRIM(Raw_Data!I241),"PKR",""),"Rs.",""),"Rs",""),",",""))),"")</f>
        <v>7300</v>
      </c>
      <c r="J241" s="21" t="n">
        <f aca="false">IFERROR(IF(TRIM(Raw_Data!J241)="",0,IF(VALUE(TRIM(Raw_Data!J241))&gt;1,VALUE(TRIM(Raw_Data!J241))/100,VALUE(TRIM(Raw_Data!J241)))),0)</f>
        <v>0.2</v>
      </c>
      <c r="K241" s="17" t="str">
        <f aca="false">IF(TRIM(Raw_Data!K241)="","Unassigned",PROPER(TRIM(Raw_Data!K241)))</f>
        <v>Nimra Aslam</v>
      </c>
      <c r="L241" s="17" t="str">
        <f aca="false">IFERROR(INDEX({"Credit Card","Credit Card","Debit Card","Debit Card","Cash","PayPal"},MATCH(UPPER(LEFT(TRIM(Raw_Data!L241),2)),{"CR","CC","DE","DC","CA","PA"},0)),"Other")</f>
        <v>Debit Card</v>
      </c>
      <c r="M241" s="17" t="str">
        <f aca="false">IFERROR(INDEX({"Completed","Returned","Cancelled","Pending"},MATCH(UPPER(LEFT(TRIM(Raw_Data!M241),3)),{"COM","RET","CAN","PEN"},0)),"Unknown")</f>
        <v>Completed</v>
      </c>
      <c r="N241" s="20" t="str">
        <f aca="false">IF(OR(H241="",I241=""),"",H241*I241)</f>
        <v/>
      </c>
      <c r="O241" s="20" t="str">
        <f aca="false">IF(N241="","",N241*J241)</f>
        <v/>
      </c>
      <c r="P241" s="20" t="str">
        <f aca="false">IF(N241="","",N241-O241)</f>
        <v/>
      </c>
      <c r="Q241" s="22" t="n">
        <f aca="false">IF(B241="","",DATE(YEAR(B241),MONTH(B241),1))</f>
        <v>45931</v>
      </c>
      <c r="R241" s="17" t="str">
        <f aca="false">IF(A241="","Invalid - Exclude",IF(COUNTIF($A$2:A241,A241)&gt;1,"Duplicate - Exclude",IF(OR(B241="",H241="",I241=""),"Invalid - Exclude","Valid")))</f>
        <v>Invalid - Exclude</v>
      </c>
      <c r="S241" s="17" t="str">
        <f aca="false">IF(R241="Valid","",IF(R241="Duplicate - Exclude","Repeat of an earlier Order ID",IF(B241="","Date missing or unreadable",IF(H241="","Quantity missing or unreadable",IF(I241="","Unit price missing or unreadable","Order ID missing")))))</f>
        <v>Quantity missing or unreadable</v>
      </c>
    </row>
    <row r="242" customFormat="false" ht="15" hidden="false" customHeight="true" outlineLevel="0" collapsed="false">
      <c r="A242" s="9" t="str">
        <f aca="false">UPPER(TRIM(Raw_Data!A242))</f>
        <v>ORD-1234</v>
      </c>
      <c r="B242" s="10" t="n">
        <f aca="false">IFERROR(IF(ISNUMBER(Raw_Data!B242),Raw_Data!B242,IF(ISNUMBER(FIND("/",Raw_Data!B242)),DATE(VALUE(RIGHT(TRIM(Raw_Data!B242),4)),VALUE(MID(TRIM(Raw_Data!B242),4,2)),VALUE(LEFT(TRIM(Raw_Data!B242),2))),IF(MID(TRIM(Raw_Data!B242),5,1)="-",DATE(VALUE(LEFT(TRIM(Raw_Data!B242),4)),VALUE(MID(TRIM(Raw_Data!B242),6,2)),VALUE(RIGHT(TRIM(Raw_Data!B242),2))),DATE(VALUE(RIGHT(TRIM(Raw_Data!B242),4)),MATCH(MID(TRIM(Raw_Data!B242),4,3),{"Jan","Feb","Mar","Apr","May","Jun","Jul","Aug","Sep","Oct","Nov","Dec"},0),VALUE(LEFT(TRIM(Raw_Data!B242),2)))))),"")</f>
        <v>45661</v>
      </c>
      <c r="C242" s="9" t="str">
        <f aca="false">IF(TRIM(Raw_Data!C242)="","Unknown",PROPER(TRIM(Raw_Data!C242)))</f>
        <v>Fatima Hussain</v>
      </c>
      <c r="D242" s="9" t="str">
        <f aca="false">IFERROR(INDEX({"Punjab","Sindh","KPK","Balochistan"},MATCH(UPPER(LEFT(TRIM(Raw_Data!D242),1)),{"P","S","K","B"},0)),IFERROR(INDEX(Data_Dictionary!$G$4:$G$16,MATCH(E242,Data_Dictionary!$F$4:$F$16,0)),"Unassigned"))</f>
        <v>KPK</v>
      </c>
      <c r="E242" s="9" t="str">
        <f aca="false">IF(TRIM(Raw_Data!E242)="","Unknown",PROPER(TRIM(Raw_Data!E242)))</f>
        <v>Mardan</v>
      </c>
      <c r="F242" s="9" t="str">
        <f aca="false">IFERROR(INDEX({"Electronics","Home &amp; Kitchen","Clothing","Groceries","Beauty"},MATCH(UPPER(LEFT(TRIM(Raw_Data!F242),3)),{"ELE","HOM","CLO","GRO","BEA"},0)),"Uncategorised")</f>
        <v>Electronics</v>
      </c>
      <c r="G242" s="9" t="str">
        <f aca="false">IF(TRIM(Raw_Data!G242)="","Unknown",PROPER(TRIM(Raw_Data!G242)))</f>
        <v>Smart Watch</v>
      </c>
      <c r="H242" s="11" t="n">
        <f aca="false">IFERROR(ABS(VALUE(TRIM(Raw_Data!H242))),"")</f>
        <v>3</v>
      </c>
      <c r="I242" s="12" t="n">
        <f aca="false">IFERROR(VALUE(TRIM(SUBSTITUTE(SUBSTITUTE(SUBSTITUTE(SUBSTITUTE(TRIM(Raw_Data!I242),"PKR",""),"Rs.",""),"Rs",""),",",""))),"")</f>
        <v>9800</v>
      </c>
      <c r="J242" s="13" t="n">
        <f aca="false">IFERROR(IF(TRIM(Raw_Data!J242)="",0,IF(VALUE(TRIM(Raw_Data!J242))&gt;1,VALUE(TRIM(Raw_Data!J242))/100,VALUE(TRIM(Raw_Data!J242)))),0)</f>
        <v>0</v>
      </c>
      <c r="K242" s="9" t="str">
        <f aca="false">IF(TRIM(Raw_Data!K242)="","Unassigned",PROPER(TRIM(Raw_Data!K242)))</f>
        <v>Nimra Aslam</v>
      </c>
      <c r="L242" s="9" t="str">
        <f aca="false">IFERROR(INDEX({"Credit Card","Credit Card","Debit Card","Debit Card","Cash","PayPal"},MATCH(UPPER(LEFT(TRIM(Raw_Data!L242),2)),{"CR","CC","DE","DC","CA","PA"},0)),"Other")</f>
        <v>Debit Card</v>
      </c>
      <c r="M242" s="9" t="str">
        <f aca="false">IFERROR(INDEX({"Completed","Returned","Cancelled","Pending"},MATCH(UPPER(LEFT(TRIM(Raw_Data!M242),3)),{"COM","RET","CAN","PEN"},0)),"Unknown")</f>
        <v>Completed</v>
      </c>
      <c r="N242" s="14" t="n">
        <f aca="false">IF(OR(H242="",I242=""),"",H242*I242)</f>
        <v>29400</v>
      </c>
      <c r="O242" s="14" t="n">
        <f aca="false">IF(N242="","",N242*J242)</f>
        <v>0</v>
      </c>
      <c r="P242" s="14" t="n">
        <f aca="false">IF(N242="","",N242-O242)</f>
        <v>29400</v>
      </c>
      <c r="Q242" s="15" t="n">
        <f aca="false">IF(B242="","",DATE(YEAR(B242),MONTH(B242),1))</f>
        <v>45658</v>
      </c>
      <c r="R242" s="16" t="str">
        <f aca="false">IF(A242="","Invalid - Exclude",IF(COUNTIF($A$2:A242,A242)&gt;1,"Duplicate - Exclude",IF(OR(B242="",H242="",I242=""),"Invalid - Exclude","Valid")))</f>
        <v>Valid</v>
      </c>
      <c r="S242" s="16" t="str">
        <f aca="false">IF(R242="Valid","",IF(R242="Duplicate - Exclude","Repeat of an earlier Order ID",IF(B242="","Date missing or unreadable",IF(H242="","Quantity missing or unreadable",IF(I242="","Unit price missing or unreadable","Order ID missing")))))</f>
        <v/>
      </c>
    </row>
    <row r="243" customFormat="false" ht="15" hidden="false" customHeight="true" outlineLevel="0" collapsed="false">
      <c r="A243" s="17" t="str">
        <f aca="false">UPPER(TRIM(Raw_Data!A243))</f>
        <v>ORD-1235</v>
      </c>
      <c r="B243" s="18" t="n">
        <f aca="false">IFERROR(IF(ISNUMBER(Raw_Data!B243),Raw_Data!B243,IF(ISNUMBER(FIND("/",Raw_Data!B243)),DATE(VALUE(RIGHT(TRIM(Raw_Data!B243),4)),VALUE(MID(TRIM(Raw_Data!B243),4,2)),VALUE(LEFT(TRIM(Raw_Data!B243),2))),IF(MID(TRIM(Raw_Data!B243),5,1)="-",DATE(VALUE(LEFT(TRIM(Raw_Data!B243),4)),VALUE(MID(TRIM(Raw_Data!B243),6,2)),VALUE(RIGHT(TRIM(Raw_Data!B243),2))),DATE(VALUE(RIGHT(TRIM(Raw_Data!B243),4)),MATCH(MID(TRIM(Raw_Data!B243),4,3),{"Jan","Feb","Mar","Apr","May","Jun","Jul","Aug","Sep","Oct","Nov","Dec"},0),VALUE(LEFT(TRIM(Raw_Data!B243),2)))))),"")</f>
        <v>45813</v>
      </c>
      <c r="C243" s="17" t="str">
        <f aca="false">IF(TRIM(Raw_Data!C243)="","Unknown",PROPER(TRIM(Raw_Data!C243)))</f>
        <v>Hassan Siddiqui</v>
      </c>
      <c r="D243" s="17" t="str">
        <f aca="false">IFERROR(INDEX({"Punjab","Sindh","KPK","Balochistan"},MATCH(UPPER(LEFT(TRIM(Raw_Data!D243),1)),{"P","S","K","B"},0)),IFERROR(INDEX(Data_Dictionary!$G$4:$G$16,MATCH(E243,Data_Dictionary!$F$4:$F$16,0)),"Unassigned"))</f>
        <v>Punjab</v>
      </c>
      <c r="E243" s="17" t="str">
        <f aca="false">IF(TRIM(Raw_Data!E243)="","Unknown",PROPER(TRIM(Raw_Data!E243)))</f>
        <v>Faisalabad</v>
      </c>
      <c r="F243" s="17" t="str">
        <f aca="false">IFERROR(INDEX({"Electronics","Home &amp; Kitchen","Clothing","Groceries","Beauty"},MATCH(UPPER(LEFT(TRIM(Raw_Data!F243),3)),{"ELE","HOM","CLO","GRO","BEA"},0)),"Uncategorised")</f>
        <v>Beauty</v>
      </c>
      <c r="G243" s="17" t="str">
        <f aca="false">IF(TRIM(Raw_Data!G243)="","Unknown",PROPER(TRIM(Raw_Data!G243)))</f>
        <v>Face Wash</v>
      </c>
      <c r="H243" s="19" t="n">
        <f aca="false">IFERROR(ABS(VALUE(TRIM(Raw_Data!H243))),"")</f>
        <v>1</v>
      </c>
      <c r="I243" s="20" t="n">
        <f aca="false">IFERROR(VALUE(TRIM(SUBSTITUTE(SUBSTITUTE(SUBSTITUTE(SUBSTITUTE(TRIM(Raw_Data!I243),"PKR",""),"Rs.",""),"Rs",""),",",""))),"")</f>
        <v>900</v>
      </c>
      <c r="J243" s="21" t="n">
        <f aca="false">IFERROR(IF(TRIM(Raw_Data!J243)="",0,IF(VALUE(TRIM(Raw_Data!J243))&gt;1,VALUE(TRIM(Raw_Data!J243))/100,VALUE(TRIM(Raw_Data!J243)))),0)</f>
        <v>0</v>
      </c>
      <c r="K243" s="17" t="str">
        <f aca="false">IF(TRIM(Raw_Data!K243)="","Unassigned",PROPER(TRIM(Raw_Data!K243)))</f>
        <v>Zoya Tariq</v>
      </c>
      <c r="L243" s="17" t="str">
        <f aca="false">IFERROR(INDEX({"Credit Card","Credit Card","Debit Card","Debit Card","Cash","PayPal"},MATCH(UPPER(LEFT(TRIM(Raw_Data!L243),2)),{"CR","CC","DE","DC","CA","PA"},0)),"Other")</f>
        <v>Credit Card</v>
      </c>
      <c r="M243" s="17" t="str">
        <f aca="false">IFERROR(INDEX({"Completed","Returned","Cancelled","Pending"},MATCH(UPPER(LEFT(TRIM(Raw_Data!M243),3)),{"COM","RET","CAN","PEN"},0)),"Unknown")</f>
        <v>Returned</v>
      </c>
      <c r="N243" s="20" t="n">
        <f aca="false">IF(OR(H243="",I243=""),"",H243*I243)</f>
        <v>900</v>
      </c>
      <c r="O243" s="20" t="n">
        <f aca="false">IF(N243="","",N243*J243)</f>
        <v>0</v>
      </c>
      <c r="P243" s="20" t="n">
        <f aca="false">IF(N243="","",N243-O243)</f>
        <v>900</v>
      </c>
      <c r="Q243" s="22" t="n">
        <f aca="false">IF(B243="","",DATE(YEAR(B243),MONTH(B243),1))</f>
        <v>45809</v>
      </c>
      <c r="R243" s="17" t="str">
        <f aca="false">IF(A243="","Invalid - Exclude",IF(COUNTIF($A$2:A243,A243)&gt;1,"Duplicate - Exclude",IF(OR(B243="",H243="",I243=""),"Invalid - Exclude","Valid")))</f>
        <v>Valid</v>
      </c>
      <c r="S243" s="17" t="str">
        <f aca="false">IF(R243="Valid","",IF(R243="Duplicate - Exclude","Repeat of an earlier Order ID",IF(B243="","Date missing or unreadable",IF(H243="","Quantity missing or unreadable",IF(I243="","Unit price missing or unreadable","Order ID missing")))))</f>
        <v/>
      </c>
    </row>
    <row r="244" customFormat="false" ht="15" hidden="false" customHeight="true" outlineLevel="0" collapsed="false">
      <c r="A244" s="9" t="str">
        <f aca="false">UPPER(TRIM(Raw_Data!A244))</f>
        <v>ORD-1197</v>
      </c>
      <c r="B244" s="10" t="n">
        <f aca="false">IFERROR(IF(ISNUMBER(Raw_Data!B244),Raw_Data!B244,IF(ISNUMBER(FIND("/",Raw_Data!B244)),DATE(VALUE(RIGHT(TRIM(Raw_Data!B244),4)),VALUE(MID(TRIM(Raw_Data!B244),4,2)),VALUE(LEFT(TRIM(Raw_Data!B244),2))),IF(MID(TRIM(Raw_Data!B244),5,1)="-",DATE(VALUE(LEFT(TRIM(Raw_Data!B244),4)),VALUE(MID(TRIM(Raw_Data!B244),6,2)),VALUE(RIGHT(TRIM(Raw_Data!B244),2))),DATE(VALUE(RIGHT(TRIM(Raw_Data!B244),4)),MATCH(MID(TRIM(Raw_Data!B244),4,3),{"Jan","Feb","Mar","Apr","May","Jun","Jul","Aug","Sep","Oct","Nov","Dec"},0),VALUE(LEFT(TRIM(Raw_Data!B244),2)))))),"")</f>
        <v>45993</v>
      </c>
      <c r="C244" s="9" t="str">
        <f aca="false">IF(TRIM(Raw_Data!C244)="","Unknown",PROPER(TRIM(Raw_Data!C244)))</f>
        <v>Kashif Ansari</v>
      </c>
      <c r="D244" s="9" t="str">
        <f aca="false">IFERROR(INDEX({"Punjab","Sindh","KPK","Balochistan"},MATCH(UPPER(LEFT(TRIM(Raw_Data!D244),1)),{"P","S","K","B"},0)),IFERROR(INDEX(Data_Dictionary!$G$4:$G$16,MATCH(E244,Data_Dictionary!$F$4:$F$16,0)),"Unassigned"))</f>
        <v>Balochistan</v>
      </c>
      <c r="E244" s="9" t="str">
        <f aca="false">IF(TRIM(Raw_Data!E244)="","Unknown",PROPER(TRIM(Raw_Data!E244)))</f>
        <v>Gwadar</v>
      </c>
      <c r="F244" s="9" t="str">
        <f aca="false">IFERROR(INDEX({"Electronics","Home &amp; Kitchen","Clothing","Groceries","Beauty"},MATCH(UPPER(LEFT(TRIM(Raw_Data!F244),3)),{"ELE","HOM","CLO","GRO","BEA"},0)),"Uncategorised")</f>
        <v>Home &amp; Kitchen</v>
      </c>
      <c r="G244" s="9" t="str">
        <f aca="false">IF(TRIM(Raw_Data!G244)="","Unknown",PROPER(TRIM(Raw_Data!G244)))</f>
        <v>Rice Cooker</v>
      </c>
      <c r="H244" s="11" t="n">
        <f aca="false">IFERROR(ABS(VALUE(TRIM(Raw_Data!H244))),"")</f>
        <v>2</v>
      </c>
      <c r="I244" s="12" t="str">
        <f aca="false">IFERROR(VALUE(TRIM(SUBSTITUTE(SUBSTITUTE(SUBSTITUTE(SUBSTITUTE(TRIM(Raw_Data!I244),"PKR",""),"Rs.",""),"Rs",""),",",""))),"")</f>
        <v/>
      </c>
      <c r="J244" s="13" t="n">
        <f aca="false">IFERROR(IF(TRIM(Raw_Data!J244)="",0,IF(VALUE(TRIM(Raw_Data!J244))&gt;1,VALUE(TRIM(Raw_Data!J244))/100,VALUE(TRIM(Raw_Data!J244)))),0)</f>
        <v>0</v>
      </c>
      <c r="K244" s="9" t="str">
        <f aca="false">IF(TRIM(Raw_Data!K244)="","Unassigned",PROPER(TRIM(Raw_Data!K244)))</f>
        <v>Zoya Tariq</v>
      </c>
      <c r="L244" s="9" t="str">
        <f aca="false">IFERROR(INDEX({"Credit Card","Credit Card","Debit Card","Debit Card","Cash","PayPal"},MATCH(UPPER(LEFT(TRIM(Raw_Data!L244),2)),{"CR","CC","DE","DC","CA","PA"},0)),"Other")</f>
        <v>Cash</v>
      </c>
      <c r="M244" s="9" t="str">
        <f aca="false">IFERROR(INDEX({"Completed","Returned","Cancelled","Pending"},MATCH(UPPER(LEFT(TRIM(Raw_Data!M244),3)),{"COM","RET","CAN","PEN"},0)),"Unknown")</f>
        <v>Completed</v>
      </c>
      <c r="N244" s="14" t="str">
        <f aca="false">IF(OR(H244="",I244=""),"",H244*I244)</f>
        <v/>
      </c>
      <c r="O244" s="14" t="str">
        <f aca="false">IF(N244="","",N244*J244)</f>
        <v/>
      </c>
      <c r="P244" s="14" t="str">
        <f aca="false">IF(N244="","",N244-O244)</f>
        <v/>
      </c>
      <c r="Q244" s="15" t="n">
        <f aca="false">IF(B244="","",DATE(YEAR(B244),MONTH(B244),1))</f>
        <v>45992</v>
      </c>
      <c r="R244" s="16" t="str">
        <f aca="false">IF(A244="","Invalid - Exclude",IF(COUNTIF($A$2:A244,A244)&gt;1,"Duplicate - Exclude",IF(OR(B244="",H244="",I244=""),"Invalid - Exclude","Valid")))</f>
        <v>Duplicate - Exclude</v>
      </c>
      <c r="S244" s="16" t="str">
        <f aca="false">IF(R244="Valid","",IF(R244="Duplicate - Exclude","Repeat of an earlier Order ID",IF(B244="","Date missing or unreadable",IF(H244="","Quantity missing or unreadable",IF(I244="","Unit price missing or unreadable","Order ID missing")))))</f>
        <v>Repeat of an earlier Order ID</v>
      </c>
    </row>
    <row r="245" customFormat="false" ht="15" hidden="false" customHeight="true" outlineLevel="0" collapsed="false">
      <c r="A245" s="17" t="str">
        <f aca="false">UPPER(TRIM(Raw_Data!A245))</f>
        <v>ORD-1236</v>
      </c>
      <c r="B245" s="18" t="n">
        <f aca="false">IFERROR(IF(ISNUMBER(Raw_Data!B245),Raw_Data!B245,IF(ISNUMBER(FIND("/",Raw_Data!B245)),DATE(VALUE(RIGHT(TRIM(Raw_Data!B245),4)),VALUE(MID(TRIM(Raw_Data!B245),4,2)),VALUE(LEFT(TRIM(Raw_Data!B245),2))),IF(MID(TRIM(Raw_Data!B245),5,1)="-",DATE(VALUE(LEFT(TRIM(Raw_Data!B245),4)),VALUE(MID(TRIM(Raw_Data!B245),6,2)),VALUE(RIGHT(TRIM(Raw_Data!B245),2))),DATE(VALUE(RIGHT(TRIM(Raw_Data!B245),4)),MATCH(MID(TRIM(Raw_Data!B245),4,3),{"Jan","Feb","Mar","Apr","May","Jun","Jul","Aug","Sep","Oct","Nov","Dec"},0),VALUE(LEFT(TRIM(Raw_Data!B245),2)))))),"")</f>
        <v>45673</v>
      </c>
      <c r="C245" s="17" t="str">
        <f aca="false">IF(TRIM(Raw_Data!C245)="","Unknown",PROPER(TRIM(Raw_Data!C245)))</f>
        <v>Hassan Qureshi</v>
      </c>
      <c r="D245" s="17" t="str">
        <f aca="false">IFERROR(INDEX({"Punjab","Sindh","KPK","Balochistan"},MATCH(UPPER(LEFT(TRIM(Raw_Data!D245),1)),{"P","S","K","B"},0)),IFERROR(INDEX(Data_Dictionary!$G$4:$G$16,MATCH(E245,Data_Dictionary!$F$4:$F$16,0)),"Unassigned"))</f>
        <v>Punjab</v>
      </c>
      <c r="E245" s="17" t="str">
        <f aca="false">IF(TRIM(Raw_Data!E245)="","Unknown",PROPER(TRIM(Raw_Data!E245)))</f>
        <v>Faisalabad</v>
      </c>
      <c r="F245" s="17" t="str">
        <f aca="false">IFERROR(INDEX({"Electronics","Home &amp; Kitchen","Clothing","Groceries","Beauty"},MATCH(UPPER(LEFT(TRIM(Raw_Data!F245),3)),{"ELE","HOM","CLO","GRO","BEA"},0)),"Uncategorised")</f>
        <v>Electronics</v>
      </c>
      <c r="G245" s="17" t="str">
        <f aca="false">IF(TRIM(Raw_Data!G245)="","Unknown",PROPER(TRIM(Raw_Data!G245)))</f>
        <v>Bluetooth Speaker</v>
      </c>
      <c r="H245" s="19" t="n">
        <f aca="false">IFERROR(ABS(VALUE(TRIM(Raw_Data!H245))),"")</f>
        <v>4</v>
      </c>
      <c r="I245" s="20" t="n">
        <f aca="false">IFERROR(VALUE(TRIM(SUBSTITUTE(SUBSTITUTE(SUBSTITUTE(SUBSTITUTE(TRIM(Raw_Data!I245),"PKR",""),"Rs.",""),"Rs",""),",",""))),"")</f>
        <v>4500</v>
      </c>
      <c r="J245" s="21" t="n">
        <f aca="false">IFERROR(IF(TRIM(Raw_Data!J245)="",0,IF(VALUE(TRIM(Raw_Data!J245))&gt;1,VALUE(TRIM(Raw_Data!J245))/100,VALUE(TRIM(Raw_Data!J245)))),0)</f>
        <v>0</v>
      </c>
      <c r="K245" s="17" t="str">
        <f aca="false">IF(TRIM(Raw_Data!K245)="","Unassigned",PROPER(TRIM(Raw_Data!K245)))</f>
        <v>Unassigned</v>
      </c>
      <c r="L245" s="17" t="str">
        <f aca="false">IFERROR(INDEX({"Credit Card","Credit Card","Debit Card","Debit Card","Cash","PayPal"},MATCH(UPPER(LEFT(TRIM(Raw_Data!L245),2)),{"CR","CC","DE","DC","CA","PA"},0)),"Other")</f>
        <v>Cash</v>
      </c>
      <c r="M245" s="17" t="str">
        <f aca="false">IFERROR(INDEX({"Completed","Returned","Cancelled","Pending"},MATCH(UPPER(LEFT(TRIM(Raw_Data!M245),3)),{"COM","RET","CAN","PEN"},0)),"Unknown")</f>
        <v>Completed</v>
      </c>
      <c r="N245" s="20" t="n">
        <f aca="false">IF(OR(H245="",I245=""),"",H245*I245)</f>
        <v>18000</v>
      </c>
      <c r="O245" s="20" t="n">
        <f aca="false">IF(N245="","",N245*J245)</f>
        <v>0</v>
      </c>
      <c r="P245" s="20" t="n">
        <f aca="false">IF(N245="","",N245-O245)</f>
        <v>18000</v>
      </c>
      <c r="Q245" s="22" t="n">
        <f aca="false">IF(B245="","",DATE(YEAR(B245),MONTH(B245),1))</f>
        <v>45658</v>
      </c>
      <c r="R245" s="17" t="str">
        <f aca="false">IF(A245="","Invalid - Exclude",IF(COUNTIF($A$2:A245,A245)&gt;1,"Duplicate - Exclude",IF(OR(B245="",H245="",I245=""),"Invalid - Exclude","Valid")))</f>
        <v>Valid</v>
      </c>
      <c r="S245" s="17" t="str">
        <f aca="false">IF(R245="Valid","",IF(R245="Duplicate - Exclude","Repeat of an earlier Order ID",IF(B245="","Date missing or unreadable",IF(H245="","Quantity missing or unreadable",IF(I245="","Unit price missing or unreadable","Order ID missing")))))</f>
        <v/>
      </c>
    </row>
    <row r="246" customFormat="false" ht="15" hidden="false" customHeight="true" outlineLevel="0" collapsed="false">
      <c r="A246" s="9" t="str">
        <f aca="false">UPPER(TRIM(Raw_Data!A246))</f>
        <v>ORD-1237</v>
      </c>
      <c r="B246" s="10" t="n">
        <f aca="false">IFERROR(IF(ISNUMBER(Raw_Data!B246),Raw_Data!B246,IF(ISNUMBER(FIND("/",Raw_Data!B246)),DATE(VALUE(RIGHT(TRIM(Raw_Data!B246),4)),VALUE(MID(TRIM(Raw_Data!B246),4,2)),VALUE(LEFT(TRIM(Raw_Data!B246),2))),IF(MID(TRIM(Raw_Data!B246),5,1)="-",DATE(VALUE(LEFT(TRIM(Raw_Data!B246),4)),VALUE(MID(TRIM(Raw_Data!B246),6,2)),VALUE(RIGHT(TRIM(Raw_Data!B246),2))),DATE(VALUE(RIGHT(TRIM(Raw_Data!B246),4)),MATCH(MID(TRIM(Raw_Data!B246),4,3),{"Jan","Feb","Mar","Apr","May","Jun","Jul","Aug","Sep","Oct","Nov","Dec"},0),VALUE(LEFT(TRIM(Raw_Data!B246),2)))))),"")</f>
        <v>46000</v>
      </c>
      <c r="C246" s="9" t="str">
        <f aca="false">IF(TRIM(Raw_Data!C246)="","Unknown",PROPER(TRIM(Raw_Data!C246)))</f>
        <v>Ayesha Malik</v>
      </c>
      <c r="D246" s="9" t="str">
        <f aca="false">IFERROR(INDEX({"Punjab","Sindh","KPK","Balochistan"},MATCH(UPPER(LEFT(TRIM(Raw_Data!D246),1)),{"P","S","K","B"},0)),IFERROR(INDEX(Data_Dictionary!$G$4:$G$16,MATCH(E246,Data_Dictionary!$F$4:$F$16,0)),"Unassigned"))</f>
        <v>Punjab</v>
      </c>
      <c r="E246" s="9" t="str">
        <f aca="false">IF(TRIM(Raw_Data!E246)="","Unknown",PROPER(TRIM(Raw_Data!E246)))</f>
        <v>Unknown</v>
      </c>
      <c r="F246" s="9" t="str">
        <f aca="false">IFERROR(INDEX({"Electronics","Home &amp; Kitchen","Clothing","Groceries","Beauty"},MATCH(UPPER(LEFT(TRIM(Raw_Data!F246),3)),{"ELE","HOM","CLO","GRO","BEA"},0)),"Uncategorised")</f>
        <v>Clothing</v>
      </c>
      <c r="G246" s="9" t="str">
        <f aca="false">IF(TRIM(Raw_Data!G246)="","Unknown",PROPER(TRIM(Raw_Data!G246)))</f>
        <v>Running Shoes</v>
      </c>
      <c r="H246" s="11" t="n">
        <f aca="false">IFERROR(ABS(VALUE(TRIM(Raw_Data!H246))),"")</f>
        <v>3</v>
      </c>
      <c r="I246" s="12" t="n">
        <f aca="false">IFERROR(VALUE(TRIM(SUBSTITUTE(SUBSTITUTE(SUBSTITUTE(SUBSTITUTE(TRIM(Raw_Data!I246),"PKR",""),"Rs.",""),"Rs",""),",",""))),"")</f>
        <v>8000</v>
      </c>
      <c r="J246" s="13" t="n">
        <f aca="false">IFERROR(IF(TRIM(Raw_Data!J246)="",0,IF(VALUE(TRIM(Raw_Data!J246))&gt;1,VALUE(TRIM(Raw_Data!J246))/100,VALUE(TRIM(Raw_Data!J246)))),0)</f>
        <v>0.2</v>
      </c>
      <c r="K246" s="9" t="str">
        <f aca="false">IF(TRIM(Raw_Data!K246)="","Unassigned",PROPER(TRIM(Raw_Data!K246)))</f>
        <v>Waqar Ahmed</v>
      </c>
      <c r="L246" s="9" t="str">
        <f aca="false">IFERROR(INDEX({"Credit Card","Credit Card","Debit Card","Debit Card","Cash","PayPal"},MATCH(UPPER(LEFT(TRIM(Raw_Data!L246),2)),{"CR","CC","DE","DC","CA","PA"},0)),"Other")</f>
        <v>Credit Card</v>
      </c>
      <c r="M246" s="9" t="str">
        <f aca="false">IFERROR(INDEX({"Completed","Returned","Cancelled","Pending"},MATCH(UPPER(LEFT(TRIM(Raw_Data!M246),3)),{"COM","RET","CAN","PEN"},0)),"Unknown")</f>
        <v>Pending</v>
      </c>
      <c r="N246" s="14" t="n">
        <f aca="false">IF(OR(H246="",I246=""),"",H246*I246)</f>
        <v>24000</v>
      </c>
      <c r="O246" s="14" t="n">
        <f aca="false">IF(N246="","",N246*J246)</f>
        <v>4800</v>
      </c>
      <c r="P246" s="14" t="n">
        <f aca="false">IF(N246="","",N246-O246)</f>
        <v>19200</v>
      </c>
      <c r="Q246" s="15" t="n">
        <f aca="false">IF(B246="","",DATE(YEAR(B246),MONTH(B246),1))</f>
        <v>45992</v>
      </c>
      <c r="R246" s="16" t="str">
        <f aca="false">IF(A246="","Invalid - Exclude",IF(COUNTIF($A$2:A246,A246)&gt;1,"Duplicate - Exclude",IF(OR(B246="",H246="",I246=""),"Invalid - Exclude","Valid")))</f>
        <v>Valid</v>
      </c>
      <c r="S246" s="16" t="str">
        <f aca="false">IF(R246="Valid","",IF(R246="Duplicate - Exclude","Repeat of an earlier Order ID",IF(B246="","Date missing or unreadable",IF(H246="","Quantity missing or unreadable",IF(I246="","Unit price missing or unreadable","Order ID missing")))))</f>
        <v/>
      </c>
    </row>
    <row r="247" customFormat="false" ht="15" hidden="false" customHeight="true" outlineLevel="0" collapsed="false">
      <c r="A247" s="17" t="str">
        <f aca="false">UPPER(TRIM(Raw_Data!A247))</f>
        <v>ORD-1238</v>
      </c>
      <c r="B247" s="18" t="n">
        <f aca="false">IFERROR(IF(ISNUMBER(Raw_Data!B247),Raw_Data!B247,IF(ISNUMBER(FIND("/",Raw_Data!B247)),DATE(VALUE(RIGHT(TRIM(Raw_Data!B247),4)),VALUE(MID(TRIM(Raw_Data!B247),4,2)),VALUE(LEFT(TRIM(Raw_Data!B247),2))),IF(MID(TRIM(Raw_Data!B247),5,1)="-",DATE(VALUE(LEFT(TRIM(Raw_Data!B247),4)),VALUE(MID(TRIM(Raw_Data!B247),6,2)),VALUE(RIGHT(TRIM(Raw_Data!B247),2))),DATE(VALUE(RIGHT(TRIM(Raw_Data!B247),4)),MATCH(MID(TRIM(Raw_Data!B247),4,3),{"Jan","Feb","Mar","Apr","May","Jun","Jul","Aug","Sep","Oct","Nov","Dec"},0),VALUE(LEFT(TRIM(Raw_Data!B247),2)))))),"")</f>
        <v>46009</v>
      </c>
      <c r="C247" s="17" t="str">
        <f aca="false">IF(TRIM(Raw_Data!C247)="","Unknown",PROPER(TRIM(Raw_Data!C247)))</f>
        <v>Zain Raza</v>
      </c>
      <c r="D247" s="17" t="str">
        <f aca="false">IFERROR(INDEX({"Punjab","Sindh","KPK","Balochistan"},MATCH(UPPER(LEFT(TRIM(Raw_Data!D247),1)),{"P","S","K","B"},0)),IFERROR(INDEX(Data_Dictionary!$G$4:$G$16,MATCH(E247,Data_Dictionary!$F$4:$F$16,0)),"Unassigned"))</f>
        <v>Balochistan</v>
      </c>
      <c r="E247" s="17" t="str">
        <f aca="false">IF(TRIM(Raw_Data!E247)="","Unknown",PROPER(TRIM(Raw_Data!E247)))</f>
        <v>Quetta</v>
      </c>
      <c r="F247" s="17" t="str">
        <f aca="false">IFERROR(INDEX({"Electronics","Home &amp; Kitchen","Clothing","Groceries","Beauty"},MATCH(UPPER(LEFT(TRIM(Raw_Data!F247),3)),{"ELE","HOM","CLO","GRO","BEA"},0)),"Uncategorised")</f>
        <v>Clothing</v>
      </c>
      <c r="G247" s="17" t="str">
        <f aca="false">IF(TRIM(Raw_Data!G247)="","Unknown",PROPER(TRIM(Raw_Data!G247)))</f>
        <v>Mens Kurta</v>
      </c>
      <c r="H247" s="19" t="n">
        <f aca="false">IFERROR(ABS(VALUE(TRIM(Raw_Data!H247))),"")</f>
        <v>3</v>
      </c>
      <c r="I247" s="20" t="n">
        <f aca="false">IFERROR(VALUE(TRIM(SUBSTITUTE(SUBSTITUTE(SUBSTITUTE(SUBSTITUTE(TRIM(Raw_Data!I247),"PKR",""),"Rs.",""),"Rs",""),",",""))),"")</f>
        <v>3050</v>
      </c>
      <c r="J247" s="21" t="n">
        <f aca="false">IFERROR(IF(TRIM(Raw_Data!J247)="",0,IF(VALUE(TRIM(Raw_Data!J247))&gt;1,VALUE(TRIM(Raw_Data!J247))/100,VALUE(TRIM(Raw_Data!J247)))),0)</f>
        <v>0.1</v>
      </c>
      <c r="K247" s="17" t="str">
        <f aca="false">IF(TRIM(Raw_Data!K247)="","Unassigned",PROPER(TRIM(Raw_Data!K247)))</f>
        <v>Imran Shah</v>
      </c>
      <c r="L247" s="17" t="str">
        <f aca="false">IFERROR(INDEX({"Credit Card","Credit Card","Debit Card","Debit Card","Cash","PayPal"},MATCH(UPPER(LEFT(TRIM(Raw_Data!L247),2)),{"CR","CC","DE","DC","CA","PA"},0)),"Other")</f>
        <v>Credit Card</v>
      </c>
      <c r="M247" s="17" t="str">
        <f aca="false">IFERROR(INDEX({"Completed","Returned","Cancelled","Pending"},MATCH(UPPER(LEFT(TRIM(Raw_Data!M247),3)),{"COM","RET","CAN","PEN"},0)),"Unknown")</f>
        <v>Completed</v>
      </c>
      <c r="N247" s="20" t="n">
        <f aca="false">IF(OR(H247="",I247=""),"",H247*I247)</f>
        <v>9150</v>
      </c>
      <c r="O247" s="20" t="n">
        <f aca="false">IF(N247="","",N247*J247)</f>
        <v>915</v>
      </c>
      <c r="P247" s="20" t="n">
        <f aca="false">IF(N247="","",N247-O247)</f>
        <v>8235</v>
      </c>
      <c r="Q247" s="22" t="n">
        <f aca="false">IF(B247="","",DATE(YEAR(B247),MONTH(B247),1))</f>
        <v>45992</v>
      </c>
      <c r="R247" s="17" t="str">
        <f aca="false">IF(A247="","Invalid - Exclude",IF(COUNTIF($A$2:A247,A247)&gt;1,"Duplicate - Exclude",IF(OR(B247="",H247="",I247=""),"Invalid - Exclude","Valid")))</f>
        <v>Valid</v>
      </c>
      <c r="S247" s="17" t="str">
        <f aca="false">IF(R247="Valid","",IF(R247="Duplicate - Exclude","Repeat of an earlier Order ID",IF(B247="","Date missing or unreadable",IF(H247="","Quantity missing or unreadable",IF(I247="","Unit price missing or unreadable","Order ID missing")))))</f>
        <v/>
      </c>
    </row>
    <row r="248" customFormat="false" ht="15" hidden="false" customHeight="true" outlineLevel="0" collapsed="false">
      <c r="A248" s="9" t="str">
        <f aca="false">UPPER(TRIM(Raw_Data!A248))</f>
        <v>ORD-1239</v>
      </c>
      <c r="B248" s="10" t="n">
        <f aca="false">IFERROR(IF(ISNUMBER(Raw_Data!B248),Raw_Data!B248,IF(ISNUMBER(FIND("/",Raw_Data!B248)),DATE(VALUE(RIGHT(TRIM(Raw_Data!B248),4)),VALUE(MID(TRIM(Raw_Data!B248),4,2)),VALUE(LEFT(TRIM(Raw_Data!B248),2))),IF(MID(TRIM(Raw_Data!B248),5,1)="-",DATE(VALUE(LEFT(TRIM(Raw_Data!B248),4)),VALUE(MID(TRIM(Raw_Data!B248),6,2)),VALUE(RIGHT(TRIM(Raw_Data!B248),2))),DATE(VALUE(RIGHT(TRIM(Raw_Data!B248),4)),MATCH(MID(TRIM(Raw_Data!B248),4,3),{"Jan","Feb","Mar","Apr","May","Jun","Jul","Aug","Sep","Oct","Nov","Dec"},0),VALUE(LEFT(TRIM(Raw_Data!B248),2)))))),"")</f>
        <v>45886</v>
      </c>
      <c r="C248" s="9" t="str">
        <f aca="false">IF(TRIM(Raw_Data!C248)="","Unknown",PROPER(TRIM(Raw_Data!C248)))</f>
        <v>Kashif Malik</v>
      </c>
      <c r="D248" s="9" t="str">
        <f aca="false">IFERROR(INDEX({"Punjab","Sindh","KPK","Balochistan"},MATCH(UPPER(LEFT(TRIM(Raw_Data!D248),1)),{"P","S","K","B"},0)),IFERROR(INDEX(Data_Dictionary!$G$4:$G$16,MATCH(E248,Data_Dictionary!$F$4:$F$16,0)),"Unassigned"))</f>
        <v>Punjab</v>
      </c>
      <c r="E248" s="9" t="str">
        <f aca="false">IF(TRIM(Raw_Data!E248)="","Unknown",PROPER(TRIM(Raw_Data!E248)))</f>
        <v>Rawalpindi</v>
      </c>
      <c r="F248" s="9" t="str">
        <f aca="false">IFERROR(INDEX({"Electronics","Home &amp; Kitchen","Clothing","Groceries","Beauty"},MATCH(UPPER(LEFT(TRIM(Raw_Data!F248),3)),{"ELE","HOM","CLO","GRO","BEA"},0)),"Uncategorised")</f>
        <v>Beauty</v>
      </c>
      <c r="G248" s="9" t="str">
        <f aca="false">IF(TRIM(Raw_Data!G248)="","Unknown",PROPER(TRIM(Raw_Data!G248)))</f>
        <v>Perfume Spray</v>
      </c>
      <c r="H248" s="11" t="n">
        <f aca="false">IFERROR(ABS(VALUE(TRIM(Raw_Data!H248))),"")</f>
        <v>4</v>
      </c>
      <c r="I248" s="12" t="n">
        <f aca="false">IFERROR(VALUE(TRIM(SUBSTITUTE(SUBSTITUTE(SUBSTITUTE(SUBSTITUTE(TRIM(Raw_Data!I248),"PKR",""),"Rs.",""),"Rs",""),",",""))),"")</f>
        <v>3900</v>
      </c>
      <c r="J248" s="13" t="n">
        <f aca="false">IFERROR(IF(TRIM(Raw_Data!J248)="",0,IF(VALUE(TRIM(Raw_Data!J248))&gt;1,VALUE(TRIM(Raw_Data!J248))/100,VALUE(TRIM(Raw_Data!J248)))),0)</f>
        <v>0</v>
      </c>
      <c r="K248" s="9" t="str">
        <f aca="false">IF(TRIM(Raw_Data!K248)="","Unassigned",PROPER(TRIM(Raw_Data!K248)))</f>
        <v>Unassigned</v>
      </c>
      <c r="L248" s="9" t="str">
        <f aca="false">IFERROR(INDEX({"Credit Card","Credit Card","Debit Card","Debit Card","Cash","PayPal"},MATCH(UPPER(LEFT(TRIM(Raw_Data!L248),2)),{"CR","CC","DE","DC","CA","PA"},0)),"Other")</f>
        <v>Cash</v>
      </c>
      <c r="M248" s="9" t="str">
        <f aca="false">IFERROR(INDEX({"Completed","Returned","Cancelled","Pending"},MATCH(UPPER(LEFT(TRIM(Raw_Data!M248),3)),{"COM","RET","CAN","PEN"},0)),"Unknown")</f>
        <v>Returned</v>
      </c>
      <c r="N248" s="14" t="n">
        <f aca="false">IF(OR(H248="",I248=""),"",H248*I248)</f>
        <v>15600</v>
      </c>
      <c r="O248" s="14" t="n">
        <f aca="false">IF(N248="","",N248*J248)</f>
        <v>0</v>
      </c>
      <c r="P248" s="14" t="n">
        <f aca="false">IF(N248="","",N248-O248)</f>
        <v>15600</v>
      </c>
      <c r="Q248" s="15" t="n">
        <f aca="false">IF(B248="","",DATE(YEAR(B248),MONTH(B248),1))</f>
        <v>45870</v>
      </c>
      <c r="R248" s="16" t="str">
        <f aca="false">IF(A248="","Invalid - Exclude",IF(COUNTIF($A$2:A248,A248)&gt;1,"Duplicate - Exclude",IF(OR(B248="",H248="",I248=""),"Invalid - Exclude","Valid")))</f>
        <v>Valid</v>
      </c>
      <c r="S248" s="16" t="str">
        <f aca="false">IF(R248="Valid","",IF(R248="Duplicate - Exclude","Repeat of an earlier Order ID",IF(B248="","Date missing or unreadable",IF(H248="","Quantity missing or unreadable",IF(I248="","Unit price missing or unreadable","Order ID missing")))))</f>
        <v/>
      </c>
    </row>
    <row r="249" customFormat="false" ht="15" hidden="false" customHeight="true" outlineLevel="0" collapsed="false">
      <c r="A249" s="17" t="str">
        <f aca="false">UPPER(TRIM(Raw_Data!A249))</f>
        <v>ORD-1240</v>
      </c>
      <c r="B249" s="18" t="n">
        <f aca="false">IFERROR(IF(ISNUMBER(Raw_Data!B249),Raw_Data!B249,IF(ISNUMBER(FIND("/",Raw_Data!B249)),DATE(VALUE(RIGHT(TRIM(Raw_Data!B249),4)),VALUE(MID(TRIM(Raw_Data!B249),4,2)),VALUE(LEFT(TRIM(Raw_Data!B249),2))),IF(MID(TRIM(Raw_Data!B249),5,1)="-",DATE(VALUE(LEFT(TRIM(Raw_Data!B249),4)),VALUE(MID(TRIM(Raw_Data!B249),6,2)),VALUE(RIGHT(TRIM(Raw_Data!B249),2))),DATE(VALUE(RIGHT(TRIM(Raw_Data!B249),4)),MATCH(MID(TRIM(Raw_Data!B249),4,3),{"Jan","Feb","Mar","Apr","May","Jun","Jul","Aug","Sep","Oct","Nov","Dec"},0),VALUE(LEFT(TRIM(Raw_Data!B249),2)))))),"")</f>
        <v>45896</v>
      </c>
      <c r="C249" s="17" t="str">
        <f aca="false">IF(TRIM(Raw_Data!C249)="","Unknown",PROPER(TRIM(Raw_Data!C249)))</f>
        <v>Zain Raza</v>
      </c>
      <c r="D249" s="17" t="str">
        <f aca="false">IFERROR(INDEX({"Punjab","Sindh","KPK","Balochistan"},MATCH(UPPER(LEFT(TRIM(Raw_Data!D249),1)),{"P","S","K","B"},0)),IFERROR(INDEX(Data_Dictionary!$G$4:$G$16,MATCH(E249,Data_Dictionary!$F$4:$F$16,0)),"Unassigned"))</f>
        <v>Punjab</v>
      </c>
      <c r="E249" s="17" t="str">
        <f aca="false">IF(TRIM(Raw_Data!E249)="","Unknown",PROPER(TRIM(Raw_Data!E249)))</f>
        <v>Faisalabad</v>
      </c>
      <c r="F249" s="17" t="str">
        <f aca="false">IFERROR(INDEX({"Electronics","Home &amp; Kitchen","Clothing","Groceries","Beauty"},MATCH(UPPER(LEFT(TRIM(Raw_Data!F249),3)),{"ELE","HOM","CLO","GRO","BEA"},0)),"Uncategorised")</f>
        <v>Beauty</v>
      </c>
      <c r="G249" s="17" t="str">
        <f aca="false">IF(TRIM(Raw_Data!G249)="","Unknown",PROPER(TRIM(Raw_Data!G249)))</f>
        <v>Hair Dryer</v>
      </c>
      <c r="H249" s="19" t="n">
        <f aca="false">IFERROR(ABS(VALUE(TRIM(Raw_Data!H249))),"")</f>
        <v>5</v>
      </c>
      <c r="I249" s="20" t="n">
        <f aca="false">IFERROR(VALUE(TRIM(SUBSTITUTE(SUBSTITUTE(SUBSTITUTE(SUBSTITUTE(TRIM(Raw_Data!I249),"PKR",""),"Rs.",""),"Rs",""),",",""))),"")</f>
        <v>4350</v>
      </c>
      <c r="J249" s="21" t="n">
        <f aca="false">IFERROR(IF(TRIM(Raw_Data!J249)="",0,IF(VALUE(TRIM(Raw_Data!J249))&gt;1,VALUE(TRIM(Raw_Data!J249))/100,VALUE(TRIM(Raw_Data!J249)))),0)</f>
        <v>0</v>
      </c>
      <c r="K249" s="17" t="str">
        <f aca="false">IF(TRIM(Raw_Data!K249)="","Unassigned",PROPER(TRIM(Raw_Data!K249)))</f>
        <v>Zoya Tariq</v>
      </c>
      <c r="L249" s="17" t="str">
        <f aca="false">IFERROR(INDEX({"Credit Card","Credit Card","Debit Card","Debit Card","Cash","PayPal"},MATCH(UPPER(LEFT(TRIM(Raw_Data!L249),2)),{"CR","CC","DE","DC","CA","PA"},0)),"Other")</f>
        <v>Cash</v>
      </c>
      <c r="M249" s="17" t="str">
        <f aca="false">IFERROR(INDEX({"Completed","Returned","Cancelled","Pending"},MATCH(UPPER(LEFT(TRIM(Raw_Data!M249),3)),{"COM","RET","CAN","PEN"},0)),"Unknown")</f>
        <v>Completed</v>
      </c>
      <c r="N249" s="20" t="n">
        <f aca="false">IF(OR(H249="",I249=""),"",H249*I249)</f>
        <v>21750</v>
      </c>
      <c r="O249" s="20" t="n">
        <f aca="false">IF(N249="","",N249*J249)</f>
        <v>0</v>
      </c>
      <c r="P249" s="20" t="n">
        <f aca="false">IF(N249="","",N249-O249)</f>
        <v>21750</v>
      </c>
      <c r="Q249" s="22" t="n">
        <f aca="false">IF(B249="","",DATE(YEAR(B249),MONTH(B249),1))</f>
        <v>45870</v>
      </c>
      <c r="R249" s="17" t="str">
        <f aca="false">IF(A249="","Invalid - Exclude",IF(COUNTIF($A$2:A249,A249)&gt;1,"Duplicate - Exclude",IF(OR(B249="",H249="",I249=""),"Invalid - Exclude","Valid")))</f>
        <v>Valid</v>
      </c>
      <c r="S249" s="17" t="str">
        <f aca="false">IF(R249="Valid","",IF(R249="Duplicate - Exclude","Repeat of an earlier Order ID",IF(B249="","Date missing or unreadable",IF(H249="","Quantity missing or unreadable",IF(I249="","Unit price missing or unreadable","Order ID missing")))))</f>
        <v/>
      </c>
    </row>
    <row r="250" customFormat="false" ht="15" hidden="false" customHeight="true" outlineLevel="0" collapsed="false">
      <c r="A250" s="9" t="str">
        <f aca="false">UPPER(TRIM(Raw_Data!A250))</f>
        <v>ORD-1141</v>
      </c>
      <c r="B250" s="10" t="n">
        <f aca="false">IFERROR(IF(ISNUMBER(Raw_Data!B250),Raw_Data!B250,IF(ISNUMBER(FIND("/",Raw_Data!B250)),DATE(VALUE(RIGHT(TRIM(Raw_Data!B250),4)),VALUE(MID(TRIM(Raw_Data!B250),4,2)),VALUE(LEFT(TRIM(Raw_Data!B250),2))),IF(MID(TRIM(Raw_Data!B250),5,1)="-",DATE(VALUE(LEFT(TRIM(Raw_Data!B250),4)),VALUE(MID(TRIM(Raw_Data!B250),6,2)),VALUE(RIGHT(TRIM(Raw_Data!B250),2))),DATE(VALUE(RIGHT(TRIM(Raw_Data!B250),4)),MATCH(MID(TRIM(Raw_Data!B250),4,3),{"Jan","Feb","Mar","Apr","May","Jun","Jul","Aug","Sep","Oct","Nov","Dec"},0),VALUE(LEFT(TRIM(Raw_Data!B250),2)))))),"")</f>
        <v>45756</v>
      </c>
      <c r="C250" s="9" t="str">
        <f aca="false">IF(TRIM(Raw_Data!C250)="","Unknown",PROPER(TRIM(Raw_Data!C250)))</f>
        <v>Kashif Malik</v>
      </c>
      <c r="D250" s="9" t="str">
        <f aca="false">IFERROR(INDEX({"Punjab","Sindh","KPK","Balochistan"},MATCH(UPPER(LEFT(TRIM(Raw_Data!D250),1)),{"P","S","K","B"},0)),IFERROR(INDEX(Data_Dictionary!$G$4:$G$16,MATCH(E250,Data_Dictionary!$F$4:$F$16,0)),"Unassigned"))</f>
        <v>Punjab</v>
      </c>
      <c r="E250" s="9" t="str">
        <f aca="false">IF(TRIM(Raw_Data!E250)="","Unknown",PROPER(TRIM(Raw_Data!E250)))</f>
        <v>Lahore</v>
      </c>
      <c r="F250" s="9" t="str">
        <f aca="false">IFERROR(INDEX({"Electronics","Home &amp; Kitchen","Clothing","Groceries","Beauty"},MATCH(UPPER(LEFT(TRIM(Raw_Data!F250),3)),{"ELE","HOM","CLO","GRO","BEA"},0)),"Uncategorised")</f>
        <v>Groceries</v>
      </c>
      <c r="G250" s="9" t="str">
        <f aca="false">IF(TRIM(Raw_Data!G250)="","Unknown",PROPER(TRIM(Raw_Data!G250)))</f>
        <v>Refined Sugar 10 Kg</v>
      </c>
      <c r="H250" s="11" t="n">
        <f aca="false">IFERROR(ABS(VALUE(TRIM(Raw_Data!H250))),"")</f>
        <v>1</v>
      </c>
      <c r="I250" s="12" t="n">
        <f aca="false">IFERROR(VALUE(TRIM(SUBSTITUTE(SUBSTITUTE(SUBSTITUTE(SUBSTITUTE(TRIM(Raw_Data!I250),"PKR",""),"Rs.",""),"Rs",""),",",""))),"")</f>
        <v>1650</v>
      </c>
      <c r="J250" s="13" t="n">
        <f aca="false">IFERROR(IF(TRIM(Raw_Data!J250)="",0,IF(VALUE(TRIM(Raw_Data!J250))&gt;1,VALUE(TRIM(Raw_Data!J250))/100,VALUE(TRIM(Raw_Data!J250)))),0)</f>
        <v>0.15</v>
      </c>
      <c r="K250" s="9" t="str">
        <f aca="false">IF(TRIM(Raw_Data!K250)="","Unassigned",PROPER(TRIM(Raw_Data!K250)))</f>
        <v>Faisal Mehmood</v>
      </c>
      <c r="L250" s="9" t="str">
        <f aca="false">IFERROR(INDEX({"Credit Card","Credit Card","Debit Card","Debit Card","Cash","PayPal"},MATCH(UPPER(LEFT(TRIM(Raw_Data!L250),2)),{"CR","CC","DE","DC","CA","PA"},0)),"Other")</f>
        <v>Debit Card</v>
      </c>
      <c r="M250" s="9" t="str">
        <f aca="false">IFERROR(INDEX({"Completed","Returned","Cancelled","Pending"},MATCH(UPPER(LEFT(TRIM(Raw_Data!M250),3)),{"COM","RET","CAN","PEN"},0)),"Unknown")</f>
        <v>Completed</v>
      </c>
      <c r="N250" s="14" t="n">
        <f aca="false">IF(OR(H250="",I250=""),"",H250*I250)</f>
        <v>1650</v>
      </c>
      <c r="O250" s="14" t="n">
        <f aca="false">IF(N250="","",N250*J250)</f>
        <v>247.5</v>
      </c>
      <c r="P250" s="14" t="n">
        <f aca="false">IF(N250="","",N250-O250)</f>
        <v>1402.5</v>
      </c>
      <c r="Q250" s="15" t="n">
        <f aca="false">IF(B250="","",DATE(YEAR(B250),MONTH(B250),1))</f>
        <v>45748</v>
      </c>
      <c r="R250" s="16" t="str">
        <f aca="false">IF(A250="","Invalid - Exclude",IF(COUNTIF($A$2:A250,A250)&gt;1,"Duplicate - Exclude",IF(OR(B250="",H250="",I250=""),"Invalid - Exclude","Valid")))</f>
        <v>Duplicate - Exclude</v>
      </c>
      <c r="S250" s="16" t="str">
        <f aca="false">IF(R250="Valid","",IF(R250="Duplicate - Exclude","Repeat of an earlier Order ID",IF(B250="","Date missing or unreadable",IF(H250="","Quantity missing or unreadable",IF(I250="","Unit price missing or unreadable","Order ID missing")))))</f>
        <v>Repeat of an earlier Order ID</v>
      </c>
    </row>
    <row r="251" customFormat="false" ht="15" hidden="false" customHeight="true" outlineLevel="0" collapsed="false">
      <c r="A251" s="17" t="str">
        <f aca="false">UPPER(TRIM(Raw_Data!A251))</f>
        <v>ORD-1241</v>
      </c>
      <c r="B251" s="18" t="n">
        <f aca="false">IFERROR(IF(ISNUMBER(Raw_Data!B251),Raw_Data!B251,IF(ISNUMBER(FIND("/",Raw_Data!B251)),DATE(VALUE(RIGHT(TRIM(Raw_Data!B251),4)),VALUE(MID(TRIM(Raw_Data!B251),4,2)),VALUE(LEFT(TRIM(Raw_Data!B251),2))),IF(MID(TRIM(Raw_Data!B251),5,1)="-",DATE(VALUE(LEFT(TRIM(Raw_Data!B251),4)),VALUE(MID(TRIM(Raw_Data!B251),6,2)),VALUE(RIGHT(TRIM(Raw_Data!B251),2))),DATE(VALUE(RIGHT(TRIM(Raw_Data!B251),4)),MATCH(MID(TRIM(Raw_Data!B251),4,3),{"Jan","Feb","Mar","Apr","May","Jun","Jul","Aug","Sep","Oct","Nov","Dec"},0),VALUE(LEFT(TRIM(Raw_Data!B251),2)))))),"")</f>
        <v>45836</v>
      </c>
      <c r="C251" s="17" t="str">
        <f aca="false">IF(TRIM(Raw_Data!C251)="","Unknown",PROPER(TRIM(Raw_Data!C251)))</f>
        <v>Ayesha Malik</v>
      </c>
      <c r="D251" s="17" t="str">
        <f aca="false">IFERROR(INDEX({"Punjab","Sindh","KPK","Balochistan"},MATCH(UPPER(LEFT(TRIM(Raw_Data!D251),1)),{"P","S","K","B"},0)),IFERROR(INDEX(Data_Dictionary!$G$4:$G$16,MATCH(E251,Data_Dictionary!$F$4:$F$16,0)),"Unassigned"))</f>
        <v>Sindh</v>
      </c>
      <c r="E251" s="17" t="str">
        <f aca="false">IF(TRIM(Raw_Data!E251)="","Unknown",PROPER(TRIM(Raw_Data!E251)))</f>
        <v>Karachi</v>
      </c>
      <c r="F251" s="17" t="str">
        <f aca="false">IFERROR(INDEX({"Electronics","Home &amp; Kitchen","Clothing","Groceries","Beauty"},MATCH(UPPER(LEFT(TRIM(Raw_Data!F251),3)),{"ELE","HOM","CLO","GRO","BEA"},0)),"Uncategorised")</f>
        <v>Clothing</v>
      </c>
      <c r="G251" s="17" t="str">
        <f aca="false">IF(TRIM(Raw_Data!G251)="","Unknown",PROPER(TRIM(Raw_Data!G251)))</f>
        <v>Mens Kurta</v>
      </c>
      <c r="H251" s="19" t="n">
        <f aca="false">IFERROR(ABS(VALUE(TRIM(Raw_Data!H251))),"")</f>
        <v>7</v>
      </c>
      <c r="I251" s="20" t="n">
        <f aca="false">IFERROR(VALUE(TRIM(SUBSTITUTE(SUBSTITUTE(SUBSTITUTE(SUBSTITUTE(TRIM(Raw_Data!I251),"PKR",""),"Rs.",""),"Rs",""),",",""))),"")</f>
        <v>3150</v>
      </c>
      <c r="J251" s="21" t="n">
        <f aca="false">IFERROR(IF(TRIM(Raw_Data!J251)="",0,IF(VALUE(TRIM(Raw_Data!J251))&gt;1,VALUE(TRIM(Raw_Data!J251))/100,VALUE(TRIM(Raw_Data!J251)))),0)</f>
        <v>0.15</v>
      </c>
      <c r="K251" s="17" t="str">
        <f aca="false">IF(TRIM(Raw_Data!K251)="","Unassigned",PROPER(TRIM(Raw_Data!K251)))</f>
        <v>Imran Shah</v>
      </c>
      <c r="L251" s="17" t="str">
        <f aca="false">IFERROR(INDEX({"Credit Card","Credit Card","Debit Card","Debit Card","Cash","PayPal"},MATCH(UPPER(LEFT(TRIM(Raw_Data!L251),2)),{"CR","CC","DE","DC","CA","PA"},0)),"Other")</f>
        <v>Credit Card</v>
      </c>
      <c r="M251" s="17" t="str">
        <f aca="false">IFERROR(INDEX({"Completed","Returned","Cancelled","Pending"},MATCH(UPPER(LEFT(TRIM(Raw_Data!M251),3)),{"COM","RET","CAN","PEN"},0)),"Unknown")</f>
        <v>Completed</v>
      </c>
      <c r="N251" s="20" t="n">
        <f aca="false">IF(OR(H251="",I251=""),"",H251*I251)</f>
        <v>22050</v>
      </c>
      <c r="O251" s="20" t="n">
        <f aca="false">IF(N251="","",N251*J251)</f>
        <v>3307.5</v>
      </c>
      <c r="P251" s="20" t="n">
        <f aca="false">IF(N251="","",N251-O251)</f>
        <v>18742.5</v>
      </c>
      <c r="Q251" s="22" t="n">
        <f aca="false">IF(B251="","",DATE(YEAR(B251),MONTH(B251),1))</f>
        <v>45809</v>
      </c>
      <c r="R251" s="17" t="str">
        <f aca="false">IF(A251="","Invalid - Exclude",IF(COUNTIF($A$2:A251,A251)&gt;1,"Duplicate - Exclude",IF(OR(B251="",H251="",I251=""),"Invalid - Exclude","Valid")))</f>
        <v>Valid</v>
      </c>
      <c r="S251" s="17" t="str">
        <f aca="false">IF(R251="Valid","",IF(R251="Duplicate - Exclude","Repeat of an earlier Order ID",IF(B251="","Date missing or unreadable",IF(H251="","Quantity missing or unreadable",IF(I251="","Unit price missing or unreadable","Order ID missing")))))</f>
        <v/>
      </c>
    </row>
    <row r="252" customFormat="false" ht="15" hidden="false" customHeight="true" outlineLevel="0" collapsed="false">
      <c r="A252" s="9" t="str">
        <f aca="false">UPPER(TRIM(Raw_Data!A252))</f>
        <v>ORD-1242</v>
      </c>
      <c r="B252" s="10" t="n">
        <f aca="false">IFERROR(IF(ISNUMBER(Raw_Data!B252),Raw_Data!B252,IF(ISNUMBER(FIND("/",Raw_Data!B252)),DATE(VALUE(RIGHT(TRIM(Raw_Data!B252),4)),VALUE(MID(TRIM(Raw_Data!B252),4,2)),VALUE(LEFT(TRIM(Raw_Data!B252),2))),IF(MID(TRIM(Raw_Data!B252),5,1)="-",DATE(VALUE(LEFT(TRIM(Raw_Data!B252),4)),VALUE(MID(TRIM(Raw_Data!B252),6,2)),VALUE(RIGHT(TRIM(Raw_Data!B252),2))),DATE(VALUE(RIGHT(TRIM(Raw_Data!B252),4)),MATCH(MID(TRIM(Raw_Data!B252),4,3),{"Jan","Feb","Mar","Apr","May","Jun","Jul","Aug","Sep","Oct","Nov","Dec"},0),VALUE(LEFT(TRIM(Raw_Data!B252),2)))))),"")</f>
        <v>45790</v>
      </c>
      <c r="C252" s="9" t="str">
        <f aca="false">IF(TRIM(Raw_Data!C252)="","Unknown",PROPER(TRIM(Raw_Data!C252)))</f>
        <v>Nida Siddiqui</v>
      </c>
      <c r="D252" s="9" t="str">
        <f aca="false">IFERROR(INDEX({"Punjab","Sindh","KPK","Balochistan"},MATCH(UPPER(LEFT(TRIM(Raw_Data!D252),1)),{"P","S","K","B"},0)),IFERROR(INDEX(Data_Dictionary!$G$4:$G$16,MATCH(E252,Data_Dictionary!$F$4:$F$16,0)),"Unassigned"))</f>
        <v>Balochistan</v>
      </c>
      <c r="E252" s="9" t="str">
        <f aca="false">IF(TRIM(Raw_Data!E252)="","Unknown",PROPER(TRIM(Raw_Data!E252)))</f>
        <v>Quetta</v>
      </c>
      <c r="F252" s="9" t="str">
        <f aca="false">IFERROR(INDEX({"Electronics","Home &amp; Kitchen","Clothing","Groceries","Beauty"},MATCH(UPPER(LEFT(TRIM(Raw_Data!F252),3)),{"ELE","HOM","CLO","GRO","BEA"},0)),"Uncategorised")</f>
        <v>Clothing</v>
      </c>
      <c r="G252" s="9" t="str">
        <f aca="false">IF(TRIM(Raw_Data!G252)="","Unknown",PROPER(TRIM(Raw_Data!G252)))</f>
        <v>Running Shoes</v>
      </c>
      <c r="H252" s="11" t="n">
        <f aca="false">IFERROR(ABS(VALUE(TRIM(Raw_Data!H252))),"")</f>
        <v>1</v>
      </c>
      <c r="I252" s="12" t="n">
        <f aca="false">IFERROR(VALUE(TRIM(SUBSTITUTE(SUBSTITUTE(SUBSTITUTE(SUBSTITUTE(TRIM(Raw_Data!I252),"PKR",""),"Rs.",""),"Rs",""),",",""))),"")</f>
        <v>7600</v>
      </c>
      <c r="J252" s="13" t="n">
        <f aca="false">IFERROR(IF(TRIM(Raw_Data!J252)="",0,IF(VALUE(TRIM(Raw_Data!J252))&gt;1,VALUE(TRIM(Raw_Data!J252))/100,VALUE(TRIM(Raw_Data!J252)))),0)</f>
        <v>0.1</v>
      </c>
      <c r="K252" s="9" t="str">
        <f aca="false">IF(TRIM(Raw_Data!K252)="","Unassigned",PROPER(TRIM(Raw_Data!K252)))</f>
        <v>Nimra Aslam</v>
      </c>
      <c r="L252" s="9" t="str">
        <f aca="false">IFERROR(INDEX({"Credit Card","Credit Card","Debit Card","Debit Card","Cash","PayPal"},MATCH(UPPER(LEFT(TRIM(Raw_Data!L252),2)),{"CR","CC","DE","DC","CA","PA"},0)),"Other")</f>
        <v>Credit Card</v>
      </c>
      <c r="M252" s="9" t="str">
        <f aca="false">IFERROR(INDEX({"Completed","Returned","Cancelled","Pending"},MATCH(UPPER(LEFT(TRIM(Raw_Data!M252),3)),{"COM","RET","CAN","PEN"},0)),"Unknown")</f>
        <v>Completed</v>
      </c>
      <c r="N252" s="14" t="n">
        <f aca="false">IF(OR(H252="",I252=""),"",H252*I252)</f>
        <v>7600</v>
      </c>
      <c r="O252" s="14" t="n">
        <f aca="false">IF(N252="","",N252*J252)</f>
        <v>760</v>
      </c>
      <c r="P252" s="14" t="n">
        <f aca="false">IF(N252="","",N252-O252)</f>
        <v>6840</v>
      </c>
      <c r="Q252" s="15" t="n">
        <f aca="false">IF(B252="","",DATE(YEAR(B252),MONTH(B252),1))</f>
        <v>45778</v>
      </c>
      <c r="R252" s="16" t="str">
        <f aca="false">IF(A252="","Invalid - Exclude",IF(COUNTIF($A$2:A252,A252)&gt;1,"Duplicate - Exclude",IF(OR(B252="",H252="",I252=""),"Invalid - Exclude","Valid")))</f>
        <v>Valid</v>
      </c>
      <c r="S252" s="16" t="str">
        <f aca="false">IF(R252="Valid","",IF(R252="Duplicate - Exclude","Repeat of an earlier Order ID",IF(B252="","Date missing or unreadable",IF(H252="","Quantity missing or unreadable",IF(I252="","Unit price missing or unreadable","Order ID missing")))))</f>
        <v/>
      </c>
    </row>
    <row r="253" customFormat="false" ht="15" hidden="false" customHeight="true" outlineLevel="0" collapsed="false">
      <c r="A253" s="17" t="str">
        <f aca="false">UPPER(TRIM(Raw_Data!A253))</f>
        <v>ORD-1090</v>
      </c>
      <c r="B253" s="18" t="n">
        <f aca="false">IFERROR(IF(ISNUMBER(Raw_Data!B253),Raw_Data!B253,IF(ISNUMBER(FIND("/",Raw_Data!B253)),DATE(VALUE(RIGHT(TRIM(Raw_Data!B253),4)),VALUE(MID(TRIM(Raw_Data!B253),4,2)),VALUE(LEFT(TRIM(Raw_Data!B253),2))),IF(MID(TRIM(Raw_Data!B253),5,1)="-",DATE(VALUE(LEFT(TRIM(Raw_Data!B253),4)),VALUE(MID(TRIM(Raw_Data!B253),6,2)),VALUE(RIGHT(TRIM(Raw_Data!B253),2))),DATE(VALUE(RIGHT(TRIM(Raw_Data!B253),4)),MATCH(MID(TRIM(Raw_Data!B253),4,3),{"Jan","Feb","Mar","Apr","May","Jun","Jul","Aug","Sep","Oct","Nov","Dec"},0),VALUE(LEFT(TRIM(Raw_Data!B253),2)))))),"")</f>
        <v>45945</v>
      </c>
      <c r="C253" s="17" t="str">
        <f aca="false">IF(TRIM(Raw_Data!C253)="","Unknown",PROPER(TRIM(Raw_Data!C253)))</f>
        <v>Iqra Ansari</v>
      </c>
      <c r="D253" s="17" t="str">
        <f aca="false">IFERROR(INDEX({"Punjab","Sindh","KPK","Balochistan"},MATCH(UPPER(LEFT(TRIM(Raw_Data!D253),1)),{"P","S","K","B"},0)),IFERROR(INDEX(Data_Dictionary!$G$4:$G$16,MATCH(E253,Data_Dictionary!$F$4:$F$16,0)),"Unassigned"))</f>
        <v>Punjab</v>
      </c>
      <c r="E253" s="17" t="str">
        <f aca="false">IF(TRIM(Raw_Data!E253)="","Unknown",PROPER(TRIM(Raw_Data!E253)))</f>
        <v>Lahore</v>
      </c>
      <c r="F253" s="17" t="str">
        <f aca="false">IFERROR(INDEX({"Electronics","Home &amp; Kitchen","Clothing","Groceries","Beauty"},MATCH(UPPER(LEFT(TRIM(Raw_Data!F253),3)),{"ELE","HOM","CLO","GRO","BEA"},0)),"Uncategorised")</f>
        <v>Clothing</v>
      </c>
      <c r="G253" s="17" t="str">
        <f aca="false">IF(TRIM(Raw_Data!G253)="","Unknown",PROPER(TRIM(Raw_Data!G253)))</f>
        <v>Winter Jacket</v>
      </c>
      <c r="H253" s="19" t="n">
        <f aca="false">IFERROR(ABS(VALUE(TRIM(Raw_Data!H253))),"")</f>
        <v>2</v>
      </c>
      <c r="I253" s="20" t="n">
        <f aca="false">IFERROR(VALUE(TRIM(SUBSTITUTE(SUBSTITUTE(SUBSTITUTE(SUBSTITUTE(TRIM(Raw_Data!I253),"PKR",""),"Rs.",""),"Rs",""),",",""))),"")</f>
        <v>9950</v>
      </c>
      <c r="J253" s="21" t="n">
        <f aca="false">IFERROR(IF(TRIM(Raw_Data!J253)="",0,IF(VALUE(TRIM(Raw_Data!J253))&gt;1,VALUE(TRIM(Raw_Data!J253))/100,VALUE(TRIM(Raw_Data!J253)))),0)</f>
        <v>0.05</v>
      </c>
      <c r="K253" s="17" t="str">
        <f aca="false">IF(TRIM(Raw_Data!K253)="","Unassigned",PROPER(TRIM(Raw_Data!K253)))</f>
        <v>Waqar Ahmed</v>
      </c>
      <c r="L253" s="17" t="str">
        <f aca="false">IFERROR(INDEX({"Credit Card","Credit Card","Debit Card","Debit Card","Cash","PayPal"},MATCH(UPPER(LEFT(TRIM(Raw_Data!L253),2)),{"CR","CC","DE","DC","CA","PA"},0)),"Other")</f>
        <v>Credit Card</v>
      </c>
      <c r="M253" s="17" t="str">
        <f aca="false">IFERROR(INDEX({"Completed","Returned","Cancelled","Pending"},MATCH(UPPER(LEFT(TRIM(Raw_Data!M253),3)),{"COM","RET","CAN","PEN"},0)),"Unknown")</f>
        <v>Completed</v>
      </c>
      <c r="N253" s="20" t="n">
        <f aca="false">IF(OR(H253="",I253=""),"",H253*I253)</f>
        <v>19900</v>
      </c>
      <c r="O253" s="20" t="n">
        <f aca="false">IF(N253="","",N253*J253)</f>
        <v>995</v>
      </c>
      <c r="P253" s="20" t="n">
        <f aca="false">IF(N253="","",N253-O253)</f>
        <v>18905</v>
      </c>
      <c r="Q253" s="22" t="n">
        <f aca="false">IF(B253="","",DATE(YEAR(B253),MONTH(B253),1))</f>
        <v>45931</v>
      </c>
      <c r="R253" s="17" t="str">
        <f aca="false">IF(A253="","Invalid - Exclude",IF(COUNTIF($A$2:A253,A253)&gt;1,"Duplicate - Exclude",IF(OR(B253="",H253="",I253=""),"Invalid - Exclude","Valid")))</f>
        <v>Duplicate - Exclude</v>
      </c>
      <c r="S253" s="17" t="str">
        <f aca="false">IF(R253="Valid","",IF(R253="Duplicate - Exclude","Repeat of an earlier Order ID",IF(B253="","Date missing or unreadable",IF(H253="","Quantity missing or unreadable",IF(I253="","Unit price missing or unreadable","Order ID missing")))))</f>
        <v>Repeat of an earlier Order ID</v>
      </c>
    </row>
    <row r="254" customFormat="false" ht="15" hidden="false" customHeight="true" outlineLevel="0" collapsed="false">
      <c r="A254" s="9" t="str">
        <f aca="false">UPPER(TRIM(Raw_Data!A254))</f>
        <v>ORD-1243</v>
      </c>
      <c r="B254" s="10" t="n">
        <f aca="false">IFERROR(IF(ISNUMBER(Raw_Data!B254),Raw_Data!B254,IF(ISNUMBER(FIND("/",Raw_Data!B254)),DATE(VALUE(RIGHT(TRIM(Raw_Data!B254),4)),VALUE(MID(TRIM(Raw_Data!B254),4,2)),VALUE(LEFT(TRIM(Raw_Data!B254),2))),IF(MID(TRIM(Raw_Data!B254),5,1)="-",DATE(VALUE(LEFT(TRIM(Raw_Data!B254),4)),VALUE(MID(TRIM(Raw_Data!B254),6,2)),VALUE(RIGHT(TRIM(Raw_Data!B254),2))),DATE(VALUE(RIGHT(TRIM(Raw_Data!B254),4)),MATCH(MID(TRIM(Raw_Data!B254),4,3),{"Jan","Feb","Mar","Apr","May","Jun","Jul","Aug","Sep","Oct","Nov","Dec"},0),VALUE(LEFT(TRIM(Raw_Data!B254),2)))))),"")</f>
        <v>45701</v>
      </c>
      <c r="C254" s="9" t="str">
        <f aca="false">IF(TRIM(Raw_Data!C254)="","Unknown",PROPER(TRIM(Raw_Data!C254)))</f>
        <v>Hassan Raza</v>
      </c>
      <c r="D254" s="9" t="str">
        <f aca="false">IFERROR(INDEX({"Punjab","Sindh","KPK","Balochistan"},MATCH(UPPER(LEFT(TRIM(Raw_Data!D254),1)),{"P","S","K","B"},0)),IFERROR(INDEX(Data_Dictionary!$G$4:$G$16,MATCH(E254,Data_Dictionary!$F$4:$F$16,0)),"Unassigned"))</f>
        <v>Punjab</v>
      </c>
      <c r="E254" s="9" t="str">
        <f aca="false">IF(TRIM(Raw_Data!E254)="","Unknown",PROPER(TRIM(Raw_Data!E254)))</f>
        <v>Lahore</v>
      </c>
      <c r="F254" s="9" t="str">
        <f aca="false">IFERROR(INDEX({"Electronics","Home &amp; Kitchen","Clothing","Groceries","Beauty"},MATCH(UPPER(LEFT(TRIM(Raw_Data!F254),3)),{"ELE","HOM","CLO","GRO","BEA"},0)),"Uncategorised")</f>
        <v>Groceries</v>
      </c>
      <c r="G254" s="9" t="str">
        <f aca="false">IF(TRIM(Raw_Data!G254)="","Unknown",PROPER(TRIM(Raw_Data!G254)))</f>
        <v>Cooking Oil 5 Litre</v>
      </c>
      <c r="H254" s="11" t="n">
        <f aca="false">IFERROR(ABS(VALUE(TRIM(Raw_Data!H254))),"")</f>
        <v>1</v>
      </c>
      <c r="I254" s="12" t="n">
        <f aca="false">IFERROR(VALUE(TRIM(SUBSTITUTE(SUBSTITUTE(SUBSTITUTE(SUBSTITUTE(TRIM(Raw_Data!I254),"PKR",""),"Rs.",""),"Rs",""),",",""))),"")</f>
        <v>2300</v>
      </c>
      <c r="J254" s="13" t="n">
        <f aca="false">IFERROR(IF(TRIM(Raw_Data!J254)="",0,IF(VALUE(TRIM(Raw_Data!J254))&gt;1,VALUE(TRIM(Raw_Data!J254))/100,VALUE(TRIM(Raw_Data!J254)))),0)</f>
        <v>0.2</v>
      </c>
      <c r="K254" s="9" t="str">
        <f aca="false">IF(TRIM(Raw_Data!K254)="","Unassigned",PROPER(TRIM(Raw_Data!K254)))</f>
        <v>Sadia Noor</v>
      </c>
      <c r="L254" s="9" t="str">
        <f aca="false">IFERROR(INDEX({"Credit Card","Credit Card","Debit Card","Debit Card","Cash","PayPal"},MATCH(UPPER(LEFT(TRIM(Raw_Data!L254),2)),{"CR","CC","DE","DC","CA","PA"},0)),"Other")</f>
        <v>Debit Card</v>
      </c>
      <c r="M254" s="9" t="str">
        <f aca="false">IFERROR(INDEX({"Completed","Returned","Cancelled","Pending"},MATCH(UPPER(LEFT(TRIM(Raw_Data!M254),3)),{"COM","RET","CAN","PEN"},0)),"Unknown")</f>
        <v>Completed</v>
      </c>
      <c r="N254" s="14" t="n">
        <f aca="false">IF(OR(H254="",I254=""),"",H254*I254)</f>
        <v>2300</v>
      </c>
      <c r="O254" s="14" t="n">
        <f aca="false">IF(N254="","",N254*J254)</f>
        <v>460</v>
      </c>
      <c r="P254" s="14" t="n">
        <f aca="false">IF(N254="","",N254-O254)</f>
        <v>1840</v>
      </c>
      <c r="Q254" s="15" t="n">
        <f aca="false">IF(B254="","",DATE(YEAR(B254),MONTH(B254),1))</f>
        <v>45689</v>
      </c>
      <c r="R254" s="16" t="str">
        <f aca="false">IF(A254="","Invalid - Exclude",IF(COUNTIF($A$2:A254,A254)&gt;1,"Duplicate - Exclude",IF(OR(B254="",H254="",I254=""),"Invalid - Exclude","Valid")))</f>
        <v>Valid</v>
      </c>
      <c r="S254" s="16" t="str">
        <f aca="false">IF(R254="Valid","",IF(R254="Duplicate - Exclude","Repeat of an earlier Order ID",IF(B254="","Date missing or unreadable",IF(H254="","Quantity missing or unreadable",IF(I254="","Unit price missing or unreadable","Order ID missing")))))</f>
        <v/>
      </c>
    </row>
    <row r="255" customFormat="false" ht="15" hidden="false" customHeight="true" outlineLevel="0" collapsed="false">
      <c r="A255" s="17" t="str">
        <f aca="false">UPPER(TRIM(Raw_Data!A255))</f>
        <v>ORD-1244</v>
      </c>
      <c r="B255" s="18" t="n">
        <f aca="false">IFERROR(IF(ISNUMBER(Raw_Data!B255),Raw_Data!B255,IF(ISNUMBER(FIND("/",Raw_Data!B255)),DATE(VALUE(RIGHT(TRIM(Raw_Data!B255),4)),VALUE(MID(TRIM(Raw_Data!B255),4,2)),VALUE(LEFT(TRIM(Raw_Data!B255),2))),IF(MID(TRIM(Raw_Data!B255),5,1)="-",DATE(VALUE(LEFT(TRIM(Raw_Data!B255),4)),VALUE(MID(TRIM(Raw_Data!B255),6,2)),VALUE(RIGHT(TRIM(Raw_Data!B255),2))),DATE(VALUE(RIGHT(TRIM(Raw_Data!B255),4)),MATCH(MID(TRIM(Raw_Data!B255),4,3),{"Jan","Feb","Mar","Apr","May","Jun","Jul","Aug","Sep","Oct","Nov","Dec"},0),VALUE(LEFT(TRIM(Raw_Data!B255),2)))))),"")</f>
        <v>45858</v>
      </c>
      <c r="C255" s="17" t="str">
        <f aca="false">IF(TRIM(Raw_Data!C255)="","Unknown",PROPER(TRIM(Raw_Data!C255)))</f>
        <v>Kashif Khan</v>
      </c>
      <c r="D255" s="17" t="str">
        <f aca="false">IFERROR(INDEX({"Punjab","Sindh","KPK","Balochistan"},MATCH(UPPER(LEFT(TRIM(Raw_Data!D255),1)),{"P","S","K","B"},0)),IFERROR(INDEX(Data_Dictionary!$G$4:$G$16,MATCH(E255,Data_Dictionary!$F$4:$F$16,0)),"Unassigned"))</f>
        <v>Sindh</v>
      </c>
      <c r="E255" s="17" t="str">
        <f aca="false">IF(TRIM(Raw_Data!E255)="","Unknown",PROPER(TRIM(Raw_Data!E255)))</f>
        <v>Karachi</v>
      </c>
      <c r="F255" s="17" t="str">
        <f aca="false">IFERROR(INDEX({"Electronics","Home &amp; Kitchen","Clothing","Groceries","Beauty"},MATCH(UPPER(LEFT(TRIM(Raw_Data!F255),3)),{"ELE","HOM","CLO","GRO","BEA"},0)),"Uncategorised")</f>
        <v>Groceries</v>
      </c>
      <c r="G255" s="17" t="str">
        <f aca="false">IF(TRIM(Raw_Data!G255)="","Unknown",PROPER(TRIM(Raw_Data!G255)))</f>
        <v>Refined Sugar 10 Kg</v>
      </c>
      <c r="H255" s="19" t="n">
        <f aca="false">IFERROR(ABS(VALUE(TRIM(Raw_Data!H255))),"")</f>
        <v>3</v>
      </c>
      <c r="I255" s="20" t="n">
        <f aca="false">IFERROR(VALUE(TRIM(SUBSTITUTE(SUBSTITUTE(SUBSTITUTE(SUBSTITUTE(TRIM(Raw_Data!I255),"PKR",""),"Rs.",""),"Rs",""),",",""))),"")</f>
        <v>1650</v>
      </c>
      <c r="J255" s="21" t="n">
        <f aca="false">IFERROR(IF(TRIM(Raw_Data!J255)="",0,IF(VALUE(TRIM(Raw_Data!J255))&gt;1,VALUE(TRIM(Raw_Data!J255))/100,VALUE(TRIM(Raw_Data!J255)))),0)</f>
        <v>0</v>
      </c>
      <c r="K255" s="17" t="str">
        <f aca="false">IF(TRIM(Raw_Data!K255)="","Unassigned",PROPER(TRIM(Raw_Data!K255)))</f>
        <v>Faisal Mehmood</v>
      </c>
      <c r="L255" s="17" t="str">
        <f aca="false">IFERROR(INDEX({"Credit Card","Credit Card","Debit Card","Debit Card","Cash","PayPal"},MATCH(UPPER(LEFT(TRIM(Raw_Data!L255),2)),{"CR","CC","DE","DC","CA","PA"},0)),"Other")</f>
        <v>Cash</v>
      </c>
      <c r="M255" s="17" t="str">
        <f aca="false">IFERROR(INDEX({"Completed","Returned","Cancelled","Pending"},MATCH(UPPER(LEFT(TRIM(Raw_Data!M255),3)),{"COM","RET","CAN","PEN"},0)),"Unknown")</f>
        <v>Completed</v>
      </c>
      <c r="N255" s="20" t="n">
        <f aca="false">IF(OR(H255="",I255=""),"",H255*I255)</f>
        <v>4950</v>
      </c>
      <c r="O255" s="20" t="n">
        <f aca="false">IF(N255="","",N255*J255)</f>
        <v>0</v>
      </c>
      <c r="P255" s="20" t="n">
        <f aca="false">IF(N255="","",N255-O255)</f>
        <v>4950</v>
      </c>
      <c r="Q255" s="22" t="n">
        <f aca="false">IF(B255="","",DATE(YEAR(B255),MONTH(B255),1))</f>
        <v>45839</v>
      </c>
      <c r="R255" s="17" t="str">
        <f aca="false">IF(A255="","Invalid - Exclude",IF(COUNTIF($A$2:A255,A255)&gt;1,"Duplicate - Exclude",IF(OR(B255="",H255="",I255=""),"Invalid - Exclude","Valid")))</f>
        <v>Valid</v>
      </c>
      <c r="S255" s="17" t="str">
        <f aca="false">IF(R255="Valid","",IF(R255="Duplicate - Exclude","Repeat of an earlier Order ID",IF(B255="","Date missing or unreadable",IF(H255="","Quantity missing or unreadable",IF(I255="","Unit price missing or unreadable","Order ID missing")))))</f>
        <v/>
      </c>
    </row>
    <row r="256" customFormat="false" ht="15" hidden="false" customHeight="true" outlineLevel="0" collapsed="false">
      <c r="A256" s="9" t="str">
        <f aca="false">UPPER(TRIM(Raw_Data!A256))</f>
        <v>ORD-1245</v>
      </c>
      <c r="B256" s="10" t="n">
        <f aca="false">IFERROR(IF(ISNUMBER(Raw_Data!B256),Raw_Data!B256,IF(ISNUMBER(FIND("/",Raw_Data!B256)),DATE(VALUE(RIGHT(TRIM(Raw_Data!B256),4)),VALUE(MID(TRIM(Raw_Data!B256),4,2)),VALUE(LEFT(TRIM(Raw_Data!B256),2))),IF(MID(TRIM(Raw_Data!B256),5,1)="-",DATE(VALUE(LEFT(TRIM(Raw_Data!B256),4)),VALUE(MID(TRIM(Raw_Data!B256),6,2)),VALUE(RIGHT(TRIM(Raw_Data!B256),2))),DATE(VALUE(RIGHT(TRIM(Raw_Data!B256),4)),MATCH(MID(TRIM(Raw_Data!B256),4,3),{"Jan","Feb","Mar","Apr","May","Jun","Jul","Aug","Sep","Oct","Nov","Dec"},0),VALUE(LEFT(TRIM(Raw_Data!B256),2)))))),"")</f>
        <v>45934</v>
      </c>
      <c r="C256" s="9" t="str">
        <f aca="false">IF(TRIM(Raw_Data!C256)="","Unknown",PROPER(TRIM(Raw_Data!C256)))</f>
        <v>Tariq Khan</v>
      </c>
      <c r="D256" s="9" t="str">
        <f aca="false">IFERROR(INDEX({"Punjab","Sindh","KPK","Balochistan"},MATCH(UPPER(LEFT(TRIM(Raw_Data!D256),1)),{"P","S","K","B"},0)),IFERROR(INDEX(Data_Dictionary!$G$4:$G$16,MATCH(E256,Data_Dictionary!$F$4:$F$16,0)),"Unassigned"))</f>
        <v>KPK</v>
      </c>
      <c r="E256" s="9" t="str">
        <f aca="false">IF(TRIM(Raw_Data!E256)="","Unknown",PROPER(TRIM(Raw_Data!E256)))</f>
        <v>Abbottabad</v>
      </c>
      <c r="F256" s="9" t="str">
        <f aca="false">IFERROR(INDEX({"Electronics","Home &amp; Kitchen","Clothing","Groceries","Beauty"},MATCH(UPPER(LEFT(TRIM(Raw_Data!F256),3)),{"ELE","HOM","CLO","GRO","BEA"},0)),"Uncategorised")</f>
        <v>Clothing</v>
      </c>
      <c r="G256" s="9" t="str">
        <f aca="false">IF(TRIM(Raw_Data!G256)="","Unknown",PROPER(TRIM(Raw_Data!G256)))</f>
        <v>Running Shoes</v>
      </c>
      <c r="H256" s="11" t="n">
        <f aca="false">IFERROR(ABS(VALUE(TRIM(Raw_Data!H256))),"")</f>
        <v>1</v>
      </c>
      <c r="I256" s="12" t="n">
        <f aca="false">IFERROR(VALUE(TRIM(SUBSTITUTE(SUBSTITUTE(SUBSTITUTE(SUBSTITUTE(TRIM(Raw_Data!I256),"PKR",""),"Rs.",""),"Rs",""),",",""))),"")</f>
        <v>8200</v>
      </c>
      <c r="J256" s="13" t="n">
        <f aca="false">IFERROR(IF(TRIM(Raw_Data!J256)="",0,IF(VALUE(TRIM(Raw_Data!J256))&gt;1,VALUE(TRIM(Raw_Data!J256))/100,VALUE(TRIM(Raw_Data!J256)))),0)</f>
        <v>0.2</v>
      </c>
      <c r="K256" s="9" t="str">
        <f aca="false">IF(TRIM(Raw_Data!K256)="","Unassigned",PROPER(TRIM(Raw_Data!K256)))</f>
        <v>Sadia Noor</v>
      </c>
      <c r="L256" s="9" t="str">
        <f aca="false">IFERROR(INDEX({"Credit Card","Credit Card","Debit Card","Debit Card","Cash","PayPal"},MATCH(UPPER(LEFT(TRIM(Raw_Data!L256),2)),{"CR","CC","DE","DC","CA","PA"},0)),"Other")</f>
        <v>Debit Card</v>
      </c>
      <c r="M256" s="9" t="str">
        <f aca="false">IFERROR(INDEX({"Completed","Returned","Cancelled","Pending"},MATCH(UPPER(LEFT(TRIM(Raw_Data!M256),3)),{"COM","RET","CAN","PEN"},0)),"Unknown")</f>
        <v>Completed</v>
      </c>
      <c r="N256" s="14" t="n">
        <f aca="false">IF(OR(H256="",I256=""),"",H256*I256)</f>
        <v>8200</v>
      </c>
      <c r="O256" s="14" t="n">
        <f aca="false">IF(N256="","",N256*J256)</f>
        <v>1640</v>
      </c>
      <c r="P256" s="14" t="n">
        <f aca="false">IF(N256="","",N256-O256)</f>
        <v>6560</v>
      </c>
      <c r="Q256" s="15" t="n">
        <f aca="false">IF(B256="","",DATE(YEAR(B256),MONTH(B256),1))</f>
        <v>45931</v>
      </c>
      <c r="R256" s="16" t="str">
        <f aca="false">IF(A256="","Invalid - Exclude",IF(COUNTIF($A$2:A256,A256)&gt;1,"Duplicate - Exclude",IF(OR(B256="",H256="",I256=""),"Invalid - Exclude","Valid")))</f>
        <v>Valid</v>
      </c>
      <c r="S256" s="16" t="str">
        <f aca="false">IF(R256="Valid","",IF(R256="Duplicate - Exclude","Repeat of an earlier Order ID",IF(B256="","Date missing or unreadable",IF(H256="","Quantity missing or unreadable",IF(I256="","Unit price missing or unreadable","Order ID missing")))))</f>
        <v/>
      </c>
    </row>
    <row r="257" customFormat="false" ht="15" hidden="false" customHeight="true" outlineLevel="0" collapsed="false">
      <c r="A257" s="17" t="str">
        <f aca="false">UPPER(TRIM(Raw_Data!A257))</f>
        <v>ORD-1246</v>
      </c>
      <c r="B257" s="18" t="str">
        <f aca="false">IFERROR(IF(ISNUMBER(Raw_Data!B257),Raw_Data!B257,IF(ISNUMBER(FIND("/",Raw_Data!B257)),DATE(VALUE(RIGHT(TRIM(Raw_Data!B257),4)),VALUE(MID(TRIM(Raw_Data!B257),4,2)),VALUE(LEFT(TRIM(Raw_Data!B257),2))),IF(MID(TRIM(Raw_Data!B257),5,1)="-",DATE(VALUE(LEFT(TRIM(Raw_Data!B257),4)),VALUE(MID(TRIM(Raw_Data!B257),6,2)),VALUE(RIGHT(TRIM(Raw_Data!B257),2))),DATE(VALUE(RIGHT(TRIM(Raw_Data!B257),4)),MATCH(MID(TRIM(Raw_Data!B257),4,3),{"Jan","Feb","Mar","Apr","May","Jun","Jul","Aug","Sep","Oct","Nov","Dec"},0),VALUE(LEFT(TRIM(Raw_Data!B257),2)))))),"")</f>
        <v/>
      </c>
      <c r="C257" s="17" t="str">
        <f aca="false">IF(TRIM(Raw_Data!C257)="","Unknown",PROPER(TRIM(Raw_Data!C257)))</f>
        <v>Sana Raza</v>
      </c>
      <c r="D257" s="17" t="str">
        <f aca="false">IFERROR(INDEX({"Punjab","Sindh","KPK","Balochistan"},MATCH(UPPER(LEFT(TRIM(Raw_Data!D257),1)),{"P","S","K","B"},0)),IFERROR(INDEX(Data_Dictionary!$G$4:$G$16,MATCH(E257,Data_Dictionary!$F$4:$F$16,0)),"Unassigned"))</f>
        <v>Punjab</v>
      </c>
      <c r="E257" s="17" t="str">
        <f aca="false">IF(TRIM(Raw_Data!E257)="","Unknown",PROPER(TRIM(Raw_Data!E257)))</f>
        <v>Lahore</v>
      </c>
      <c r="F257" s="17" t="str">
        <f aca="false">IFERROR(INDEX({"Electronics","Home &amp; Kitchen","Clothing","Groceries","Beauty"},MATCH(UPPER(LEFT(TRIM(Raw_Data!F257),3)),{"ELE","HOM","CLO","GRO","BEA"},0)),"Uncategorised")</f>
        <v>Beauty</v>
      </c>
      <c r="G257" s="17" t="str">
        <f aca="false">IF(TRIM(Raw_Data!G257)="","Unknown",PROPER(TRIM(Raw_Data!G257)))</f>
        <v>Hair Dryer</v>
      </c>
      <c r="H257" s="19" t="n">
        <f aca="false">IFERROR(ABS(VALUE(TRIM(Raw_Data!H257))),"")</f>
        <v>7</v>
      </c>
      <c r="I257" s="20" t="n">
        <f aca="false">IFERROR(VALUE(TRIM(SUBSTITUTE(SUBSTITUTE(SUBSTITUTE(SUBSTITUTE(TRIM(Raw_Data!I257),"PKR",""),"Rs.",""),"Rs",""),",",""))),"")</f>
        <v>4250</v>
      </c>
      <c r="J257" s="21" t="n">
        <f aca="false">IFERROR(IF(TRIM(Raw_Data!J257)="",0,IF(VALUE(TRIM(Raw_Data!J257))&gt;1,VALUE(TRIM(Raw_Data!J257))/100,VALUE(TRIM(Raw_Data!J257)))),0)</f>
        <v>0</v>
      </c>
      <c r="K257" s="17" t="str">
        <f aca="false">IF(TRIM(Raw_Data!K257)="","Unassigned",PROPER(TRIM(Raw_Data!K257)))</f>
        <v>Nimra Aslam</v>
      </c>
      <c r="L257" s="17" t="str">
        <f aca="false">IFERROR(INDEX({"Credit Card","Credit Card","Debit Card","Debit Card","Cash","PayPal"},MATCH(UPPER(LEFT(TRIM(Raw_Data!L257),2)),{"CR","CC","DE","DC","CA","PA"},0)),"Other")</f>
        <v>PayPal</v>
      </c>
      <c r="M257" s="17" t="str">
        <f aca="false">IFERROR(INDEX({"Completed","Returned","Cancelled","Pending"},MATCH(UPPER(LEFT(TRIM(Raw_Data!M257),3)),{"COM","RET","CAN","PEN"},0)),"Unknown")</f>
        <v>Returned</v>
      </c>
      <c r="N257" s="20" t="n">
        <f aca="false">IF(OR(H257="",I257=""),"",H257*I257)</f>
        <v>29750</v>
      </c>
      <c r="O257" s="20" t="n">
        <f aca="false">IF(N257="","",N257*J257)</f>
        <v>0</v>
      </c>
      <c r="P257" s="20" t="n">
        <f aca="false">IF(N257="","",N257-O257)</f>
        <v>29750</v>
      </c>
      <c r="Q257" s="22" t="str">
        <f aca="false">IF(B257="","",DATE(YEAR(B257),MONTH(B257),1))</f>
        <v/>
      </c>
      <c r="R257" s="17" t="str">
        <f aca="false">IF(A257="","Invalid - Exclude",IF(COUNTIF($A$2:A257,A257)&gt;1,"Duplicate - Exclude",IF(OR(B257="",H257="",I257=""),"Invalid - Exclude","Valid")))</f>
        <v>Invalid - Exclude</v>
      </c>
      <c r="S257" s="17" t="str">
        <f aca="false">IF(R257="Valid","",IF(R257="Duplicate - Exclude","Repeat of an earlier Order ID",IF(B257="","Date missing or unreadable",IF(H257="","Quantity missing or unreadable",IF(I257="","Unit price missing or unreadable","Order ID missing")))))</f>
        <v>Date missing or unreadable</v>
      </c>
    </row>
    <row r="258" customFormat="false" ht="15" hidden="false" customHeight="true" outlineLevel="0" collapsed="false">
      <c r="A258" s="9" t="str">
        <f aca="false">UPPER(TRIM(Raw_Data!A258))</f>
        <v>ORD-1247</v>
      </c>
      <c r="B258" s="10" t="n">
        <f aca="false">IFERROR(IF(ISNUMBER(Raw_Data!B258),Raw_Data!B258,IF(ISNUMBER(FIND("/",Raw_Data!B258)),DATE(VALUE(RIGHT(TRIM(Raw_Data!B258),4)),VALUE(MID(TRIM(Raw_Data!B258),4,2)),VALUE(LEFT(TRIM(Raw_Data!B258),2))),IF(MID(TRIM(Raw_Data!B258),5,1)="-",DATE(VALUE(LEFT(TRIM(Raw_Data!B258),4)),VALUE(MID(TRIM(Raw_Data!B258),6,2)),VALUE(RIGHT(TRIM(Raw_Data!B258),2))),DATE(VALUE(RIGHT(TRIM(Raw_Data!B258),4)),MATCH(MID(TRIM(Raw_Data!B258),4,3),{"Jan","Feb","Mar","Apr","May","Jun","Jul","Aug","Sep","Oct","Nov","Dec"},0),VALUE(LEFT(TRIM(Raw_Data!B258),2)))))),"")</f>
        <v>45828</v>
      </c>
      <c r="C258" s="9" t="str">
        <f aca="false">IF(TRIM(Raw_Data!C258)="","Unknown",PROPER(TRIM(Raw_Data!C258)))</f>
        <v>Tariq Ansari</v>
      </c>
      <c r="D258" s="9" t="str">
        <f aca="false">IFERROR(INDEX({"Punjab","Sindh","KPK","Balochistan"},MATCH(UPPER(LEFT(TRIM(Raw_Data!D258),1)),{"P","S","K","B"},0)),IFERROR(INDEX(Data_Dictionary!$G$4:$G$16,MATCH(E258,Data_Dictionary!$F$4:$F$16,0)),"Unassigned"))</f>
        <v>Punjab</v>
      </c>
      <c r="E258" s="9" t="str">
        <f aca="false">IF(TRIM(Raw_Data!E258)="","Unknown",PROPER(TRIM(Raw_Data!E258)))</f>
        <v>Gujranwala</v>
      </c>
      <c r="F258" s="9" t="str">
        <f aca="false">IFERROR(INDEX({"Electronics","Home &amp; Kitchen","Clothing","Groceries","Beauty"},MATCH(UPPER(LEFT(TRIM(Raw_Data!F258),3)),{"ELE","HOM","CLO","GRO","BEA"},0)),"Uncategorised")</f>
        <v>Home &amp; Kitchen</v>
      </c>
      <c r="G258" s="9" t="str">
        <f aca="false">IF(TRIM(Raw_Data!G258)="","Unknown",PROPER(TRIM(Raw_Data!G258)))</f>
        <v>Bedsheet Set</v>
      </c>
      <c r="H258" s="11" t="n">
        <f aca="false">IFERROR(ABS(VALUE(TRIM(Raw_Data!H258))),"")</f>
        <v>2</v>
      </c>
      <c r="I258" s="12" t="n">
        <f aca="false">IFERROR(VALUE(TRIM(SUBSTITUTE(SUBSTITUTE(SUBSTITUTE(SUBSTITUTE(TRIM(Raw_Data!I258),"PKR",""),"Rs.",""),"Rs",""),",",""))),"")</f>
        <v>5000</v>
      </c>
      <c r="J258" s="13" t="n">
        <f aca="false">IFERROR(IF(TRIM(Raw_Data!J258)="",0,IF(VALUE(TRIM(Raw_Data!J258))&gt;1,VALUE(TRIM(Raw_Data!J258))/100,VALUE(TRIM(Raw_Data!J258)))),0)</f>
        <v>0</v>
      </c>
      <c r="K258" s="9" t="str">
        <f aca="false">IF(TRIM(Raw_Data!K258)="","Unassigned",PROPER(TRIM(Raw_Data!K258)))</f>
        <v>Zoya Tariq</v>
      </c>
      <c r="L258" s="9" t="str">
        <f aca="false">IFERROR(INDEX({"Credit Card","Credit Card","Debit Card","Debit Card","Cash","PayPal"},MATCH(UPPER(LEFT(TRIM(Raw_Data!L258),2)),{"CR","CC","DE","DC","CA","PA"},0)),"Other")</f>
        <v>Credit Card</v>
      </c>
      <c r="M258" s="9" t="str">
        <f aca="false">IFERROR(INDEX({"Completed","Returned","Cancelled","Pending"},MATCH(UPPER(LEFT(TRIM(Raw_Data!M258),3)),{"COM","RET","CAN","PEN"},0)),"Unknown")</f>
        <v>Pending</v>
      </c>
      <c r="N258" s="14" t="n">
        <f aca="false">IF(OR(H258="",I258=""),"",H258*I258)</f>
        <v>10000</v>
      </c>
      <c r="O258" s="14" t="n">
        <f aca="false">IF(N258="","",N258*J258)</f>
        <v>0</v>
      </c>
      <c r="P258" s="14" t="n">
        <f aca="false">IF(N258="","",N258-O258)</f>
        <v>10000</v>
      </c>
      <c r="Q258" s="15" t="n">
        <f aca="false">IF(B258="","",DATE(YEAR(B258),MONTH(B258),1))</f>
        <v>45809</v>
      </c>
      <c r="R258" s="16" t="str">
        <f aca="false">IF(A258="","Invalid - Exclude",IF(COUNTIF($A$2:A258,A258)&gt;1,"Duplicate - Exclude",IF(OR(B258="",H258="",I258=""),"Invalid - Exclude","Valid")))</f>
        <v>Valid</v>
      </c>
      <c r="S258" s="16" t="str">
        <f aca="false">IF(R258="Valid","",IF(R258="Duplicate - Exclude","Repeat of an earlier Order ID",IF(B258="","Date missing or unreadable",IF(H258="","Quantity missing or unreadable",IF(I258="","Unit price missing or unreadable","Order ID missing")))))</f>
        <v/>
      </c>
    </row>
    <row r="259" customFormat="false" ht="15" hidden="false" customHeight="true" outlineLevel="0" collapsed="false">
      <c r="A259" s="17" t="str">
        <f aca="false">UPPER(TRIM(Raw_Data!A259))</f>
        <v>ORD-1248</v>
      </c>
      <c r="B259" s="18" t="n">
        <f aca="false">IFERROR(IF(ISNUMBER(Raw_Data!B259),Raw_Data!B259,IF(ISNUMBER(FIND("/",Raw_Data!B259)),DATE(VALUE(RIGHT(TRIM(Raw_Data!B259),4)),VALUE(MID(TRIM(Raw_Data!B259),4,2)),VALUE(LEFT(TRIM(Raw_Data!B259),2))),IF(MID(TRIM(Raw_Data!B259),5,1)="-",DATE(VALUE(LEFT(TRIM(Raw_Data!B259),4)),VALUE(MID(TRIM(Raw_Data!B259),6,2)),VALUE(RIGHT(TRIM(Raw_Data!B259),2))),DATE(VALUE(RIGHT(TRIM(Raw_Data!B259),4)),MATCH(MID(TRIM(Raw_Data!B259),4,3),{"Jan","Feb","Mar","Apr","May","Jun","Jul","Aug","Sep","Oct","Nov","Dec"},0),VALUE(LEFT(TRIM(Raw_Data!B259),2)))))),"")</f>
        <v>45709</v>
      </c>
      <c r="C259" s="17" t="str">
        <f aca="false">IF(TRIM(Raw_Data!C259)="","Unknown",PROPER(TRIM(Raw_Data!C259)))</f>
        <v>Fatima Hussain</v>
      </c>
      <c r="D259" s="17" t="str">
        <f aca="false">IFERROR(INDEX({"Punjab","Sindh","KPK","Balochistan"},MATCH(UPPER(LEFT(TRIM(Raw_Data!D259),1)),{"P","S","K","B"},0)),IFERROR(INDEX(Data_Dictionary!$G$4:$G$16,MATCH(E259,Data_Dictionary!$F$4:$F$16,0)),"Unassigned"))</f>
        <v>Punjab</v>
      </c>
      <c r="E259" s="17" t="str">
        <f aca="false">IF(TRIM(Raw_Data!E259)="","Unknown",PROPER(TRIM(Raw_Data!E259)))</f>
        <v>Lahore</v>
      </c>
      <c r="F259" s="17" t="str">
        <f aca="false">IFERROR(INDEX({"Electronics","Home &amp; Kitchen","Clothing","Groceries","Beauty"},MATCH(UPPER(LEFT(TRIM(Raw_Data!F259),3)),{"ELE","HOM","CLO","GRO","BEA"},0)),"Uncategorised")</f>
        <v>Home &amp; Kitchen</v>
      </c>
      <c r="G259" s="17" t="str">
        <f aca="false">IF(TRIM(Raw_Data!G259)="","Unknown",PROPER(TRIM(Raw_Data!G259)))</f>
        <v>Hand Blender</v>
      </c>
      <c r="H259" s="19" t="n">
        <f aca="false">IFERROR(ABS(VALUE(TRIM(Raw_Data!H259))),"")</f>
        <v>7</v>
      </c>
      <c r="I259" s="20" t="n">
        <f aca="false">IFERROR(VALUE(TRIM(SUBSTITUTE(SUBSTITUTE(SUBSTITUTE(SUBSTITUTE(TRIM(Raw_Data!I259),"PKR",""),"Rs.",""),"Rs",""),",",""))),"")</f>
        <v>3950</v>
      </c>
      <c r="J259" s="21" t="n">
        <f aca="false">IFERROR(IF(TRIM(Raw_Data!J259)="",0,IF(VALUE(TRIM(Raw_Data!J259))&gt;1,VALUE(TRIM(Raw_Data!J259))/100,VALUE(TRIM(Raw_Data!J259)))),0)</f>
        <v>0</v>
      </c>
      <c r="K259" s="17" t="str">
        <f aca="false">IF(TRIM(Raw_Data!K259)="","Unassigned",PROPER(TRIM(Raw_Data!K259)))</f>
        <v>Waqar Ahmed</v>
      </c>
      <c r="L259" s="17" t="str">
        <f aca="false">IFERROR(INDEX({"Credit Card","Credit Card","Debit Card","Debit Card","Cash","PayPal"},MATCH(UPPER(LEFT(TRIM(Raw_Data!L259),2)),{"CR","CC","DE","DC","CA","PA"},0)),"Other")</f>
        <v>Credit Card</v>
      </c>
      <c r="M259" s="17" t="str">
        <f aca="false">IFERROR(INDEX({"Completed","Returned","Cancelled","Pending"},MATCH(UPPER(LEFT(TRIM(Raw_Data!M259),3)),{"COM","RET","CAN","PEN"},0)),"Unknown")</f>
        <v>Completed</v>
      </c>
      <c r="N259" s="20" t="n">
        <f aca="false">IF(OR(H259="",I259=""),"",H259*I259)</f>
        <v>27650</v>
      </c>
      <c r="O259" s="20" t="n">
        <f aca="false">IF(N259="","",N259*J259)</f>
        <v>0</v>
      </c>
      <c r="P259" s="20" t="n">
        <f aca="false">IF(N259="","",N259-O259)</f>
        <v>27650</v>
      </c>
      <c r="Q259" s="22" t="n">
        <f aca="false">IF(B259="","",DATE(YEAR(B259),MONTH(B259),1))</f>
        <v>45689</v>
      </c>
      <c r="R259" s="17" t="str">
        <f aca="false">IF(A259="","Invalid - Exclude",IF(COUNTIF($A$2:A259,A259)&gt;1,"Duplicate - Exclude",IF(OR(B259="",H259="",I259=""),"Invalid - Exclude","Valid")))</f>
        <v>Valid</v>
      </c>
      <c r="S259" s="17" t="str">
        <f aca="false">IF(R259="Valid","",IF(R259="Duplicate - Exclude","Repeat of an earlier Order ID",IF(B259="","Date missing or unreadable",IF(H259="","Quantity missing or unreadable",IF(I259="","Unit price missing or unreadable","Order ID missing")))))</f>
        <v/>
      </c>
    </row>
    <row r="260" customFormat="false" ht="15" hidden="false" customHeight="true" outlineLevel="0" collapsed="false">
      <c r="A260" s="9" t="str">
        <f aca="false">UPPER(TRIM(Raw_Data!A260))</f>
        <v>ORD-1249</v>
      </c>
      <c r="B260" s="10" t="n">
        <f aca="false">IFERROR(IF(ISNUMBER(Raw_Data!B260),Raw_Data!B260,IF(ISNUMBER(FIND("/",Raw_Data!B260)),DATE(VALUE(RIGHT(TRIM(Raw_Data!B260),4)),VALUE(MID(TRIM(Raw_Data!B260),4,2)),VALUE(LEFT(TRIM(Raw_Data!B260),2))),IF(MID(TRIM(Raw_Data!B260),5,1)="-",DATE(VALUE(LEFT(TRIM(Raw_Data!B260),4)),VALUE(MID(TRIM(Raw_Data!B260),6,2)),VALUE(RIGHT(TRIM(Raw_Data!B260),2))),DATE(VALUE(RIGHT(TRIM(Raw_Data!B260),4)),MATCH(MID(TRIM(Raw_Data!B260),4,3),{"Jan","Feb","Mar","Apr","May","Jun","Jul","Aug","Sep","Oct","Nov","Dec"},0),VALUE(LEFT(TRIM(Raw_Data!B260),2)))))),"")</f>
        <v>45714</v>
      </c>
      <c r="C260" s="9" t="str">
        <f aca="false">IF(TRIM(Raw_Data!C260)="","Unknown",PROPER(TRIM(Raw_Data!C260)))</f>
        <v>Rabia Iqbal</v>
      </c>
      <c r="D260" s="9" t="str">
        <f aca="false">IFERROR(INDEX({"Punjab","Sindh","KPK","Balochistan"},MATCH(UPPER(LEFT(TRIM(Raw_Data!D260),1)),{"P","S","K","B"},0)),IFERROR(INDEX(Data_Dictionary!$G$4:$G$16,MATCH(E260,Data_Dictionary!$F$4:$F$16,0)),"Unassigned"))</f>
        <v>Sindh</v>
      </c>
      <c r="E260" s="9" t="str">
        <f aca="false">IF(TRIM(Raw_Data!E260)="","Unknown",PROPER(TRIM(Raw_Data!E260)))</f>
        <v>Karachi</v>
      </c>
      <c r="F260" s="9" t="str">
        <f aca="false">IFERROR(INDEX({"Electronics","Home &amp; Kitchen","Clothing","Groceries","Beauty"},MATCH(UPPER(LEFT(TRIM(Raw_Data!F260),3)),{"ELE","HOM","CLO","GRO","BEA"},0)),"Uncategorised")</f>
        <v>Beauty</v>
      </c>
      <c r="G260" s="9" t="str">
        <f aca="false">IF(TRIM(Raw_Data!G260)="","Unknown",PROPER(TRIM(Raw_Data!G260)))</f>
        <v>Hair Dryer</v>
      </c>
      <c r="H260" s="11" t="n">
        <f aca="false">IFERROR(ABS(VALUE(TRIM(Raw_Data!H260))),"")</f>
        <v>8</v>
      </c>
      <c r="I260" s="12" t="n">
        <f aca="false">IFERROR(VALUE(TRIM(SUBSTITUTE(SUBSTITUTE(SUBSTITUTE(SUBSTITUTE(TRIM(Raw_Data!I260),"PKR",""),"Rs.",""),"Rs",""),",",""))),"")</f>
        <v>4150</v>
      </c>
      <c r="J260" s="13" t="n">
        <f aca="false">IFERROR(IF(TRIM(Raw_Data!J260)="",0,IF(VALUE(TRIM(Raw_Data!J260))&gt;1,VALUE(TRIM(Raw_Data!J260))/100,VALUE(TRIM(Raw_Data!J260)))),0)</f>
        <v>0</v>
      </c>
      <c r="K260" s="9" t="str">
        <f aca="false">IF(TRIM(Raw_Data!K260)="","Unassigned",PROPER(TRIM(Raw_Data!K260)))</f>
        <v>Nimra Aslam</v>
      </c>
      <c r="L260" s="9" t="str">
        <f aca="false">IFERROR(INDEX({"Credit Card","Credit Card","Debit Card","Debit Card","Cash","PayPal"},MATCH(UPPER(LEFT(TRIM(Raw_Data!L260),2)),{"CR","CC","DE","DC","CA","PA"},0)),"Other")</f>
        <v>PayPal</v>
      </c>
      <c r="M260" s="9" t="str">
        <f aca="false">IFERROR(INDEX({"Completed","Returned","Cancelled","Pending"},MATCH(UPPER(LEFT(TRIM(Raw_Data!M260),3)),{"COM","RET","CAN","PEN"},0)),"Unknown")</f>
        <v>Completed</v>
      </c>
      <c r="N260" s="14" t="n">
        <f aca="false">IF(OR(H260="",I260=""),"",H260*I260)</f>
        <v>33200</v>
      </c>
      <c r="O260" s="14" t="n">
        <f aca="false">IF(N260="","",N260*J260)</f>
        <v>0</v>
      </c>
      <c r="P260" s="14" t="n">
        <f aca="false">IF(N260="","",N260-O260)</f>
        <v>33200</v>
      </c>
      <c r="Q260" s="15" t="n">
        <f aca="false">IF(B260="","",DATE(YEAR(B260),MONTH(B260),1))</f>
        <v>45689</v>
      </c>
      <c r="R260" s="16" t="str">
        <f aca="false">IF(A260="","Invalid - Exclude",IF(COUNTIF($A$2:A260,A260)&gt;1,"Duplicate - Exclude",IF(OR(B260="",H260="",I260=""),"Invalid - Exclude","Valid")))</f>
        <v>Valid</v>
      </c>
      <c r="S260" s="16" t="str">
        <f aca="false">IF(R260="Valid","",IF(R260="Duplicate - Exclude","Repeat of an earlier Order ID",IF(B260="","Date missing or unreadable",IF(H260="","Quantity missing or unreadable",IF(I260="","Unit price missing or unreadable","Order ID missing")))))</f>
        <v/>
      </c>
    </row>
    <row r="261" customFormat="false" ht="15" hidden="false" customHeight="true" outlineLevel="0" collapsed="false">
      <c r="A261" s="17" t="str">
        <f aca="false">UPPER(TRIM(Raw_Data!A261))</f>
        <v>ORD-1250</v>
      </c>
      <c r="B261" s="18" t="n">
        <f aca="false">IFERROR(IF(ISNUMBER(Raw_Data!B261),Raw_Data!B261,IF(ISNUMBER(FIND("/",Raw_Data!B261)),DATE(VALUE(RIGHT(TRIM(Raw_Data!B261),4)),VALUE(MID(TRIM(Raw_Data!B261),4,2)),VALUE(LEFT(TRIM(Raw_Data!B261),2))),IF(MID(TRIM(Raw_Data!B261),5,1)="-",DATE(VALUE(LEFT(TRIM(Raw_Data!B261),4)),VALUE(MID(TRIM(Raw_Data!B261),6,2)),VALUE(RIGHT(TRIM(Raw_Data!B261),2))),DATE(VALUE(RIGHT(TRIM(Raw_Data!B261),4)),MATCH(MID(TRIM(Raw_Data!B261),4,3),{"Jan","Feb","Mar","Apr","May","Jun","Jul","Aug","Sep","Oct","Nov","Dec"},0),VALUE(LEFT(TRIM(Raw_Data!B261),2)))))),"")</f>
        <v>45864</v>
      </c>
      <c r="C261" s="17" t="str">
        <f aca="false">IF(TRIM(Raw_Data!C261)="","Unknown",PROPER(TRIM(Raw_Data!C261)))</f>
        <v>Kashif Sheikh</v>
      </c>
      <c r="D261" s="17" t="str">
        <f aca="false">IFERROR(INDEX({"Punjab","Sindh","KPK","Balochistan"},MATCH(UPPER(LEFT(TRIM(Raw_Data!D261),1)),{"P","S","K","B"},0)),IFERROR(INDEX(Data_Dictionary!$G$4:$G$16,MATCH(E261,Data_Dictionary!$F$4:$F$16,0)),"Unassigned"))</f>
        <v>Punjab</v>
      </c>
      <c r="E261" s="17" t="str">
        <f aca="false">IF(TRIM(Raw_Data!E261)="","Unknown",PROPER(TRIM(Raw_Data!E261)))</f>
        <v>Faisalabad</v>
      </c>
      <c r="F261" s="17" t="str">
        <f aca="false">IFERROR(INDEX({"Electronics","Home &amp; Kitchen","Clothing","Groceries","Beauty"},MATCH(UPPER(LEFT(TRIM(Raw_Data!F261),3)),{"ELE","HOM","CLO","GRO","BEA"},0)),"Uncategorised")</f>
        <v>Uncategorised</v>
      </c>
      <c r="G261" s="17" t="str">
        <f aca="false">IF(TRIM(Raw_Data!G261)="","Unknown",PROPER(TRIM(Raw_Data!G261)))</f>
        <v>Cooking Oil 5 Litre</v>
      </c>
      <c r="H261" s="19" t="n">
        <f aca="false">IFERROR(ABS(VALUE(TRIM(Raw_Data!H261))),"")</f>
        <v>1</v>
      </c>
      <c r="I261" s="20" t="n">
        <f aca="false">IFERROR(VALUE(TRIM(SUBSTITUTE(SUBSTITUTE(SUBSTITUTE(SUBSTITUTE(TRIM(Raw_Data!I261),"PKR",""),"Rs.",""),"Rs",""),",",""))),"")</f>
        <v>2200</v>
      </c>
      <c r="J261" s="21" t="n">
        <f aca="false">IFERROR(IF(TRIM(Raw_Data!J261)="",0,IF(VALUE(TRIM(Raw_Data!J261))&gt;1,VALUE(TRIM(Raw_Data!J261))/100,VALUE(TRIM(Raw_Data!J261)))),0)</f>
        <v>0.15</v>
      </c>
      <c r="K261" s="17" t="str">
        <f aca="false">IF(TRIM(Raw_Data!K261)="","Unassigned",PROPER(TRIM(Raw_Data!K261)))</f>
        <v>Faisal Mehmood</v>
      </c>
      <c r="L261" s="17" t="str">
        <f aca="false">IFERROR(INDEX({"Credit Card","Credit Card","Debit Card","Debit Card","Cash","PayPal"},MATCH(UPPER(LEFT(TRIM(Raw_Data!L261),2)),{"CR","CC","DE","DC","CA","PA"},0)),"Other")</f>
        <v>Credit Card</v>
      </c>
      <c r="M261" s="17" t="str">
        <f aca="false">IFERROR(INDEX({"Completed","Returned","Cancelled","Pending"},MATCH(UPPER(LEFT(TRIM(Raw_Data!M261),3)),{"COM","RET","CAN","PEN"},0)),"Unknown")</f>
        <v>Completed</v>
      </c>
      <c r="N261" s="20" t="n">
        <f aca="false">IF(OR(H261="",I261=""),"",H261*I261)</f>
        <v>2200</v>
      </c>
      <c r="O261" s="20" t="n">
        <f aca="false">IF(N261="","",N261*J261)</f>
        <v>330</v>
      </c>
      <c r="P261" s="20" t="n">
        <f aca="false">IF(N261="","",N261-O261)</f>
        <v>1870</v>
      </c>
      <c r="Q261" s="22" t="n">
        <f aca="false">IF(B261="","",DATE(YEAR(B261),MONTH(B261),1))</f>
        <v>45839</v>
      </c>
      <c r="R261" s="17" t="str">
        <f aca="false">IF(A261="","Invalid - Exclude",IF(COUNTIF($A$2:A261,A261)&gt;1,"Duplicate - Exclude",IF(OR(B261="",H261="",I261=""),"Invalid - Exclude","Valid")))</f>
        <v>Valid</v>
      </c>
      <c r="S261" s="17" t="str">
        <f aca="false">IF(R261="Valid","",IF(R261="Duplicate - Exclude","Repeat of an earlier Order ID",IF(B261="","Date missing or unreadable",IF(H261="","Quantity missing or unreadable",IF(I261="","Unit price missing or unreadable","Order ID missing")))))</f>
        <v/>
      </c>
    </row>
    <row r="262" customFormat="false" ht="15" hidden="false" customHeight="true" outlineLevel="0" collapsed="false">
      <c r="A262" s="9" t="str">
        <f aca="false">UPPER(TRIM(Raw_Data!A262))</f>
        <v>ORD-1251</v>
      </c>
      <c r="B262" s="10" t="n">
        <f aca="false">IFERROR(IF(ISNUMBER(Raw_Data!B262),Raw_Data!B262,IF(ISNUMBER(FIND("/",Raw_Data!B262)),DATE(VALUE(RIGHT(TRIM(Raw_Data!B262),4)),VALUE(MID(TRIM(Raw_Data!B262),4,2)),VALUE(LEFT(TRIM(Raw_Data!B262),2))),IF(MID(TRIM(Raw_Data!B262),5,1)="-",DATE(VALUE(LEFT(TRIM(Raw_Data!B262),4)),VALUE(MID(TRIM(Raw_Data!B262),6,2)),VALUE(RIGHT(TRIM(Raw_Data!B262),2))),DATE(VALUE(RIGHT(TRIM(Raw_Data!B262),4)),MATCH(MID(TRIM(Raw_Data!B262),4,3),{"Jan","Feb","Mar","Apr","May","Jun","Jul","Aug","Sep","Oct","Nov","Dec"},0),VALUE(LEFT(TRIM(Raw_Data!B262),2)))))),"")</f>
        <v>46016</v>
      </c>
      <c r="C262" s="9" t="str">
        <f aca="false">IF(TRIM(Raw_Data!C262)="","Unknown",PROPER(TRIM(Raw_Data!C262)))</f>
        <v>Fatima Khan</v>
      </c>
      <c r="D262" s="9" t="str">
        <f aca="false">IFERROR(INDEX({"Punjab","Sindh","KPK","Balochistan"},MATCH(UPPER(LEFT(TRIM(Raw_Data!D262),1)),{"P","S","K","B"},0)),IFERROR(INDEX(Data_Dictionary!$G$4:$G$16,MATCH(E262,Data_Dictionary!$F$4:$F$16,0)),"Unassigned"))</f>
        <v>Punjab</v>
      </c>
      <c r="E262" s="9" t="str">
        <f aca="false">IF(TRIM(Raw_Data!E262)="","Unknown",PROPER(TRIM(Raw_Data!E262)))</f>
        <v>Lahore</v>
      </c>
      <c r="F262" s="9" t="str">
        <f aca="false">IFERROR(INDEX({"Electronics","Home &amp; Kitchen","Clothing","Groceries","Beauty"},MATCH(UPPER(LEFT(TRIM(Raw_Data!F262),3)),{"ELE","HOM","CLO","GRO","BEA"},0)),"Uncategorised")</f>
        <v>Home &amp; Kitchen</v>
      </c>
      <c r="G262" s="9" t="str">
        <f aca="false">IF(TRIM(Raw_Data!G262)="","Unknown",PROPER(TRIM(Raw_Data!G262)))</f>
        <v>Air Fryer</v>
      </c>
      <c r="H262" s="11" t="n">
        <f aca="false">IFERROR(ABS(VALUE(TRIM(Raw_Data!H262))),"")</f>
        <v>3</v>
      </c>
      <c r="I262" s="12" t="n">
        <f aca="false">IFERROR(VALUE(TRIM(SUBSTITUTE(SUBSTITUTE(SUBSTITUTE(SUBSTITUTE(TRIM(Raw_Data!I262),"PKR",""),"Rs.",""),"Rs",""),",",""))),"")</f>
        <v>18750</v>
      </c>
      <c r="J262" s="13" t="n">
        <f aca="false">IFERROR(IF(TRIM(Raw_Data!J262)="",0,IF(VALUE(TRIM(Raw_Data!J262))&gt;1,VALUE(TRIM(Raw_Data!J262))/100,VALUE(TRIM(Raw_Data!J262)))),0)</f>
        <v>0</v>
      </c>
      <c r="K262" s="9" t="str">
        <f aca="false">IF(TRIM(Raw_Data!K262)="","Unassigned",PROPER(TRIM(Raw_Data!K262)))</f>
        <v>Imran Shah</v>
      </c>
      <c r="L262" s="9" t="str">
        <f aca="false">IFERROR(INDEX({"Credit Card","Credit Card","Debit Card","Debit Card","Cash","PayPal"},MATCH(UPPER(LEFT(TRIM(Raw_Data!L262),2)),{"CR","CC","DE","DC","CA","PA"},0)),"Other")</f>
        <v>Credit Card</v>
      </c>
      <c r="M262" s="9" t="str">
        <f aca="false">IFERROR(INDEX({"Completed","Returned","Cancelled","Pending"},MATCH(UPPER(LEFT(TRIM(Raw_Data!M262),3)),{"COM","RET","CAN","PEN"},0)),"Unknown")</f>
        <v>Completed</v>
      </c>
      <c r="N262" s="14" t="n">
        <f aca="false">IF(OR(H262="",I262=""),"",H262*I262)</f>
        <v>56250</v>
      </c>
      <c r="O262" s="14" t="n">
        <f aca="false">IF(N262="","",N262*J262)</f>
        <v>0</v>
      </c>
      <c r="P262" s="14" t="n">
        <f aca="false">IF(N262="","",N262-O262)</f>
        <v>56250</v>
      </c>
      <c r="Q262" s="15" t="n">
        <f aca="false">IF(B262="","",DATE(YEAR(B262),MONTH(B262),1))</f>
        <v>45992</v>
      </c>
      <c r="R262" s="16" t="str">
        <f aca="false">IF(A262="","Invalid - Exclude",IF(COUNTIF($A$2:A262,A262)&gt;1,"Duplicate - Exclude",IF(OR(B262="",H262="",I262=""),"Invalid - Exclude","Valid")))</f>
        <v>Valid</v>
      </c>
      <c r="S262" s="16" t="str">
        <f aca="false">IF(R262="Valid","",IF(R262="Duplicate - Exclude","Repeat of an earlier Order ID",IF(B262="","Date missing or unreadable",IF(H262="","Quantity missing or unreadable",IF(I262="","Unit price missing or unreadable","Order ID missing")))))</f>
        <v/>
      </c>
    </row>
    <row r="263" customFormat="false" ht="15" hidden="false" customHeight="true" outlineLevel="0" collapsed="false">
      <c r="A263" s="17" t="str">
        <f aca="false">UPPER(TRIM(Raw_Data!A263))</f>
        <v>ORD-1252</v>
      </c>
      <c r="B263" s="18" t="n">
        <f aca="false">IFERROR(IF(ISNUMBER(Raw_Data!B263),Raw_Data!B263,IF(ISNUMBER(FIND("/",Raw_Data!B263)),DATE(VALUE(RIGHT(TRIM(Raw_Data!B263),4)),VALUE(MID(TRIM(Raw_Data!B263),4,2)),VALUE(LEFT(TRIM(Raw_Data!B263),2))),IF(MID(TRIM(Raw_Data!B263),5,1)="-",DATE(VALUE(LEFT(TRIM(Raw_Data!B263),4)),VALUE(MID(TRIM(Raw_Data!B263),6,2)),VALUE(RIGHT(TRIM(Raw_Data!B263),2))),DATE(VALUE(RIGHT(TRIM(Raw_Data!B263),4)),MATCH(MID(TRIM(Raw_Data!B263),4,3),{"Jan","Feb","Mar","Apr","May","Jun","Jul","Aug","Sep","Oct","Nov","Dec"},0),VALUE(LEFT(TRIM(Raw_Data!B263),2)))))),"")</f>
        <v>45878</v>
      </c>
      <c r="C263" s="17" t="str">
        <f aca="false">IF(TRIM(Raw_Data!C263)="","Unknown",PROPER(TRIM(Raw_Data!C263)))</f>
        <v>Ahmed Hussain</v>
      </c>
      <c r="D263" s="17" t="str">
        <f aca="false">IFERROR(INDEX({"Punjab","Sindh","KPK","Balochistan"},MATCH(UPPER(LEFT(TRIM(Raw_Data!D263),1)),{"P","S","K","B"},0)),IFERROR(INDEX(Data_Dictionary!$G$4:$G$16,MATCH(E263,Data_Dictionary!$F$4:$F$16,0)),"Unassigned"))</f>
        <v>Sindh</v>
      </c>
      <c r="E263" s="17" t="str">
        <f aca="false">IF(TRIM(Raw_Data!E263)="","Unknown",PROPER(TRIM(Raw_Data!E263)))</f>
        <v>Karachi</v>
      </c>
      <c r="F263" s="17" t="str">
        <f aca="false">IFERROR(INDEX({"Electronics","Home &amp; Kitchen","Clothing","Groceries","Beauty"},MATCH(UPPER(LEFT(TRIM(Raw_Data!F263),3)),{"ELE","HOM","CLO","GRO","BEA"},0)),"Uncategorised")</f>
        <v>Home &amp; Kitchen</v>
      </c>
      <c r="G263" s="17" t="str">
        <f aca="false">IF(TRIM(Raw_Data!G263)="","Unknown",PROPER(TRIM(Raw_Data!G263)))</f>
        <v>Hand Blender</v>
      </c>
      <c r="H263" s="19" t="n">
        <f aca="false">IFERROR(ABS(VALUE(TRIM(Raw_Data!H263))),"")</f>
        <v>7</v>
      </c>
      <c r="I263" s="20" t="n">
        <f aca="false">IFERROR(VALUE(TRIM(SUBSTITUTE(SUBSTITUTE(SUBSTITUTE(SUBSTITUTE(TRIM(Raw_Data!I263),"PKR",""),"Rs.",""),"Rs",""),",",""))),"")</f>
        <v>3700</v>
      </c>
      <c r="J263" s="21" t="n">
        <f aca="false">IFERROR(IF(TRIM(Raw_Data!J263)="",0,IF(VALUE(TRIM(Raw_Data!J263))&gt;1,VALUE(TRIM(Raw_Data!J263))/100,VALUE(TRIM(Raw_Data!J263)))),0)</f>
        <v>0</v>
      </c>
      <c r="K263" s="17" t="str">
        <f aca="false">IF(TRIM(Raw_Data!K263)="","Unassigned",PROPER(TRIM(Raw_Data!K263)))</f>
        <v>Faisal Mehmood</v>
      </c>
      <c r="L263" s="17" t="str">
        <f aca="false">IFERROR(INDEX({"Credit Card","Credit Card","Debit Card","Debit Card","Cash","PayPal"},MATCH(UPPER(LEFT(TRIM(Raw_Data!L263),2)),{"CR","CC","DE","DC","CA","PA"},0)),"Other")</f>
        <v>PayPal</v>
      </c>
      <c r="M263" s="17" t="str">
        <f aca="false">IFERROR(INDEX({"Completed","Returned","Cancelled","Pending"},MATCH(UPPER(LEFT(TRIM(Raw_Data!M263),3)),{"COM","RET","CAN","PEN"},0)),"Unknown")</f>
        <v>Completed</v>
      </c>
      <c r="N263" s="20" t="n">
        <f aca="false">IF(OR(H263="",I263=""),"",H263*I263)</f>
        <v>25900</v>
      </c>
      <c r="O263" s="20" t="n">
        <f aca="false">IF(N263="","",N263*J263)</f>
        <v>0</v>
      </c>
      <c r="P263" s="20" t="n">
        <f aca="false">IF(N263="","",N263-O263)</f>
        <v>25900</v>
      </c>
      <c r="Q263" s="22" t="n">
        <f aca="false">IF(B263="","",DATE(YEAR(B263),MONTH(B263),1))</f>
        <v>45870</v>
      </c>
      <c r="R263" s="17" t="str">
        <f aca="false">IF(A263="","Invalid - Exclude",IF(COUNTIF($A$2:A263,A263)&gt;1,"Duplicate - Exclude",IF(OR(B263="",H263="",I263=""),"Invalid - Exclude","Valid")))</f>
        <v>Valid</v>
      </c>
      <c r="S263" s="17" t="str">
        <f aca="false">IF(R263="Valid","",IF(R263="Duplicate - Exclude","Repeat of an earlier Order ID",IF(B263="","Date missing or unreadable",IF(H263="","Quantity missing or unreadable",IF(I263="","Unit price missing or unreadable","Order ID missing")))))</f>
        <v/>
      </c>
    </row>
    <row r="264" customFormat="false" ht="15" hidden="false" customHeight="true" outlineLevel="0" collapsed="false">
      <c r="A264" s="9" t="str">
        <f aca="false">UPPER(TRIM(Raw_Data!A264))</f>
        <v>ORD-1253</v>
      </c>
      <c r="B264" s="10" t="n">
        <f aca="false">IFERROR(IF(ISNUMBER(Raw_Data!B264),Raw_Data!B264,IF(ISNUMBER(FIND("/",Raw_Data!B264)),DATE(VALUE(RIGHT(TRIM(Raw_Data!B264),4)),VALUE(MID(TRIM(Raw_Data!B264),4,2)),VALUE(LEFT(TRIM(Raw_Data!B264),2))),IF(MID(TRIM(Raw_Data!B264),5,1)="-",DATE(VALUE(LEFT(TRIM(Raw_Data!B264),4)),VALUE(MID(TRIM(Raw_Data!B264),6,2)),VALUE(RIGHT(TRIM(Raw_Data!B264),2))),DATE(VALUE(RIGHT(TRIM(Raw_Data!B264),4)),MATCH(MID(TRIM(Raw_Data!B264),4,3),{"Jan","Feb","Mar","Apr","May","Jun","Jul","Aug","Sep","Oct","Nov","Dec"},0),VALUE(LEFT(TRIM(Raw_Data!B264),2)))))),"")</f>
        <v>45864</v>
      </c>
      <c r="C264" s="9" t="str">
        <f aca="false">IF(TRIM(Raw_Data!C264)="","Unknown",PROPER(TRIM(Raw_Data!C264)))</f>
        <v>Fatima Qureshi</v>
      </c>
      <c r="D264" s="9" t="str">
        <f aca="false">IFERROR(INDEX({"Punjab","Sindh","KPK","Balochistan"},MATCH(UPPER(LEFT(TRIM(Raw_Data!D264),1)),{"P","S","K","B"},0)),IFERROR(INDEX(Data_Dictionary!$G$4:$G$16,MATCH(E264,Data_Dictionary!$F$4:$F$16,0)),"Unassigned"))</f>
        <v>Sindh</v>
      </c>
      <c r="E264" s="9" t="str">
        <f aca="false">IF(TRIM(Raw_Data!E264)="","Unknown",PROPER(TRIM(Raw_Data!E264)))</f>
        <v>Sukkur</v>
      </c>
      <c r="F264" s="9" t="str">
        <f aca="false">IFERROR(INDEX({"Electronics","Home &amp; Kitchen","Clothing","Groceries","Beauty"},MATCH(UPPER(LEFT(TRIM(Raw_Data!F264),3)),{"ELE","HOM","CLO","GRO","BEA"},0)),"Uncategorised")</f>
        <v>Home &amp; Kitchen</v>
      </c>
      <c r="G264" s="9" t="str">
        <f aca="false">IF(TRIM(Raw_Data!G264)="","Unknown",PROPER(TRIM(Raw_Data!G264)))</f>
        <v>Rice Cooker</v>
      </c>
      <c r="H264" s="11" t="n">
        <f aca="false">IFERROR(ABS(VALUE(TRIM(Raw_Data!H264))),"")</f>
        <v>4</v>
      </c>
      <c r="I264" s="12" t="n">
        <f aca="false">IFERROR(VALUE(TRIM(SUBSTITUTE(SUBSTITUTE(SUBSTITUTE(SUBSTITUTE(TRIM(Raw_Data!I264),"PKR",""),"Rs.",""),"Rs",""),",",""))),"")</f>
        <v>7500</v>
      </c>
      <c r="J264" s="13" t="n">
        <f aca="false">IFERROR(IF(TRIM(Raw_Data!J264)="",0,IF(VALUE(TRIM(Raw_Data!J264))&gt;1,VALUE(TRIM(Raw_Data!J264))/100,VALUE(TRIM(Raw_Data!J264)))),0)</f>
        <v>0.1</v>
      </c>
      <c r="K264" s="9" t="str">
        <f aca="false">IF(TRIM(Raw_Data!K264)="","Unassigned",PROPER(TRIM(Raw_Data!K264)))</f>
        <v>Imran Shah</v>
      </c>
      <c r="L264" s="9" t="str">
        <f aca="false">IFERROR(INDEX({"Credit Card","Credit Card","Debit Card","Debit Card","Cash","PayPal"},MATCH(UPPER(LEFT(TRIM(Raw_Data!L264),2)),{"CR","CC","DE","DC","CA","PA"},0)),"Other")</f>
        <v>Cash</v>
      </c>
      <c r="M264" s="9" t="str">
        <f aca="false">IFERROR(INDEX({"Completed","Returned","Cancelled","Pending"},MATCH(UPPER(LEFT(TRIM(Raw_Data!M264),3)),{"COM","RET","CAN","PEN"},0)),"Unknown")</f>
        <v>Completed</v>
      </c>
      <c r="N264" s="14" t="n">
        <f aca="false">IF(OR(H264="",I264=""),"",H264*I264)</f>
        <v>30000</v>
      </c>
      <c r="O264" s="14" t="n">
        <f aca="false">IF(N264="","",N264*J264)</f>
        <v>3000</v>
      </c>
      <c r="P264" s="14" t="n">
        <f aca="false">IF(N264="","",N264-O264)</f>
        <v>27000</v>
      </c>
      <c r="Q264" s="15" t="n">
        <f aca="false">IF(B264="","",DATE(YEAR(B264),MONTH(B264),1))</f>
        <v>45839</v>
      </c>
      <c r="R264" s="16" t="str">
        <f aca="false">IF(A264="","Invalid - Exclude",IF(COUNTIF($A$2:A264,A264)&gt;1,"Duplicate - Exclude",IF(OR(B264="",H264="",I264=""),"Invalid - Exclude","Valid")))</f>
        <v>Valid</v>
      </c>
      <c r="S264" s="16" t="str">
        <f aca="false">IF(R264="Valid","",IF(R264="Duplicate - Exclude","Repeat of an earlier Order ID",IF(B264="","Date missing or unreadable",IF(H264="","Quantity missing or unreadable",IF(I264="","Unit price missing or unreadable","Order ID missing")))))</f>
        <v/>
      </c>
    </row>
    <row r="265" customFormat="false" ht="15" hidden="false" customHeight="true" outlineLevel="0" collapsed="false">
      <c r="A265" s="17" t="str">
        <f aca="false">UPPER(TRIM(Raw_Data!A265))</f>
        <v>ORD-1254</v>
      </c>
      <c r="B265" s="18" t="n">
        <f aca="false">IFERROR(IF(ISNUMBER(Raw_Data!B265),Raw_Data!B265,IF(ISNUMBER(FIND("/",Raw_Data!B265)),DATE(VALUE(RIGHT(TRIM(Raw_Data!B265),4)),VALUE(MID(TRIM(Raw_Data!B265),4,2)),VALUE(LEFT(TRIM(Raw_Data!B265),2))),IF(MID(TRIM(Raw_Data!B265),5,1)="-",DATE(VALUE(LEFT(TRIM(Raw_Data!B265),4)),VALUE(MID(TRIM(Raw_Data!B265),6,2)),VALUE(RIGHT(TRIM(Raw_Data!B265),2))),DATE(VALUE(RIGHT(TRIM(Raw_Data!B265),4)),MATCH(MID(TRIM(Raw_Data!B265),4,3),{"Jan","Feb","Mar","Apr","May","Jun","Jul","Aug","Sep","Oct","Nov","Dec"},0),VALUE(LEFT(TRIM(Raw_Data!B265),2)))))),"")</f>
        <v>45677</v>
      </c>
      <c r="C265" s="17" t="str">
        <f aca="false">IF(TRIM(Raw_Data!C265)="","Unknown",PROPER(TRIM(Raw_Data!C265)))</f>
        <v>Hassan Qureshi</v>
      </c>
      <c r="D265" s="17" t="str">
        <f aca="false">IFERROR(INDEX({"Punjab","Sindh","KPK","Balochistan"},MATCH(UPPER(LEFT(TRIM(Raw_Data!D265),1)),{"P","S","K","B"},0)),IFERROR(INDEX(Data_Dictionary!$G$4:$G$16,MATCH(E265,Data_Dictionary!$F$4:$F$16,0)),"Unassigned"))</f>
        <v>KPK</v>
      </c>
      <c r="E265" s="17" t="str">
        <f aca="false">IF(TRIM(Raw_Data!E265)="","Unknown",PROPER(TRIM(Raw_Data!E265)))</f>
        <v>Mardan</v>
      </c>
      <c r="F265" s="17" t="str">
        <f aca="false">IFERROR(INDEX({"Electronics","Home &amp; Kitchen","Clothing","Groceries","Beauty"},MATCH(UPPER(LEFT(TRIM(Raw_Data!F265),3)),{"ELE","HOM","CLO","GRO","BEA"},0)),"Uncategorised")</f>
        <v>Electronics</v>
      </c>
      <c r="G265" s="17" t="str">
        <f aca="false">IF(TRIM(Raw_Data!G265)="","Unknown",PROPER(TRIM(Raw_Data!G265)))</f>
        <v>Phone Charger</v>
      </c>
      <c r="H265" s="19" t="n">
        <f aca="false">IFERROR(ABS(VALUE(TRIM(Raw_Data!H265))),"")</f>
        <v>2</v>
      </c>
      <c r="I265" s="20" t="n">
        <f aca="false">IFERROR(VALUE(TRIM(SUBSTITUTE(SUBSTITUTE(SUBSTITUTE(SUBSTITUTE(TRIM(Raw_Data!I265),"PKR",""),"Rs.",""),"Rs",""),",",""))),"")</f>
        <v>1250</v>
      </c>
      <c r="J265" s="21" t="n">
        <f aca="false">IFERROR(IF(TRIM(Raw_Data!J265)="",0,IF(VALUE(TRIM(Raw_Data!J265))&gt;1,VALUE(TRIM(Raw_Data!J265))/100,VALUE(TRIM(Raw_Data!J265)))),0)</f>
        <v>0.1</v>
      </c>
      <c r="K265" s="17" t="str">
        <f aca="false">IF(TRIM(Raw_Data!K265)="","Unassigned",PROPER(TRIM(Raw_Data!K265)))</f>
        <v>Imran Shah</v>
      </c>
      <c r="L265" s="17" t="str">
        <f aca="false">IFERROR(INDEX({"Credit Card","Credit Card","Debit Card","Debit Card","Cash","PayPal"},MATCH(UPPER(LEFT(TRIM(Raw_Data!L265),2)),{"CR","CC","DE","DC","CA","PA"},0)),"Other")</f>
        <v>Credit Card</v>
      </c>
      <c r="M265" s="17" t="str">
        <f aca="false">IFERROR(INDEX({"Completed","Returned","Cancelled","Pending"},MATCH(UPPER(LEFT(TRIM(Raw_Data!M265),3)),{"COM","RET","CAN","PEN"},0)),"Unknown")</f>
        <v>Completed</v>
      </c>
      <c r="N265" s="20" t="n">
        <f aca="false">IF(OR(H265="",I265=""),"",H265*I265)</f>
        <v>2500</v>
      </c>
      <c r="O265" s="20" t="n">
        <f aca="false">IF(N265="","",N265*J265)</f>
        <v>250</v>
      </c>
      <c r="P265" s="20" t="n">
        <f aca="false">IF(N265="","",N265-O265)</f>
        <v>2250</v>
      </c>
      <c r="Q265" s="22" t="n">
        <f aca="false">IF(B265="","",DATE(YEAR(B265),MONTH(B265),1))</f>
        <v>45658</v>
      </c>
      <c r="R265" s="17" t="str">
        <f aca="false">IF(A265="","Invalid - Exclude",IF(COUNTIF($A$2:A265,A265)&gt;1,"Duplicate - Exclude",IF(OR(B265="",H265="",I265=""),"Invalid - Exclude","Valid")))</f>
        <v>Valid</v>
      </c>
      <c r="S265" s="17" t="str">
        <f aca="false">IF(R265="Valid","",IF(R265="Duplicate - Exclude","Repeat of an earlier Order ID",IF(B265="","Date missing or unreadable",IF(H265="","Quantity missing or unreadable",IF(I265="","Unit price missing or unreadable","Order ID missing")))))</f>
        <v/>
      </c>
    </row>
    <row r="266" customFormat="false" ht="15" hidden="false" customHeight="true" outlineLevel="0" collapsed="false">
      <c r="A266" s="9" t="str">
        <f aca="false">UPPER(TRIM(Raw_Data!A266))</f>
        <v>ORD-1255</v>
      </c>
      <c r="B266" s="10" t="n">
        <f aca="false">IFERROR(IF(ISNUMBER(Raw_Data!B266),Raw_Data!B266,IF(ISNUMBER(FIND("/",Raw_Data!B266)),DATE(VALUE(RIGHT(TRIM(Raw_Data!B266),4)),VALUE(MID(TRIM(Raw_Data!B266),4,2)),VALUE(LEFT(TRIM(Raw_Data!B266),2))),IF(MID(TRIM(Raw_Data!B266),5,1)="-",DATE(VALUE(LEFT(TRIM(Raw_Data!B266),4)),VALUE(MID(TRIM(Raw_Data!B266),6,2)),VALUE(RIGHT(TRIM(Raw_Data!B266),2))),DATE(VALUE(RIGHT(TRIM(Raw_Data!B266),4)),MATCH(MID(TRIM(Raw_Data!B266),4,3),{"Jan","Feb","Mar","Apr","May","Jun","Jul","Aug","Sep","Oct","Nov","Dec"},0),VALUE(LEFT(TRIM(Raw_Data!B266),2)))))),"")</f>
        <v>45833</v>
      </c>
      <c r="C266" s="9" t="str">
        <f aca="false">IF(TRIM(Raw_Data!C266)="","Unknown",PROPER(TRIM(Raw_Data!C266)))</f>
        <v>Usman Qureshi</v>
      </c>
      <c r="D266" s="9" t="str">
        <f aca="false">IFERROR(INDEX({"Punjab","Sindh","KPK","Balochistan"},MATCH(UPPER(LEFT(TRIM(Raw_Data!D266),1)),{"P","S","K","B"},0)),IFERROR(INDEX(Data_Dictionary!$G$4:$G$16,MATCH(E266,Data_Dictionary!$F$4:$F$16,0)),"Unassigned"))</f>
        <v>Sindh</v>
      </c>
      <c r="E266" s="9" t="str">
        <f aca="false">IF(TRIM(Raw_Data!E266)="","Unknown",PROPER(TRIM(Raw_Data!E266)))</f>
        <v>Karachi</v>
      </c>
      <c r="F266" s="9" t="str">
        <f aca="false">IFERROR(INDEX({"Electronics","Home &amp; Kitchen","Clothing","Groceries","Beauty"},MATCH(UPPER(LEFT(TRIM(Raw_Data!F266),3)),{"ELE","HOM","CLO","GRO","BEA"},0)),"Uncategorised")</f>
        <v>Home &amp; Kitchen</v>
      </c>
      <c r="G266" s="9" t="str">
        <f aca="false">IF(TRIM(Raw_Data!G266)="","Unknown",PROPER(TRIM(Raw_Data!G266)))</f>
        <v>Bedsheet Set</v>
      </c>
      <c r="H266" s="11" t="n">
        <f aca="false">IFERROR(ABS(VALUE(TRIM(Raw_Data!H266))),"")</f>
        <v>4</v>
      </c>
      <c r="I266" s="12" t="n">
        <f aca="false">IFERROR(VALUE(TRIM(SUBSTITUTE(SUBSTITUTE(SUBSTITUTE(SUBSTITUTE(TRIM(Raw_Data!I266),"PKR",""),"Rs.",""),"Rs",""),",",""))),"")</f>
        <v>5100</v>
      </c>
      <c r="J266" s="13" t="n">
        <f aca="false">IFERROR(IF(TRIM(Raw_Data!J266)="",0,IF(VALUE(TRIM(Raw_Data!J266))&gt;1,VALUE(TRIM(Raw_Data!J266))/100,VALUE(TRIM(Raw_Data!J266)))),0)</f>
        <v>0</v>
      </c>
      <c r="K266" s="9" t="str">
        <f aca="false">IF(TRIM(Raw_Data!K266)="","Unassigned",PROPER(TRIM(Raw_Data!K266)))</f>
        <v>Waqar Ahmed</v>
      </c>
      <c r="L266" s="9" t="str">
        <f aca="false">IFERROR(INDEX({"Credit Card","Credit Card","Debit Card","Debit Card","Cash","PayPal"},MATCH(UPPER(LEFT(TRIM(Raw_Data!L266),2)),{"CR","CC","DE","DC","CA","PA"},0)),"Other")</f>
        <v>Cash</v>
      </c>
      <c r="M266" s="9" t="str">
        <f aca="false">IFERROR(INDEX({"Completed","Returned","Cancelled","Pending"},MATCH(UPPER(LEFT(TRIM(Raw_Data!M266),3)),{"COM","RET","CAN","PEN"},0)),"Unknown")</f>
        <v>Completed</v>
      </c>
      <c r="N266" s="14" t="n">
        <f aca="false">IF(OR(H266="",I266=""),"",H266*I266)</f>
        <v>20400</v>
      </c>
      <c r="O266" s="14" t="n">
        <f aca="false">IF(N266="","",N266*J266)</f>
        <v>0</v>
      </c>
      <c r="P266" s="14" t="n">
        <f aca="false">IF(N266="","",N266-O266)</f>
        <v>20400</v>
      </c>
      <c r="Q266" s="15" t="n">
        <f aca="false">IF(B266="","",DATE(YEAR(B266),MONTH(B266),1))</f>
        <v>45809</v>
      </c>
      <c r="R266" s="16" t="str">
        <f aca="false">IF(A266="","Invalid - Exclude",IF(COUNTIF($A$2:A266,A266)&gt;1,"Duplicate - Exclude",IF(OR(B266="",H266="",I266=""),"Invalid - Exclude","Valid")))</f>
        <v>Valid</v>
      </c>
      <c r="S266" s="16" t="str">
        <f aca="false">IF(R266="Valid","",IF(R266="Duplicate - Exclude","Repeat of an earlier Order ID",IF(B266="","Date missing or unreadable",IF(H266="","Quantity missing or unreadable",IF(I266="","Unit price missing or unreadable","Order ID missing")))))</f>
        <v/>
      </c>
    </row>
    <row r="267" customFormat="false" ht="15" hidden="false" customHeight="true" outlineLevel="0" collapsed="false">
      <c r="A267" s="17" t="str">
        <f aca="false">UPPER(TRIM(Raw_Data!A267))</f>
        <v>ORD-1223</v>
      </c>
      <c r="B267" s="18" t="n">
        <f aca="false">IFERROR(IF(ISNUMBER(Raw_Data!B267),Raw_Data!B267,IF(ISNUMBER(FIND("/",Raw_Data!B267)),DATE(VALUE(RIGHT(TRIM(Raw_Data!B267),4)),VALUE(MID(TRIM(Raw_Data!B267),4,2)),VALUE(LEFT(TRIM(Raw_Data!B267),2))),IF(MID(TRIM(Raw_Data!B267),5,1)="-",DATE(VALUE(LEFT(TRIM(Raw_Data!B267),4)),VALUE(MID(TRIM(Raw_Data!B267),6,2)),VALUE(RIGHT(TRIM(Raw_Data!B267),2))),DATE(VALUE(RIGHT(TRIM(Raw_Data!B267),4)),MATCH(MID(TRIM(Raw_Data!B267),4,3),{"Jan","Feb","Mar","Apr","May","Jun","Jul","Aug","Sep","Oct","Nov","Dec"},0),VALUE(LEFT(TRIM(Raw_Data!B267),2)))))),"")</f>
        <v>45828</v>
      </c>
      <c r="C267" s="17" t="str">
        <f aca="false">IF(TRIM(Raw_Data!C267)="","Unknown",PROPER(TRIM(Raw_Data!C267)))</f>
        <v>Tariq Qureshi</v>
      </c>
      <c r="D267" s="17" t="str">
        <f aca="false">IFERROR(INDEX({"Punjab","Sindh","KPK","Balochistan"},MATCH(UPPER(LEFT(TRIM(Raw_Data!D267),1)),{"P","S","K","B"},0)),IFERROR(INDEX(Data_Dictionary!$G$4:$G$16,MATCH(E267,Data_Dictionary!$F$4:$F$16,0)),"Unassigned"))</f>
        <v>Sindh</v>
      </c>
      <c r="E267" s="17" t="str">
        <f aca="false">IF(TRIM(Raw_Data!E267)="","Unknown",PROPER(TRIM(Raw_Data!E267)))</f>
        <v>Hyderabad</v>
      </c>
      <c r="F267" s="17" t="str">
        <f aca="false">IFERROR(INDEX({"Electronics","Home &amp; Kitchen","Clothing","Groceries","Beauty"},MATCH(UPPER(LEFT(TRIM(Raw_Data!F267),3)),{"ELE","HOM","CLO","GRO","BEA"},0)),"Uncategorised")</f>
        <v>Home &amp; Kitchen</v>
      </c>
      <c r="G267" s="17" t="str">
        <f aca="false">IF(TRIM(Raw_Data!G267)="","Unknown",PROPER(TRIM(Raw_Data!G267)))</f>
        <v>Bedsheet Set</v>
      </c>
      <c r="H267" s="19" t="n">
        <f aca="false">IFERROR(ABS(VALUE(TRIM(Raw_Data!H267))),"")</f>
        <v>2</v>
      </c>
      <c r="I267" s="20" t="n">
        <f aca="false">IFERROR(VALUE(TRIM(SUBSTITUTE(SUBSTITUTE(SUBSTITUTE(SUBSTITUTE(TRIM(Raw_Data!I267),"PKR",""),"Rs.",""),"Rs",""),",",""))),"")</f>
        <v>5150</v>
      </c>
      <c r="J267" s="21" t="n">
        <f aca="false">IFERROR(IF(TRIM(Raw_Data!J267)="",0,IF(VALUE(TRIM(Raw_Data!J267))&gt;1,VALUE(TRIM(Raw_Data!J267))/100,VALUE(TRIM(Raw_Data!J267)))),0)</f>
        <v>0.2</v>
      </c>
      <c r="K267" s="17" t="str">
        <f aca="false">IF(TRIM(Raw_Data!K267)="","Unassigned",PROPER(TRIM(Raw_Data!K267)))</f>
        <v>Imran Shah</v>
      </c>
      <c r="L267" s="17" t="str">
        <f aca="false">IFERROR(INDEX({"Credit Card","Credit Card","Debit Card","Debit Card","Cash","PayPal"},MATCH(UPPER(LEFT(TRIM(Raw_Data!L267),2)),{"CR","CC","DE","DC","CA","PA"},0)),"Other")</f>
        <v>Cash</v>
      </c>
      <c r="M267" s="17" t="str">
        <f aca="false">IFERROR(INDEX({"Completed","Returned","Cancelled","Pending"},MATCH(UPPER(LEFT(TRIM(Raw_Data!M267),3)),{"COM","RET","CAN","PEN"},0)),"Unknown")</f>
        <v>Completed</v>
      </c>
      <c r="N267" s="20" t="n">
        <f aca="false">IF(OR(H267="",I267=""),"",H267*I267)</f>
        <v>10300</v>
      </c>
      <c r="O267" s="20" t="n">
        <f aca="false">IF(N267="","",N267*J267)</f>
        <v>2060</v>
      </c>
      <c r="P267" s="20" t="n">
        <f aca="false">IF(N267="","",N267-O267)</f>
        <v>8240</v>
      </c>
      <c r="Q267" s="22" t="n">
        <f aca="false">IF(B267="","",DATE(YEAR(B267),MONTH(B267),1))</f>
        <v>45809</v>
      </c>
      <c r="R267" s="17" t="str">
        <f aca="false">IF(A267="","Invalid - Exclude",IF(COUNTIF($A$2:A267,A267)&gt;1,"Duplicate - Exclude",IF(OR(B267="",H267="",I267=""),"Invalid - Exclude","Valid")))</f>
        <v>Duplicate - Exclude</v>
      </c>
      <c r="S267" s="17" t="str">
        <f aca="false">IF(R267="Valid","",IF(R267="Duplicate - Exclude","Repeat of an earlier Order ID",IF(B267="","Date missing or unreadable",IF(H267="","Quantity missing or unreadable",IF(I267="","Unit price missing or unreadable","Order ID missing")))))</f>
        <v>Repeat of an earlier Order ID</v>
      </c>
    </row>
    <row r="268" customFormat="false" ht="15" hidden="false" customHeight="true" outlineLevel="0" collapsed="false">
      <c r="A268" s="9" t="str">
        <f aca="false">UPPER(TRIM(Raw_Data!A268))</f>
        <v>ORD-1304</v>
      </c>
      <c r="B268" s="10" t="n">
        <f aca="false">IFERROR(IF(ISNUMBER(Raw_Data!B268),Raw_Data!B268,IF(ISNUMBER(FIND("/",Raw_Data!B268)),DATE(VALUE(RIGHT(TRIM(Raw_Data!B268),4)),VALUE(MID(TRIM(Raw_Data!B268),4,2)),VALUE(LEFT(TRIM(Raw_Data!B268),2))),IF(MID(TRIM(Raw_Data!B268),5,1)="-",DATE(VALUE(LEFT(TRIM(Raw_Data!B268),4)),VALUE(MID(TRIM(Raw_Data!B268),6,2)),VALUE(RIGHT(TRIM(Raw_Data!B268),2))),DATE(VALUE(RIGHT(TRIM(Raw_Data!B268),4)),MATCH(MID(TRIM(Raw_Data!B268),4,3),{"Jan","Feb","Mar","Apr","May","Jun","Jul","Aug","Sep","Oct","Nov","Dec"},0),VALUE(LEFT(TRIM(Raw_Data!B268),2)))))),"")</f>
        <v>45771</v>
      </c>
      <c r="C268" s="9" t="str">
        <f aca="false">IF(TRIM(Raw_Data!C268)="","Unknown",PROPER(TRIM(Raw_Data!C268)))</f>
        <v>Zain Iqbal</v>
      </c>
      <c r="D268" s="9" t="str">
        <f aca="false">IFERROR(INDEX({"Punjab","Sindh","KPK","Balochistan"},MATCH(UPPER(LEFT(TRIM(Raw_Data!D268),1)),{"P","S","K","B"},0)),IFERROR(INDEX(Data_Dictionary!$G$4:$G$16,MATCH(E268,Data_Dictionary!$F$4:$F$16,0)),"Unassigned"))</f>
        <v>Sindh</v>
      </c>
      <c r="E268" s="9" t="str">
        <f aca="false">IF(TRIM(Raw_Data!E268)="","Unknown",PROPER(TRIM(Raw_Data!E268)))</f>
        <v>Hyderabad</v>
      </c>
      <c r="F268" s="9" t="str">
        <f aca="false">IFERROR(INDEX({"Electronics","Home &amp; Kitchen","Clothing","Groceries","Beauty"},MATCH(UPPER(LEFT(TRIM(Raw_Data!F268),3)),{"ELE","HOM","CLO","GRO","BEA"},0)),"Uncategorised")</f>
        <v>Clothing</v>
      </c>
      <c r="G268" s="9" t="str">
        <f aca="false">IF(TRIM(Raw_Data!G268)="","Unknown",PROPER(TRIM(Raw_Data!G268)))</f>
        <v>Mens Kurta</v>
      </c>
      <c r="H268" s="11" t="n">
        <f aca="false">IFERROR(ABS(VALUE(TRIM(Raw_Data!H268))),"")</f>
        <v>5</v>
      </c>
      <c r="I268" s="12" t="n">
        <f aca="false">IFERROR(VALUE(TRIM(SUBSTITUTE(SUBSTITUTE(SUBSTITUTE(SUBSTITUTE(TRIM(Raw_Data!I268),"PKR",""),"Rs.",""),"Rs",""),",",""))),"")</f>
        <v>3250</v>
      </c>
      <c r="J268" s="13" t="n">
        <f aca="false">IFERROR(IF(TRIM(Raw_Data!J268)="",0,IF(VALUE(TRIM(Raw_Data!J268))&gt;1,VALUE(TRIM(Raw_Data!J268))/100,VALUE(TRIM(Raw_Data!J268)))),0)</f>
        <v>0</v>
      </c>
      <c r="K268" s="9" t="str">
        <f aca="false">IF(TRIM(Raw_Data!K268)="","Unassigned",PROPER(TRIM(Raw_Data!K268)))</f>
        <v>Sadia Noor</v>
      </c>
      <c r="L268" s="9" t="str">
        <f aca="false">IFERROR(INDEX({"Credit Card","Credit Card","Debit Card","Debit Card","Cash","PayPal"},MATCH(UPPER(LEFT(TRIM(Raw_Data!L268),2)),{"CR","CC","DE","DC","CA","PA"},0)),"Other")</f>
        <v>Credit Card</v>
      </c>
      <c r="M268" s="9" t="str">
        <f aca="false">IFERROR(INDEX({"Completed","Returned","Cancelled","Pending"},MATCH(UPPER(LEFT(TRIM(Raw_Data!M268),3)),{"COM","RET","CAN","PEN"},0)),"Unknown")</f>
        <v>Completed</v>
      </c>
      <c r="N268" s="14" t="n">
        <f aca="false">IF(OR(H268="",I268=""),"",H268*I268)</f>
        <v>16250</v>
      </c>
      <c r="O268" s="14" t="n">
        <f aca="false">IF(N268="","",N268*J268)</f>
        <v>0</v>
      </c>
      <c r="P268" s="14" t="n">
        <f aca="false">IF(N268="","",N268-O268)</f>
        <v>16250</v>
      </c>
      <c r="Q268" s="15" t="n">
        <f aca="false">IF(B268="","",DATE(YEAR(B268),MONTH(B268),1))</f>
        <v>45748</v>
      </c>
      <c r="R268" s="16" t="str">
        <f aca="false">IF(A268="","Invalid - Exclude",IF(COUNTIF($A$2:A268,A268)&gt;1,"Duplicate - Exclude",IF(OR(B268="",H268="",I268=""),"Invalid - Exclude","Valid")))</f>
        <v>Valid</v>
      </c>
      <c r="S268" s="16" t="str">
        <f aca="false">IF(R268="Valid","",IF(R268="Duplicate - Exclude","Repeat of an earlier Order ID",IF(B268="","Date missing or unreadable",IF(H268="","Quantity missing or unreadable",IF(I268="","Unit price missing or unreadable","Order ID missing")))))</f>
        <v/>
      </c>
    </row>
    <row r="269" customFormat="false" ht="15" hidden="false" customHeight="true" outlineLevel="0" collapsed="false">
      <c r="A269" s="17" t="str">
        <f aca="false">UPPER(TRIM(Raw_Data!A269))</f>
        <v>ORD-1256</v>
      </c>
      <c r="B269" s="18" t="n">
        <f aca="false">IFERROR(IF(ISNUMBER(Raw_Data!B269),Raw_Data!B269,IF(ISNUMBER(FIND("/",Raw_Data!B269)),DATE(VALUE(RIGHT(TRIM(Raw_Data!B269),4)),VALUE(MID(TRIM(Raw_Data!B269),4,2)),VALUE(LEFT(TRIM(Raw_Data!B269),2))),IF(MID(TRIM(Raw_Data!B269),5,1)="-",DATE(VALUE(LEFT(TRIM(Raw_Data!B269),4)),VALUE(MID(TRIM(Raw_Data!B269),6,2)),VALUE(RIGHT(TRIM(Raw_Data!B269),2))),DATE(VALUE(RIGHT(TRIM(Raw_Data!B269),4)),MATCH(MID(TRIM(Raw_Data!B269),4,3),{"Jan","Feb","Mar","Apr","May","Jun","Jul","Aug","Sep","Oct","Nov","Dec"},0),VALUE(LEFT(TRIM(Raw_Data!B269),2)))))),"")</f>
        <v>45915</v>
      </c>
      <c r="C269" s="17" t="str">
        <f aca="false">IF(TRIM(Raw_Data!C269)="","Unknown",PROPER(TRIM(Raw_Data!C269)))</f>
        <v>Hamza Malik</v>
      </c>
      <c r="D269" s="17" t="str">
        <f aca="false">IFERROR(INDEX({"Punjab","Sindh","KPK","Balochistan"},MATCH(UPPER(LEFT(TRIM(Raw_Data!D269),1)),{"P","S","K","B"},0)),IFERROR(INDEX(Data_Dictionary!$G$4:$G$16,MATCH(E269,Data_Dictionary!$F$4:$F$16,0)),"Unassigned"))</f>
        <v>Punjab</v>
      </c>
      <c r="E269" s="17" t="str">
        <f aca="false">IF(TRIM(Raw_Data!E269)="","Unknown",PROPER(TRIM(Raw_Data!E269)))</f>
        <v>Lahore</v>
      </c>
      <c r="F269" s="17" t="str">
        <f aca="false">IFERROR(INDEX({"Electronics","Home &amp; Kitchen","Clothing","Groceries","Beauty"},MATCH(UPPER(LEFT(TRIM(Raw_Data!F269),3)),{"ELE","HOM","CLO","GRO","BEA"},0)),"Uncategorised")</f>
        <v>Home &amp; Kitchen</v>
      </c>
      <c r="G269" s="17" t="str">
        <f aca="false">IF(TRIM(Raw_Data!G269)="","Unknown",PROPER(TRIM(Raw_Data!G269)))</f>
        <v>Bedsheet Set</v>
      </c>
      <c r="H269" s="19" t="n">
        <f aca="false">IFERROR(ABS(VALUE(TRIM(Raw_Data!H269))),"")</f>
        <v>8</v>
      </c>
      <c r="I269" s="20" t="n">
        <f aca="false">IFERROR(VALUE(TRIM(SUBSTITUTE(SUBSTITUTE(SUBSTITUTE(SUBSTITUTE(TRIM(Raw_Data!I269),"PKR",""),"Rs.",""),"Rs",""),",",""))),"")</f>
        <v>5200</v>
      </c>
      <c r="J269" s="21" t="n">
        <f aca="false">IFERROR(IF(TRIM(Raw_Data!J269)="",0,IF(VALUE(TRIM(Raw_Data!J269))&gt;1,VALUE(TRIM(Raw_Data!J269))/100,VALUE(TRIM(Raw_Data!J269)))),0)</f>
        <v>0.2</v>
      </c>
      <c r="K269" s="17" t="str">
        <f aca="false">IF(TRIM(Raw_Data!K269)="","Unassigned",PROPER(TRIM(Raw_Data!K269)))</f>
        <v>Nimra Aslam</v>
      </c>
      <c r="L269" s="17" t="str">
        <f aca="false">IFERROR(INDEX({"Credit Card","Credit Card","Debit Card","Debit Card","Cash","PayPal"},MATCH(UPPER(LEFT(TRIM(Raw_Data!L269),2)),{"CR","CC","DE","DC","CA","PA"},0)),"Other")</f>
        <v>PayPal</v>
      </c>
      <c r="M269" s="17" t="str">
        <f aca="false">IFERROR(INDEX({"Completed","Returned","Cancelled","Pending"},MATCH(UPPER(LEFT(TRIM(Raw_Data!M269),3)),{"COM","RET","CAN","PEN"},0)),"Unknown")</f>
        <v>Completed</v>
      </c>
      <c r="N269" s="20" t="n">
        <f aca="false">IF(OR(H269="",I269=""),"",H269*I269)</f>
        <v>41600</v>
      </c>
      <c r="O269" s="20" t="n">
        <f aca="false">IF(N269="","",N269*J269)</f>
        <v>8320</v>
      </c>
      <c r="P269" s="20" t="n">
        <f aca="false">IF(N269="","",N269-O269)</f>
        <v>33280</v>
      </c>
      <c r="Q269" s="22" t="n">
        <f aca="false">IF(B269="","",DATE(YEAR(B269),MONTH(B269),1))</f>
        <v>45901</v>
      </c>
      <c r="R269" s="17" t="str">
        <f aca="false">IF(A269="","Invalid - Exclude",IF(COUNTIF($A$2:A269,A269)&gt;1,"Duplicate - Exclude",IF(OR(B269="",H269="",I269=""),"Invalid - Exclude","Valid")))</f>
        <v>Valid</v>
      </c>
      <c r="S269" s="17" t="str">
        <f aca="false">IF(R269="Valid","",IF(R269="Duplicate - Exclude","Repeat of an earlier Order ID",IF(B269="","Date missing or unreadable",IF(H269="","Quantity missing or unreadable",IF(I269="","Unit price missing or unreadable","Order ID missing")))))</f>
        <v/>
      </c>
    </row>
    <row r="270" customFormat="false" ht="15" hidden="false" customHeight="true" outlineLevel="0" collapsed="false">
      <c r="A270" s="9" t="str">
        <f aca="false">UPPER(TRIM(Raw_Data!A270))</f>
        <v>ORD-1257</v>
      </c>
      <c r="B270" s="10" t="n">
        <f aca="false">IFERROR(IF(ISNUMBER(Raw_Data!B270),Raw_Data!B270,IF(ISNUMBER(FIND("/",Raw_Data!B270)),DATE(VALUE(RIGHT(TRIM(Raw_Data!B270),4)),VALUE(MID(TRIM(Raw_Data!B270),4,2)),VALUE(LEFT(TRIM(Raw_Data!B270),2))),IF(MID(TRIM(Raw_Data!B270),5,1)="-",DATE(VALUE(LEFT(TRIM(Raw_Data!B270),4)),VALUE(MID(TRIM(Raw_Data!B270),6,2)),VALUE(RIGHT(TRIM(Raw_Data!B270),2))),DATE(VALUE(RIGHT(TRIM(Raw_Data!B270),4)),MATCH(MID(TRIM(Raw_Data!B270),4,3),{"Jan","Feb","Mar","Apr","May","Jun","Jul","Aug","Sep","Oct","Nov","Dec"},0),VALUE(LEFT(TRIM(Raw_Data!B270),2)))))),"")</f>
        <v>45665</v>
      </c>
      <c r="C270" s="9" t="str">
        <f aca="false">IF(TRIM(Raw_Data!C270)="","Unknown",PROPER(TRIM(Raw_Data!C270)))</f>
        <v>Tariq Siddiqui</v>
      </c>
      <c r="D270" s="9" t="str">
        <f aca="false">IFERROR(INDEX({"Punjab","Sindh","KPK","Balochistan"},MATCH(UPPER(LEFT(TRIM(Raw_Data!D270),1)),{"P","S","K","B"},0)),IFERROR(INDEX(Data_Dictionary!$G$4:$G$16,MATCH(E270,Data_Dictionary!$F$4:$F$16,0)),"Unassigned"))</f>
        <v>Balochistan</v>
      </c>
      <c r="E270" s="9" t="str">
        <f aca="false">IF(TRIM(Raw_Data!E270)="","Unknown",PROPER(TRIM(Raw_Data!E270)))</f>
        <v>Quetta</v>
      </c>
      <c r="F270" s="9" t="str">
        <f aca="false">IFERROR(INDEX({"Electronics","Home &amp; Kitchen","Clothing","Groceries","Beauty"},MATCH(UPPER(LEFT(TRIM(Raw_Data!F270),3)),{"ELE","HOM","CLO","GRO","BEA"},0)),"Uncategorised")</f>
        <v>Clothing</v>
      </c>
      <c r="G270" s="9" t="str">
        <f aca="false">IF(TRIM(Raw_Data!G270)="","Unknown",PROPER(TRIM(Raw_Data!G270)))</f>
        <v>Mens Kurta</v>
      </c>
      <c r="H270" s="11" t="str">
        <f aca="false">IFERROR(ABS(VALUE(TRIM(Raw_Data!H270))),"")</f>
        <v/>
      </c>
      <c r="I270" s="12" t="n">
        <f aca="false">IFERROR(VALUE(TRIM(SUBSTITUTE(SUBSTITUTE(SUBSTITUTE(SUBSTITUTE(TRIM(Raw_Data!I270),"PKR",""),"Rs.",""),"Rs",""),",",""))),"")</f>
        <v>3200</v>
      </c>
      <c r="J270" s="13" t="n">
        <f aca="false">IFERROR(IF(TRIM(Raw_Data!J270)="",0,IF(VALUE(TRIM(Raw_Data!J270))&gt;1,VALUE(TRIM(Raw_Data!J270))/100,VALUE(TRIM(Raw_Data!J270)))),0)</f>
        <v>0</v>
      </c>
      <c r="K270" s="9" t="str">
        <f aca="false">IF(TRIM(Raw_Data!K270)="","Unassigned",PROPER(TRIM(Raw_Data!K270)))</f>
        <v>Imran Shah</v>
      </c>
      <c r="L270" s="9" t="str">
        <f aca="false">IFERROR(INDEX({"Credit Card","Credit Card","Debit Card","Debit Card","Cash","PayPal"},MATCH(UPPER(LEFT(TRIM(Raw_Data!L270),2)),{"CR","CC","DE","DC","CA","PA"},0)),"Other")</f>
        <v>Cash</v>
      </c>
      <c r="M270" s="9" t="str">
        <f aca="false">IFERROR(INDEX({"Completed","Returned","Cancelled","Pending"},MATCH(UPPER(LEFT(TRIM(Raw_Data!M270),3)),{"COM","RET","CAN","PEN"},0)),"Unknown")</f>
        <v>Completed</v>
      </c>
      <c r="N270" s="14" t="str">
        <f aca="false">IF(OR(H270="",I270=""),"",H270*I270)</f>
        <v/>
      </c>
      <c r="O270" s="14" t="str">
        <f aca="false">IF(N270="","",N270*J270)</f>
        <v/>
      </c>
      <c r="P270" s="14" t="str">
        <f aca="false">IF(N270="","",N270-O270)</f>
        <v/>
      </c>
      <c r="Q270" s="15" t="n">
        <f aca="false">IF(B270="","",DATE(YEAR(B270),MONTH(B270),1))</f>
        <v>45658</v>
      </c>
      <c r="R270" s="16" t="str">
        <f aca="false">IF(A270="","Invalid - Exclude",IF(COUNTIF($A$2:A270,A270)&gt;1,"Duplicate - Exclude",IF(OR(B270="",H270="",I270=""),"Invalid - Exclude","Valid")))</f>
        <v>Invalid - Exclude</v>
      </c>
      <c r="S270" s="16" t="str">
        <f aca="false">IF(R270="Valid","",IF(R270="Duplicate - Exclude","Repeat of an earlier Order ID",IF(B270="","Date missing or unreadable",IF(H270="","Quantity missing or unreadable",IF(I270="","Unit price missing or unreadable","Order ID missing")))))</f>
        <v>Quantity missing or unreadable</v>
      </c>
    </row>
    <row r="271" customFormat="false" ht="15" hidden="false" customHeight="true" outlineLevel="0" collapsed="false">
      <c r="A271" s="17" t="str">
        <f aca="false">UPPER(TRIM(Raw_Data!A271))</f>
        <v>ORD-1258</v>
      </c>
      <c r="B271" s="18" t="n">
        <f aca="false">IFERROR(IF(ISNUMBER(Raw_Data!B271),Raw_Data!B271,IF(ISNUMBER(FIND("/",Raw_Data!B271)),DATE(VALUE(RIGHT(TRIM(Raw_Data!B271),4)),VALUE(MID(TRIM(Raw_Data!B271),4,2)),VALUE(LEFT(TRIM(Raw_Data!B271),2))),IF(MID(TRIM(Raw_Data!B271),5,1)="-",DATE(VALUE(LEFT(TRIM(Raw_Data!B271),4)),VALUE(MID(TRIM(Raw_Data!B271),6,2)),VALUE(RIGHT(TRIM(Raw_Data!B271),2))),DATE(VALUE(RIGHT(TRIM(Raw_Data!B271),4)),MATCH(MID(TRIM(Raw_Data!B271),4,3),{"Jan","Feb","Mar","Apr","May","Jun","Jul","Aug","Sep","Oct","Nov","Dec"},0),VALUE(LEFT(TRIM(Raw_Data!B271),2)))))),"")</f>
        <v>45731</v>
      </c>
      <c r="C271" s="17" t="str">
        <f aca="false">IF(TRIM(Raw_Data!C271)="","Unknown",PROPER(TRIM(Raw_Data!C271)))</f>
        <v>Maryam Qureshi</v>
      </c>
      <c r="D271" s="17" t="str">
        <f aca="false">IFERROR(INDEX({"Punjab","Sindh","KPK","Balochistan"},MATCH(UPPER(LEFT(TRIM(Raw_Data!D271),1)),{"P","S","K","B"},0)),IFERROR(INDEX(Data_Dictionary!$G$4:$G$16,MATCH(E271,Data_Dictionary!$F$4:$F$16,0)),"Unassigned"))</f>
        <v>Punjab</v>
      </c>
      <c r="E271" s="17" t="str">
        <f aca="false">IF(TRIM(Raw_Data!E271)="","Unknown",PROPER(TRIM(Raw_Data!E271)))</f>
        <v>Faisalabad</v>
      </c>
      <c r="F271" s="17" t="str">
        <f aca="false">IFERROR(INDEX({"Electronics","Home &amp; Kitchen","Clothing","Groceries","Beauty"},MATCH(UPPER(LEFT(TRIM(Raw_Data!F271),3)),{"ELE","HOM","CLO","GRO","BEA"},0)),"Uncategorised")</f>
        <v>Electronics</v>
      </c>
      <c r="G271" s="17" t="str">
        <f aca="false">IF(TRIM(Raw_Data!G271)="","Unknown",PROPER(TRIM(Raw_Data!G271)))</f>
        <v>Smart Watch</v>
      </c>
      <c r="H271" s="19" t="n">
        <f aca="false">IFERROR(ABS(VALUE(TRIM(Raw_Data!H271))),"")</f>
        <v>6</v>
      </c>
      <c r="I271" s="20" t="n">
        <f aca="false">IFERROR(VALUE(TRIM(SUBSTITUTE(SUBSTITUTE(SUBSTITUTE(SUBSTITUTE(TRIM(Raw_Data!I271),"PKR",""),"Rs.",""),"Rs",""),",",""))),"")</f>
        <v>9750</v>
      </c>
      <c r="J271" s="21" t="n">
        <f aca="false">IFERROR(IF(TRIM(Raw_Data!J271)="",0,IF(VALUE(TRIM(Raw_Data!J271))&gt;1,VALUE(TRIM(Raw_Data!J271))/100,VALUE(TRIM(Raw_Data!J271)))),0)</f>
        <v>0</v>
      </c>
      <c r="K271" s="17" t="str">
        <f aca="false">IF(TRIM(Raw_Data!K271)="","Unassigned",PROPER(TRIM(Raw_Data!K271)))</f>
        <v>Sadia Noor</v>
      </c>
      <c r="L271" s="17" t="str">
        <f aca="false">IFERROR(INDEX({"Credit Card","Credit Card","Debit Card","Debit Card","Cash","PayPal"},MATCH(UPPER(LEFT(TRIM(Raw_Data!L271),2)),{"CR","CC","DE","DC","CA","PA"},0)),"Other")</f>
        <v>Cash</v>
      </c>
      <c r="M271" s="17" t="str">
        <f aca="false">IFERROR(INDEX({"Completed","Returned","Cancelled","Pending"},MATCH(UPPER(LEFT(TRIM(Raw_Data!M271),3)),{"COM","RET","CAN","PEN"},0)),"Unknown")</f>
        <v>Completed</v>
      </c>
      <c r="N271" s="20" t="n">
        <f aca="false">IF(OR(H271="",I271=""),"",H271*I271)</f>
        <v>58500</v>
      </c>
      <c r="O271" s="20" t="n">
        <f aca="false">IF(N271="","",N271*J271)</f>
        <v>0</v>
      </c>
      <c r="P271" s="20" t="n">
        <f aca="false">IF(N271="","",N271-O271)</f>
        <v>58500</v>
      </c>
      <c r="Q271" s="22" t="n">
        <f aca="false">IF(B271="","",DATE(YEAR(B271),MONTH(B271),1))</f>
        <v>45717</v>
      </c>
      <c r="R271" s="17" t="str">
        <f aca="false">IF(A271="","Invalid - Exclude",IF(COUNTIF($A$2:A271,A271)&gt;1,"Duplicate - Exclude",IF(OR(B271="",H271="",I271=""),"Invalid - Exclude","Valid")))</f>
        <v>Valid</v>
      </c>
      <c r="S271" s="17" t="str">
        <f aca="false">IF(R271="Valid","",IF(R271="Duplicate - Exclude","Repeat of an earlier Order ID",IF(B271="","Date missing or unreadable",IF(H271="","Quantity missing or unreadable",IF(I271="","Unit price missing or unreadable","Order ID missing")))))</f>
        <v/>
      </c>
    </row>
    <row r="272" customFormat="false" ht="15" hidden="false" customHeight="true" outlineLevel="0" collapsed="false">
      <c r="A272" s="9" t="str">
        <f aca="false">UPPER(TRIM(Raw_Data!A272))</f>
        <v>ORD-1259</v>
      </c>
      <c r="B272" s="10" t="n">
        <f aca="false">IFERROR(IF(ISNUMBER(Raw_Data!B272),Raw_Data!B272,IF(ISNUMBER(FIND("/",Raw_Data!B272)),DATE(VALUE(RIGHT(TRIM(Raw_Data!B272),4)),VALUE(MID(TRIM(Raw_Data!B272),4,2)),VALUE(LEFT(TRIM(Raw_Data!B272),2))),IF(MID(TRIM(Raw_Data!B272),5,1)="-",DATE(VALUE(LEFT(TRIM(Raw_Data!B272),4)),VALUE(MID(TRIM(Raw_Data!B272),6,2)),VALUE(RIGHT(TRIM(Raw_Data!B272),2))),DATE(VALUE(RIGHT(TRIM(Raw_Data!B272),4)),MATCH(MID(TRIM(Raw_Data!B272),4,3),{"Jan","Feb","Mar","Apr","May","Jun","Jul","Aug","Sep","Oct","Nov","Dec"},0),VALUE(LEFT(TRIM(Raw_Data!B272),2)))))),"")</f>
        <v>45730</v>
      </c>
      <c r="C272" s="9" t="str">
        <f aca="false">IF(TRIM(Raw_Data!C272)="","Unknown",PROPER(TRIM(Raw_Data!C272)))</f>
        <v>Maryam Raza</v>
      </c>
      <c r="D272" s="9" t="str">
        <f aca="false">IFERROR(INDEX({"Punjab","Sindh","KPK","Balochistan"},MATCH(UPPER(LEFT(TRIM(Raw_Data!D272),1)),{"P","S","K","B"},0)),IFERROR(INDEX(Data_Dictionary!$G$4:$G$16,MATCH(E272,Data_Dictionary!$F$4:$F$16,0)),"Unassigned"))</f>
        <v>KPK</v>
      </c>
      <c r="E272" s="9" t="str">
        <f aca="false">IF(TRIM(Raw_Data!E272)="","Unknown",PROPER(TRIM(Raw_Data!E272)))</f>
        <v>Abbottabad</v>
      </c>
      <c r="F272" s="9" t="str">
        <f aca="false">IFERROR(INDEX({"Electronics","Home &amp; Kitchen","Clothing","Groceries","Beauty"},MATCH(UPPER(LEFT(TRIM(Raw_Data!F272),3)),{"ELE","HOM","CLO","GRO","BEA"},0)),"Uncategorised")</f>
        <v>Beauty</v>
      </c>
      <c r="G272" s="9" t="str">
        <f aca="false">IF(TRIM(Raw_Data!G272)="","Unknown",PROPER(TRIM(Raw_Data!G272)))</f>
        <v>Hair Dryer</v>
      </c>
      <c r="H272" s="11" t="n">
        <f aca="false">IFERROR(ABS(VALUE(TRIM(Raw_Data!H272))),"")</f>
        <v>6</v>
      </c>
      <c r="I272" s="12" t="n">
        <f aca="false">IFERROR(VALUE(TRIM(SUBSTITUTE(SUBSTITUTE(SUBSTITUTE(SUBSTITUTE(TRIM(Raw_Data!I272),"PKR",""),"Rs.",""),"Rs",""),",",""))),"")</f>
        <v>4300</v>
      </c>
      <c r="J272" s="13" t="n">
        <f aca="false">IFERROR(IF(TRIM(Raw_Data!J272)="",0,IF(VALUE(TRIM(Raw_Data!J272))&gt;1,VALUE(TRIM(Raw_Data!J272))/100,VALUE(TRIM(Raw_Data!J272)))),0)</f>
        <v>0.2</v>
      </c>
      <c r="K272" s="9" t="str">
        <f aca="false">IF(TRIM(Raw_Data!K272)="","Unassigned",PROPER(TRIM(Raw_Data!K272)))</f>
        <v>Faisal Mehmood</v>
      </c>
      <c r="L272" s="9" t="str">
        <f aca="false">IFERROR(INDEX({"Credit Card","Credit Card","Debit Card","Debit Card","Cash","PayPal"},MATCH(UPPER(LEFT(TRIM(Raw_Data!L272),2)),{"CR","CC","DE","DC","CA","PA"},0)),"Other")</f>
        <v>Credit Card</v>
      </c>
      <c r="M272" s="9" t="str">
        <f aca="false">IFERROR(INDEX({"Completed","Returned","Cancelled","Pending"},MATCH(UPPER(LEFT(TRIM(Raw_Data!M272),3)),{"COM","RET","CAN","PEN"},0)),"Unknown")</f>
        <v>Completed</v>
      </c>
      <c r="N272" s="14" t="n">
        <f aca="false">IF(OR(H272="",I272=""),"",H272*I272)</f>
        <v>25800</v>
      </c>
      <c r="O272" s="14" t="n">
        <f aca="false">IF(N272="","",N272*J272)</f>
        <v>5160</v>
      </c>
      <c r="P272" s="14" t="n">
        <f aca="false">IF(N272="","",N272-O272)</f>
        <v>20640</v>
      </c>
      <c r="Q272" s="15" t="n">
        <f aca="false">IF(B272="","",DATE(YEAR(B272),MONTH(B272),1))</f>
        <v>45717</v>
      </c>
      <c r="R272" s="16" t="str">
        <f aca="false">IF(A272="","Invalid - Exclude",IF(COUNTIF($A$2:A272,A272)&gt;1,"Duplicate - Exclude",IF(OR(B272="",H272="",I272=""),"Invalid - Exclude","Valid")))</f>
        <v>Valid</v>
      </c>
      <c r="S272" s="16" t="str">
        <f aca="false">IF(R272="Valid","",IF(R272="Duplicate - Exclude","Repeat of an earlier Order ID",IF(B272="","Date missing or unreadable",IF(H272="","Quantity missing or unreadable",IF(I272="","Unit price missing or unreadable","Order ID missing")))))</f>
        <v/>
      </c>
    </row>
    <row r="273" customFormat="false" ht="15" hidden="false" customHeight="true" outlineLevel="0" collapsed="false">
      <c r="A273" s="17" t="str">
        <f aca="false">UPPER(TRIM(Raw_Data!A273))</f>
        <v>ORD-1260</v>
      </c>
      <c r="B273" s="18" t="n">
        <f aca="false">IFERROR(IF(ISNUMBER(Raw_Data!B273),Raw_Data!B273,IF(ISNUMBER(FIND("/",Raw_Data!B273)),DATE(VALUE(RIGHT(TRIM(Raw_Data!B273),4)),VALUE(MID(TRIM(Raw_Data!B273),4,2)),VALUE(LEFT(TRIM(Raw_Data!B273),2))),IF(MID(TRIM(Raw_Data!B273),5,1)="-",DATE(VALUE(LEFT(TRIM(Raw_Data!B273),4)),VALUE(MID(TRIM(Raw_Data!B273),6,2)),VALUE(RIGHT(TRIM(Raw_Data!B273),2))),DATE(VALUE(RIGHT(TRIM(Raw_Data!B273),4)),MATCH(MID(TRIM(Raw_Data!B273),4,3),{"Jan","Feb","Mar","Apr","May","Jun","Jul","Aug","Sep","Oct","Nov","Dec"},0),VALUE(LEFT(TRIM(Raw_Data!B273),2)))))),"")</f>
        <v>45865</v>
      </c>
      <c r="C273" s="17" t="str">
        <f aca="false">IF(TRIM(Raw_Data!C273)="","Unknown",PROPER(TRIM(Raw_Data!C273)))</f>
        <v>Hina Hussain</v>
      </c>
      <c r="D273" s="17" t="str">
        <f aca="false">IFERROR(INDEX({"Punjab","Sindh","KPK","Balochistan"},MATCH(UPPER(LEFT(TRIM(Raw_Data!D273),1)),{"P","S","K","B"},0)),IFERROR(INDEX(Data_Dictionary!$G$4:$G$16,MATCH(E273,Data_Dictionary!$F$4:$F$16,0)),"Unassigned"))</f>
        <v>Punjab</v>
      </c>
      <c r="E273" s="17" t="str">
        <f aca="false">IF(TRIM(Raw_Data!E273)="","Unknown",PROPER(TRIM(Raw_Data!E273)))</f>
        <v>Faisalabad</v>
      </c>
      <c r="F273" s="17" t="str">
        <f aca="false">IFERROR(INDEX({"Electronics","Home &amp; Kitchen","Clothing","Groceries","Beauty"},MATCH(UPPER(LEFT(TRIM(Raw_Data!F273),3)),{"ELE","HOM","CLO","GRO","BEA"},0)),"Uncategorised")</f>
        <v>Clothing</v>
      </c>
      <c r="G273" s="17" t="str">
        <f aca="false">IF(TRIM(Raw_Data!G273)="","Unknown",PROPER(TRIM(Raw_Data!G273)))</f>
        <v>Mens Kurta</v>
      </c>
      <c r="H273" s="19" t="n">
        <f aca="false">IFERROR(ABS(VALUE(TRIM(Raw_Data!H273))),"")</f>
        <v>4</v>
      </c>
      <c r="I273" s="20" t="n">
        <f aca="false">IFERROR(VALUE(TRIM(SUBSTITUTE(SUBSTITUTE(SUBSTITUTE(SUBSTITUTE(TRIM(Raw_Data!I273),"PKR",""),"Rs.",""),"Rs",""),",",""))),"")</f>
        <v>3300</v>
      </c>
      <c r="J273" s="21" t="n">
        <f aca="false">IFERROR(IF(TRIM(Raw_Data!J273)="",0,IF(VALUE(TRIM(Raw_Data!J273))&gt;1,VALUE(TRIM(Raw_Data!J273))/100,VALUE(TRIM(Raw_Data!J273)))),0)</f>
        <v>0</v>
      </c>
      <c r="K273" s="17" t="str">
        <f aca="false">IF(TRIM(Raw_Data!K273)="","Unassigned",PROPER(TRIM(Raw_Data!K273)))</f>
        <v>Faisal Mehmood</v>
      </c>
      <c r="L273" s="17" t="str">
        <f aca="false">IFERROR(INDEX({"Credit Card","Credit Card","Debit Card","Debit Card","Cash","PayPal"},MATCH(UPPER(LEFT(TRIM(Raw_Data!L273),2)),{"CR","CC","DE","DC","CA","PA"},0)),"Other")</f>
        <v>Debit Card</v>
      </c>
      <c r="M273" s="17" t="str">
        <f aca="false">IFERROR(INDEX({"Completed","Returned","Cancelled","Pending"},MATCH(UPPER(LEFT(TRIM(Raw_Data!M273),3)),{"COM","RET","CAN","PEN"},0)),"Unknown")</f>
        <v>Pending</v>
      </c>
      <c r="N273" s="20" t="n">
        <f aca="false">IF(OR(H273="",I273=""),"",H273*I273)</f>
        <v>13200</v>
      </c>
      <c r="O273" s="20" t="n">
        <f aca="false">IF(N273="","",N273*J273)</f>
        <v>0</v>
      </c>
      <c r="P273" s="20" t="n">
        <f aca="false">IF(N273="","",N273-O273)</f>
        <v>13200</v>
      </c>
      <c r="Q273" s="22" t="n">
        <f aca="false">IF(B273="","",DATE(YEAR(B273),MONTH(B273),1))</f>
        <v>45839</v>
      </c>
      <c r="R273" s="17" t="str">
        <f aca="false">IF(A273="","Invalid - Exclude",IF(COUNTIF($A$2:A273,A273)&gt;1,"Duplicate - Exclude",IF(OR(B273="",H273="",I273=""),"Invalid - Exclude","Valid")))</f>
        <v>Valid</v>
      </c>
      <c r="S273" s="17" t="str">
        <f aca="false">IF(R273="Valid","",IF(R273="Duplicate - Exclude","Repeat of an earlier Order ID",IF(B273="","Date missing or unreadable",IF(H273="","Quantity missing or unreadable",IF(I273="","Unit price missing or unreadable","Order ID missing")))))</f>
        <v/>
      </c>
    </row>
    <row r="274" customFormat="false" ht="15" hidden="false" customHeight="true" outlineLevel="0" collapsed="false">
      <c r="A274" s="9" t="str">
        <f aca="false">UPPER(TRIM(Raw_Data!A274))</f>
        <v>ORD-1261</v>
      </c>
      <c r="B274" s="10" t="n">
        <f aca="false">IFERROR(IF(ISNUMBER(Raw_Data!B274),Raw_Data!B274,IF(ISNUMBER(FIND("/",Raw_Data!B274)),DATE(VALUE(RIGHT(TRIM(Raw_Data!B274),4)),VALUE(MID(TRIM(Raw_Data!B274),4,2)),VALUE(LEFT(TRIM(Raw_Data!B274),2))),IF(MID(TRIM(Raw_Data!B274),5,1)="-",DATE(VALUE(LEFT(TRIM(Raw_Data!B274),4)),VALUE(MID(TRIM(Raw_Data!B274),6,2)),VALUE(RIGHT(TRIM(Raw_Data!B274),2))),DATE(VALUE(RIGHT(TRIM(Raw_Data!B274),4)),MATCH(MID(TRIM(Raw_Data!B274),4,3),{"Jan","Feb","Mar","Apr","May","Jun","Jul","Aug","Sep","Oct","Nov","Dec"},0),VALUE(LEFT(TRIM(Raw_Data!B274),2)))))),"")</f>
        <v>45863</v>
      </c>
      <c r="C274" s="9" t="str">
        <f aca="false">IF(TRIM(Raw_Data!C274)="","Unknown",PROPER(TRIM(Raw_Data!C274)))</f>
        <v>Ali Siddiqui</v>
      </c>
      <c r="D274" s="9" t="str">
        <f aca="false">IFERROR(INDEX({"Punjab","Sindh","KPK","Balochistan"},MATCH(UPPER(LEFT(TRIM(Raw_Data!D274),1)),{"P","S","K","B"},0)),IFERROR(INDEX(Data_Dictionary!$G$4:$G$16,MATCH(E274,Data_Dictionary!$F$4:$F$16,0)),"Unassigned"))</f>
        <v>Punjab</v>
      </c>
      <c r="E274" s="9" t="str">
        <f aca="false">IF(TRIM(Raw_Data!E274)="","Unknown",PROPER(TRIM(Raw_Data!E274)))</f>
        <v>Lahore</v>
      </c>
      <c r="F274" s="9" t="str">
        <f aca="false">IFERROR(INDEX({"Electronics","Home &amp; Kitchen","Clothing","Groceries","Beauty"},MATCH(UPPER(LEFT(TRIM(Raw_Data!F274),3)),{"ELE","HOM","CLO","GRO","BEA"},0)),"Uncategorised")</f>
        <v>Electronics</v>
      </c>
      <c r="G274" s="9" t="str">
        <f aca="false">IF(TRIM(Raw_Data!G274)="","Unknown",PROPER(TRIM(Raw_Data!G274)))</f>
        <v>Wireless Earbuds</v>
      </c>
      <c r="H274" s="11" t="n">
        <f aca="false">IFERROR(ABS(VALUE(TRIM(Raw_Data!H274))),"")</f>
        <v>3</v>
      </c>
      <c r="I274" s="12" t="n">
        <f aca="false">IFERROR(VALUE(TRIM(SUBSTITUTE(SUBSTITUTE(SUBSTITUTE(SUBSTITUTE(TRIM(Raw_Data!I274),"PKR",""),"Rs.",""),"Rs",""),",",""))),"")</f>
        <v>6700</v>
      </c>
      <c r="J274" s="13" t="n">
        <f aca="false">IFERROR(IF(TRIM(Raw_Data!J274)="",0,IF(VALUE(TRIM(Raw_Data!J274))&gt;1,VALUE(TRIM(Raw_Data!J274))/100,VALUE(TRIM(Raw_Data!J274)))),0)</f>
        <v>0.2</v>
      </c>
      <c r="K274" s="9" t="str">
        <f aca="false">IF(TRIM(Raw_Data!K274)="","Unassigned",PROPER(TRIM(Raw_Data!K274)))</f>
        <v>Waqar Ahmed</v>
      </c>
      <c r="L274" s="9" t="str">
        <f aca="false">IFERROR(INDEX({"Credit Card","Credit Card","Debit Card","Debit Card","Cash","PayPal"},MATCH(UPPER(LEFT(TRIM(Raw_Data!L274),2)),{"CR","CC","DE","DC","CA","PA"},0)),"Other")</f>
        <v>Cash</v>
      </c>
      <c r="M274" s="9" t="str">
        <f aca="false">IFERROR(INDEX({"Completed","Returned","Cancelled","Pending"},MATCH(UPPER(LEFT(TRIM(Raw_Data!M274),3)),{"COM","RET","CAN","PEN"},0)),"Unknown")</f>
        <v>Completed</v>
      </c>
      <c r="N274" s="14" t="n">
        <f aca="false">IF(OR(H274="",I274=""),"",H274*I274)</f>
        <v>20100</v>
      </c>
      <c r="O274" s="14" t="n">
        <f aca="false">IF(N274="","",N274*J274)</f>
        <v>4020</v>
      </c>
      <c r="P274" s="14" t="n">
        <f aca="false">IF(N274="","",N274-O274)</f>
        <v>16080</v>
      </c>
      <c r="Q274" s="15" t="n">
        <f aca="false">IF(B274="","",DATE(YEAR(B274),MONTH(B274),1))</f>
        <v>45839</v>
      </c>
      <c r="R274" s="16" t="str">
        <f aca="false">IF(A274="","Invalid - Exclude",IF(COUNTIF($A$2:A274,A274)&gt;1,"Duplicate - Exclude",IF(OR(B274="",H274="",I274=""),"Invalid - Exclude","Valid")))</f>
        <v>Valid</v>
      </c>
      <c r="S274" s="16" t="str">
        <f aca="false">IF(R274="Valid","",IF(R274="Duplicate - Exclude","Repeat of an earlier Order ID",IF(B274="","Date missing or unreadable",IF(H274="","Quantity missing or unreadable",IF(I274="","Unit price missing or unreadable","Order ID missing")))))</f>
        <v/>
      </c>
    </row>
    <row r="275" customFormat="false" ht="15" hidden="false" customHeight="true" outlineLevel="0" collapsed="false">
      <c r="A275" s="17" t="str">
        <f aca="false">UPPER(TRIM(Raw_Data!A275))</f>
        <v>ORD-1262</v>
      </c>
      <c r="B275" s="18" t="n">
        <f aca="false">IFERROR(IF(ISNUMBER(Raw_Data!B275),Raw_Data!B275,IF(ISNUMBER(FIND("/",Raw_Data!B275)),DATE(VALUE(RIGHT(TRIM(Raw_Data!B275),4)),VALUE(MID(TRIM(Raw_Data!B275),4,2)),VALUE(LEFT(TRIM(Raw_Data!B275),2))),IF(MID(TRIM(Raw_Data!B275),5,1)="-",DATE(VALUE(LEFT(TRIM(Raw_Data!B275),4)),VALUE(MID(TRIM(Raw_Data!B275),6,2)),VALUE(RIGHT(TRIM(Raw_Data!B275),2))),DATE(VALUE(RIGHT(TRIM(Raw_Data!B275),4)),MATCH(MID(TRIM(Raw_Data!B275),4,3),{"Jan","Feb","Mar","Apr","May","Jun","Jul","Aug","Sep","Oct","Nov","Dec"},0),VALUE(LEFT(TRIM(Raw_Data!B275),2)))))),"")</f>
        <v>45909</v>
      </c>
      <c r="C275" s="17" t="str">
        <f aca="false">IF(TRIM(Raw_Data!C275)="","Unknown",PROPER(TRIM(Raw_Data!C275)))</f>
        <v>Hina Hussain</v>
      </c>
      <c r="D275" s="17" t="str">
        <f aca="false">IFERROR(INDEX({"Punjab","Sindh","KPK","Balochistan"},MATCH(UPPER(LEFT(TRIM(Raw_Data!D275),1)),{"P","S","K","B"},0)),IFERROR(INDEX(Data_Dictionary!$G$4:$G$16,MATCH(E275,Data_Dictionary!$F$4:$F$16,0)),"Unassigned"))</f>
        <v>Punjab</v>
      </c>
      <c r="E275" s="17" t="str">
        <f aca="false">IF(TRIM(Raw_Data!E275)="","Unknown",PROPER(TRIM(Raw_Data!E275)))</f>
        <v>Multan</v>
      </c>
      <c r="F275" s="17" t="str">
        <f aca="false">IFERROR(INDEX({"Electronics","Home &amp; Kitchen","Clothing","Groceries","Beauty"},MATCH(UPPER(LEFT(TRIM(Raw_Data!F275),3)),{"ELE","HOM","CLO","GRO","BEA"},0)),"Uncategorised")</f>
        <v>Clothing</v>
      </c>
      <c r="G275" s="17" t="str">
        <f aca="false">IF(TRIM(Raw_Data!G275)="","Unknown",PROPER(TRIM(Raw_Data!G275)))</f>
        <v>Mens Kurta</v>
      </c>
      <c r="H275" s="19" t="n">
        <f aca="false">IFERROR(ABS(VALUE(TRIM(Raw_Data!H275))),"")</f>
        <v>2</v>
      </c>
      <c r="I275" s="20" t="n">
        <f aca="false">IFERROR(VALUE(TRIM(SUBSTITUTE(SUBSTITUTE(SUBSTITUTE(SUBSTITUTE(TRIM(Raw_Data!I275),"PKR",""),"Rs.",""),"Rs",""),",",""))),"")</f>
        <v>3150</v>
      </c>
      <c r="J275" s="21" t="n">
        <f aca="false">IFERROR(IF(TRIM(Raw_Data!J275)="",0,IF(VALUE(TRIM(Raw_Data!J275))&gt;1,VALUE(TRIM(Raw_Data!J275))/100,VALUE(TRIM(Raw_Data!J275)))),0)</f>
        <v>0.2</v>
      </c>
      <c r="K275" s="17" t="str">
        <f aca="false">IF(TRIM(Raw_Data!K275)="","Unassigned",PROPER(TRIM(Raw_Data!K275)))</f>
        <v>Sadia Noor</v>
      </c>
      <c r="L275" s="17" t="str">
        <f aca="false">IFERROR(INDEX({"Credit Card","Credit Card","Debit Card","Debit Card","Cash","PayPal"},MATCH(UPPER(LEFT(TRIM(Raw_Data!L275),2)),{"CR","CC","DE","DC","CA","PA"},0)),"Other")</f>
        <v>Credit Card</v>
      </c>
      <c r="M275" s="17" t="str">
        <f aca="false">IFERROR(INDEX({"Completed","Returned","Cancelled","Pending"},MATCH(UPPER(LEFT(TRIM(Raw_Data!M275),3)),{"COM","RET","CAN","PEN"},0)),"Unknown")</f>
        <v>Completed</v>
      </c>
      <c r="N275" s="20" t="n">
        <f aca="false">IF(OR(H275="",I275=""),"",H275*I275)</f>
        <v>6300</v>
      </c>
      <c r="O275" s="20" t="n">
        <f aca="false">IF(N275="","",N275*J275)</f>
        <v>1260</v>
      </c>
      <c r="P275" s="20" t="n">
        <f aca="false">IF(N275="","",N275-O275)</f>
        <v>5040</v>
      </c>
      <c r="Q275" s="22" t="n">
        <f aca="false">IF(B275="","",DATE(YEAR(B275),MONTH(B275),1))</f>
        <v>45901</v>
      </c>
      <c r="R275" s="17" t="str">
        <f aca="false">IF(A275="","Invalid - Exclude",IF(COUNTIF($A$2:A275,A275)&gt;1,"Duplicate - Exclude",IF(OR(B275="",H275="",I275=""),"Invalid - Exclude","Valid")))</f>
        <v>Valid</v>
      </c>
      <c r="S275" s="17" t="str">
        <f aca="false">IF(R275="Valid","",IF(R275="Duplicate - Exclude","Repeat of an earlier Order ID",IF(B275="","Date missing or unreadable",IF(H275="","Quantity missing or unreadable",IF(I275="","Unit price missing or unreadable","Order ID missing")))))</f>
        <v/>
      </c>
    </row>
    <row r="276" customFormat="false" ht="15" hidden="false" customHeight="true" outlineLevel="0" collapsed="false">
      <c r="A276" s="9" t="str">
        <f aca="false">UPPER(TRIM(Raw_Data!A276))</f>
        <v>ORD-1263</v>
      </c>
      <c r="B276" s="10" t="n">
        <f aca="false">IFERROR(IF(ISNUMBER(Raw_Data!B276),Raw_Data!B276,IF(ISNUMBER(FIND("/",Raw_Data!B276)),DATE(VALUE(RIGHT(TRIM(Raw_Data!B276),4)),VALUE(MID(TRIM(Raw_Data!B276),4,2)),VALUE(LEFT(TRIM(Raw_Data!B276),2))),IF(MID(TRIM(Raw_Data!B276),5,1)="-",DATE(VALUE(LEFT(TRIM(Raw_Data!B276),4)),VALUE(MID(TRIM(Raw_Data!B276),6,2)),VALUE(RIGHT(TRIM(Raw_Data!B276),2))),DATE(VALUE(RIGHT(TRIM(Raw_Data!B276),4)),MATCH(MID(TRIM(Raw_Data!B276),4,3),{"Jan","Feb","Mar","Apr","May","Jun","Jul","Aug","Sep","Oct","Nov","Dec"},0),VALUE(LEFT(TRIM(Raw_Data!B276),2)))))),"")</f>
        <v>45861</v>
      </c>
      <c r="C276" s="9" t="str">
        <f aca="false">IF(TRIM(Raw_Data!C276)="","Unknown",PROPER(TRIM(Raw_Data!C276)))</f>
        <v>Usman Raza</v>
      </c>
      <c r="D276" s="9" t="str">
        <f aca="false">IFERROR(INDEX({"Punjab","Sindh","KPK","Balochistan"},MATCH(UPPER(LEFT(TRIM(Raw_Data!D276),1)),{"P","S","K","B"},0)),IFERROR(INDEX(Data_Dictionary!$G$4:$G$16,MATCH(E276,Data_Dictionary!$F$4:$F$16,0)),"Unassigned"))</f>
        <v>Balochistan</v>
      </c>
      <c r="E276" s="9" t="str">
        <f aca="false">IF(TRIM(Raw_Data!E276)="","Unknown",PROPER(TRIM(Raw_Data!E276)))</f>
        <v>Gwadar</v>
      </c>
      <c r="F276" s="9" t="str">
        <f aca="false">IFERROR(INDEX({"Electronics","Home &amp; Kitchen","Clothing","Groceries","Beauty"},MATCH(UPPER(LEFT(TRIM(Raw_Data!F276),3)),{"ELE","HOM","CLO","GRO","BEA"},0)),"Uncategorised")</f>
        <v>Electronics</v>
      </c>
      <c r="G276" s="9" t="str">
        <f aca="false">IF(TRIM(Raw_Data!G276)="","Unknown",PROPER(TRIM(Raw_Data!G276)))</f>
        <v>Wireless Earbuds</v>
      </c>
      <c r="H276" s="11" t="n">
        <f aca="false">IFERROR(ABS(VALUE(TRIM(Raw_Data!H276))),"")</f>
        <v>3</v>
      </c>
      <c r="I276" s="12" t="n">
        <f aca="false">IFERROR(VALUE(TRIM(SUBSTITUTE(SUBSTITUTE(SUBSTITUTE(SUBSTITUTE(TRIM(Raw_Data!I276),"PKR",""),"Rs.",""),"Rs",""),",",""))),"")</f>
        <v>6800</v>
      </c>
      <c r="J276" s="13" t="n">
        <f aca="false">IFERROR(IF(TRIM(Raw_Data!J276)="",0,IF(VALUE(TRIM(Raw_Data!J276))&gt;1,VALUE(TRIM(Raw_Data!J276))/100,VALUE(TRIM(Raw_Data!J276)))),0)</f>
        <v>0</v>
      </c>
      <c r="K276" s="9" t="str">
        <f aca="false">IF(TRIM(Raw_Data!K276)="","Unassigned",PROPER(TRIM(Raw_Data!K276)))</f>
        <v>Waqar Ahmed</v>
      </c>
      <c r="L276" s="9" t="str">
        <f aca="false">IFERROR(INDEX({"Credit Card","Credit Card","Debit Card","Debit Card","Cash","PayPal"},MATCH(UPPER(LEFT(TRIM(Raw_Data!L276),2)),{"CR","CC","DE","DC","CA","PA"},0)),"Other")</f>
        <v>Debit Card</v>
      </c>
      <c r="M276" s="9" t="str">
        <f aca="false">IFERROR(INDEX({"Completed","Returned","Cancelled","Pending"},MATCH(UPPER(LEFT(TRIM(Raw_Data!M276),3)),{"COM","RET","CAN","PEN"},0)),"Unknown")</f>
        <v>Completed</v>
      </c>
      <c r="N276" s="14" t="n">
        <f aca="false">IF(OR(H276="",I276=""),"",H276*I276)</f>
        <v>20400</v>
      </c>
      <c r="O276" s="14" t="n">
        <f aca="false">IF(N276="","",N276*J276)</f>
        <v>0</v>
      </c>
      <c r="P276" s="14" t="n">
        <f aca="false">IF(N276="","",N276-O276)</f>
        <v>20400</v>
      </c>
      <c r="Q276" s="15" t="n">
        <f aca="false">IF(B276="","",DATE(YEAR(B276),MONTH(B276),1))</f>
        <v>45839</v>
      </c>
      <c r="R276" s="16" t="str">
        <f aca="false">IF(A276="","Invalid - Exclude",IF(COUNTIF($A$2:A276,A276)&gt;1,"Duplicate - Exclude",IF(OR(B276="",H276="",I276=""),"Invalid - Exclude","Valid")))</f>
        <v>Valid</v>
      </c>
      <c r="S276" s="16" t="str">
        <f aca="false">IF(R276="Valid","",IF(R276="Duplicate - Exclude","Repeat of an earlier Order ID",IF(B276="","Date missing or unreadable",IF(H276="","Quantity missing or unreadable",IF(I276="","Unit price missing or unreadable","Order ID missing")))))</f>
        <v/>
      </c>
    </row>
    <row r="277" customFormat="false" ht="15" hidden="false" customHeight="true" outlineLevel="0" collapsed="false">
      <c r="A277" s="17" t="str">
        <f aca="false">UPPER(TRIM(Raw_Data!A277))</f>
        <v>ORD-1264</v>
      </c>
      <c r="B277" s="18" t="n">
        <f aca="false">IFERROR(IF(ISNUMBER(Raw_Data!B277),Raw_Data!B277,IF(ISNUMBER(FIND("/",Raw_Data!B277)),DATE(VALUE(RIGHT(TRIM(Raw_Data!B277),4)),VALUE(MID(TRIM(Raw_Data!B277),4,2)),VALUE(LEFT(TRIM(Raw_Data!B277),2))),IF(MID(TRIM(Raw_Data!B277),5,1)="-",DATE(VALUE(LEFT(TRIM(Raw_Data!B277),4)),VALUE(MID(TRIM(Raw_Data!B277),6,2)),VALUE(RIGHT(TRIM(Raw_Data!B277),2))),DATE(VALUE(RIGHT(TRIM(Raw_Data!B277),4)),MATCH(MID(TRIM(Raw_Data!B277),4,3),{"Jan","Feb","Mar","Apr","May","Jun","Jul","Aug","Sep","Oct","Nov","Dec"},0),VALUE(LEFT(TRIM(Raw_Data!B277),2)))))),"")</f>
        <v>45758</v>
      </c>
      <c r="C277" s="17" t="str">
        <f aca="false">IF(TRIM(Raw_Data!C277)="","Unknown",PROPER(TRIM(Raw_Data!C277)))</f>
        <v>Ali Malik</v>
      </c>
      <c r="D277" s="17" t="str">
        <f aca="false">IFERROR(INDEX({"Punjab","Sindh","KPK","Balochistan"},MATCH(UPPER(LEFT(TRIM(Raw_Data!D277),1)),{"P","S","K","B"},0)),IFERROR(INDEX(Data_Dictionary!$G$4:$G$16,MATCH(E277,Data_Dictionary!$F$4:$F$16,0)),"Unassigned"))</f>
        <v>KPK</v>
      </c>
      <c r="E277" s="17" t="str">
        <f aca="false">IF(TRIM(Raw_Data!E277)="","Unknown",PROPER(TRIM(Raw_Data!E277)))</f>
        <v>Mardan</v>
      </c>
      <c r="F277" s="17" t="str">
        <f aca="false">IFERROR(INDEX({"Electronics","Home &amp; Kitchen","Clothing","Groceries","Beauty"},MATCH(UPPER(LEFT(TRIM(Raw_Data!F277),3)),{"ELE","HOM","CLO","GRO","BEA"},0)),"Uncategorised")</f>
        <v>Clothing</v>
      </c>
      <c r="G277" s="17" t="str">
        <f aca="false">IF(TRIM(Raw_Data!G277)="","Unknown",PROPER(TRIM(Raw_Data!G277)))</f>
        <v>Lawn Suit 3 Piece</v>
      </c>
      <c r="H277" s="19" t="n">
        <f aca="false">IFERROR(ABS(VALUE(TRIM(Raw_Data!H277))),"")</f>
        <v>7</v>
      </c>
      <c r="I277" s="20" t="n">
        <f aca="false">IFERROR(VALUE(TRIM(SUBSTITUTE(SUBSTITUTE(SUBSTITUTE(SUBSTITUTE(TRIM(Raw_Data!I277),"PKR",""),"Rs.",""),"Rs",""),",",""))),"")</f>
        <v>6950</v>
      </c>
      <c r="J277" s="21" t="n">
        <f aca="false">IFERROR(IF(TRIM(Raw_Data!J277)="",0,IF(VALUE(TRIM(Raw_Data!J277))&gt;1,VALUE(TRIM(Raw_Data!J277))/100,VALUE(TRIM(Raw_Data!J277)))),0)</f>
        <v>0.15</v>
      </c>
      <c r="K277" s="17" t="str">
        <f aca="false">IF(TRIM(Raw_Data!K277)="","Unassigned",PROPER(TRIM(Raw_Data!K277)))</f>
        <v>Nimra Aslam</v>
      </c>
      <c r="L277" s="17" t="str">
        <f aca="false">IFERROR(INDEX({"Credit Card","Credit Card","Debit Card","Debit Card","Cash","PayPal"},MATCH(UPPER(LEFT(TRIM(Raw_Data!L277),2)),{"CR","CC","DE","DC","CA","PA"},0)),"Other")</f>
        <v>Cash</v>
      </c>
      <c r="M277" s="17" t="str">
        <f aca="false">IFERROR(INDEX({"Completed","Returned","Cancelled","Pending"},MATCH(UPPER(LEFT(TRIM(Raw_Data!M277),3)),{"COM","RET","CAN","PEN"},0)),"Unknown")</f>
        <v>Completed</v>
      </c>
      <c r="N277" s="20" t="n">
        <f aca="false">IF(OR(H277="",I277=""),"",H277*I277)</f>
        <v>48650</v>
      </c>
      <c r="O277" s="20" t="n">
        <f aca="false">IF(N277="","",N277*J277)</f>
        <v>7297.5</v>
      </c>
      <c r="P277" s="20" t="n">
        <f aca="false">IF(N277="","",N277-O277)</f>
        <v>41352.5</v>
      </c>
      <c r="Q277" s="22" t="n">
        <f aca="false">IF(B277="","",DATE(YEAR(B277),MONTH(B277),1))</f>
        <v>45748</v>
      </c>
      <c r="R277" s="17" t="str">
        <f aca="false">IF(A277="","Invalid - Exclude",IF(COUNTIF($A$2:A277,A277)&gt;1,"Duplicate - Exclude",IF(OR(B277="",H277="",I277=""),"Invalid - Exclude","Valid")))</f>
        <v>Valid</v>
      </c>
      <c r="S277" s="17" t="str">
        <f aca="false">IF(R277="Valid","",IF(R277="Duplicate - Exclude","Repeat of an earlier Order ID",IF(B277="","Date missing or unreadable",IF(H277="","Quantity missing or unreadable",IF(I277="","Unit price missing or unreadable","Order ID missing")))))</f>
        <v/>
      </c>
    </row>
    <row r="278" customFormat="false" ht="15" hidden="false" customHeight="true" outlineLevel="0" collapsed="false">
      <c r="A278" s="9" t="str">
        <f aca="false">UPPER(TRIM(Raw_Data!A278))</f>
        <v>ORD-1297</v>
      </c>
      <c r="B278" s="10" t="n">
        <f aca="false">IFERROR(IF(ISNUMBER(Raw_Data!B278),Raw_Data!B278,IF(ISNUMBER(FIND("/",Raw_Data!B278)),DATE(VALUE(RIGHT(TRIM(Raw_Data!B278),4)),VALUE(MID(TRIM(Raw_Data!B278),4,2)),VALUE(LEFT(TRIM(Raw_Data!B278),2))),IF(MID(TRIM(Raw_Data!B278),5,1)="-",DATE(VALUE(LEFT(TRIM(Raw_Data!B278),4)),VALUE(MID(TRIM(Raw_Data!B278),6,2)),VALUE(RIGHT(TRIM(Raw_Data!B278),2))),DATE(VALUE(RIGHT(TRIM(Raw_Data!B278),4)),MATCH(MID(TRIM(Raw_Data!B278),4,3),{"Jan","Feb","Mar","Apr","May","Jun","Jul","Aug","Sep","Oct","Nov","Dec"},0),VALUE(LEFT(TRIM(Raw_Data!B278),2)))))),"")</f>
        <v>45980</v>
      </c>
      <c r="C278" s="9" t="str">
        <f aca="false">IF(TRIM(Raw_Data!C278)="","Unknown",PROPER(TRIM(Raw_Data!C278)))</f>
        <v>Saad Qureshi</v>
      </c>
      <c r="D278" s="9" t="str">
        <f aca="false">IFERROR(INDEX({"Punjab","Sindh","KPK","Balochistan"},MATCH(UPPER(LEFT(TRIM(Raw_Data!D278),1)),{"P","S","K","B"},0)),IFERROR(INDEX(Data_Dictionary!$G$4:$G$16,MATCH(E278,Data_Dictionary!$F$4:$F$16,0)),"Unassigned"))</f>
        <v>KPK</v>
      </c>
      <c r="E278" s="9" t="str">
        <f aca="false">IF(TRIM(Raw_Data!E278)="","Unknown",PROPER(TRIM(Raw_Data!E278)))</f>
        <v>Mardan</v>
      </c>
      <c r="F278" s="9" t="str">
        <f aca="false">IFERROR(INDEX({"Electronics","Home &amp; Kitchen","Clothing","Groceries","Beauty"},MATCH(UPPER(LEFT(TRIM(Raw_Data!F278),3)),{"ELE","HOM","CLO","GRO","BEA"},0)),"Uncategorised")</f>
        <v>Home &amp; Kitchen</v>
      </c>
      <c r="G278" s="9" t="str">
        <f aca="false">IF(TRIM(Raw_Data!G278)="","Unknown",PROPER(TRIM(Raw_Data!G278)))</f>
        <v>Bedsheet Set</v>
      </c>
      <c r="H278" s="11" t="n">
        <f aca="false">IFERROR(ABS(VALUE(TRIM(Raw_Data!H278))),"")</f>
        <v>2</v>
      </c>
      <c r="I278" s="12" t="n">
        <f aca="false">IFERROR(VALUE(TRIM(SUBSTITUTE(SUBSTITUTE(SUBSTITUTE(SUBSTITUTE(TRIM(Raw_Data!I278),"PKR",""),"Rs.",""),"Rs",""),",",""))),"")</f>
        <v>5400</v>
      </c>
      <c r="J278" s="13" t="n">
        <f aca="false">IFERROR(IF(TRIM(Raw_Data!J278)="",0,IF(VALUE(TRIM(Raw_Data!J278))&gt;1,VALUE(TRIM(Raw_Data!J278))/100,VALUE(TRIM(Raw_Data!J278)))),0)</f>
        <v>0</v>
      </c>
      <c r="K278" s="9" t="str">
        <f aca="false">IF(TRIM(Raw_Data!K278)="","Unassigned",PROPER(TRIM(Raw_Data!K278)))</f>
        <v>Waqar Ahmed</v>
      </c>
      <c r="L278" s="9" t="str">
        <f aca="false">IFERROR(INDEX({"Credit Card","Credit Card","Debit Card","Debit Card","Cash","PayPal"},MATCH(UPPER(LEFT(TRIM(Raw_Data!L278),2)),{"CR","CC","DE","DC","CA","PA"},0)),"Other")</f>
        <v>Debit Card</v>
      </c>
      <c r="M278" s="9" t="str">
        <f aca="false">IFERROR(INDEX({"Completed","Returned","Cancelled","Pending"},MATCH(UPPER(LEFT(TRIM(Raw_Data!M278),3)),{"COM","RET","CAN","PEN"},0)),"Unknown")</f>
        <v>Completed</v>
      </c>
      <c r="N278" s="14" t="n">
        <f aca="false">IF(OR(H278="",I278=""),"",H278*I278)</f>
        <v>10800</v>
      </c>
      <c r="O278" s="14" t="n">
        <f aca="false">IF(N278="","",N278*J278)</f>
        <v>0</v>
      </c>
      <c r="P278" s="14" t="n">
        <f aca="false">IF(N278="","",N278-O278)</f>
        <v>10800</v>
      </c>
      <c r="Q278" s="15" t="n">
        <f aca="false">IF(B278="","",DATE(YEAR(B278),MONTH(B278),1))</f>
        <v>45962</v>
      </c>
      <c r="R278" s="16" t="str">
        <f aca="false">IF(A278="","Invalid - Exclude",IF(COUNTIF($A$2:A278,A278)&gt;1,"Duplicate - Exclude",IF(OR(B278="",H278="",I278=""),"Invalid - Exclude","Valid")))</f>
        <v>Valid</v>
      </c>
      <c r="S278" s="16" t="str">
        <f aca="false">IF(R278="Valid","",IF(R278="Duplicate - Exclude","Repeat of an earlier Order ID",IF(B278="","Date missing or unreadable",IF(H278="","Quantity missing or unreadable",IF(I278="","Unit price missing or unreadable","Order ID missing")))))</f>
        <v/>
      </c>
    </row>
    <row r="279" customFormat="false" ht="15" hidden="false" customHeight="true" outlineLevel="0" collapsed="false">
      <c r="A279" s="17" t="str">
        <f aca="false">UPPER(TRIM(Raw_Data!A279))</f>
        <v>ORD-1265</v>
      </c>
      <c r="B279" s="18" t="str">
        <f aca="false">IFERROR(IF(ISNUMBER(Raw_Data!B279),Raw_Data!B279,IF(ISNUMBER(FIND("/",Raw_Data!B279)),DATE(VALUE(RIGHT(TRIM(Raw_Data!B279),4)),VALUE(MID(TRIM(Raw_Data!B279),4,2)),VALUE(LEFT(TRIM(Raw_Data!B279),2))),IF(MID(TRIM(Raw_Data!B279),5,1)="-",DATE(VALUE(LEFT(TRIM(Raw_Data!B279),4)),VALUE(MID(TRIM(Raw_Data!B279),6,2)),VALUE(RIGHT(TRIM(Raw_Data!B279),2))),DATE(VALUE(RIGHT(TRIM(Raw_Data!B279),4)),MATCH(MID(TRIM(Raw_Data!B279),4,3),{"Jan","Feb","Mar","Apr","May","Jun","Jul","Aug","Sep","Oct","Nov","Dec"},0),VALUE(LEFT(TRIM(Raw_Data!B279),2)))))),"")</f>
        <v/>
      </c>
      <c r="C279" s="17" t="str">
        <f aca="false">IF(TRIM(Raw_Data!C279)="","Unknown",PROPER(TRIM(Raw_Data!C279)))</f>
        <v>Saad Siddiqui</v>
      </c>
      <c r="D279" s="17" t="str">
        <f aca="false">IFERROR(INDEX({"Punjab","Sindh","KPK","Balochistan"},MATCH(UPPER(LEFT(TRIM(Raw_Data!D279),1)),{"P","S","K","B"},0)),IFERROR(INDEX(Data_Dictionary!$G$4:$G$16,MATCH(E279,Data_Dictionary!$F$4:$F$16,0)),"Unassigned"))</f>
        <v>Balochistan</v>
      </c>
      <c r="E279" s="17" t="str">
        <f aca="false">IF(TRIM(Raw_Data!E279)="","Unknown",PROPER(TRIM(Raw_Data!E279)))</f>
        <v>Gwadar</v>
      </c>
      <c r="F279" s="17" t="str">
        <f aca="false">IFERROR(INDEX({"Electronics","Home &amp; Kitchen","Clothing","Groceries","Beauty"},MATCH(UPPER(LEFT(TRIM(Raw_Data!F279),3)),{"ELE","HOM","CLO","GRO","BEA"},0)),"Uncategorised")</f>
        <v>Electronics</v>
      </c>
      <c r="G279" s="17" t="str">
        <f aca="false">IF(TRIM(Raw_Data!G279)="","Unknown",PROPER(TRIM(Raw_Data!G279)))</f>
        <v>Smart Watch</v>
      </c>
      <c r="H279" s="19" t="n">
        <f aca="false">IFERROR(ABS(VALUE(TRIM(Raw_Data!H279))),"")</f>
        <v>3</v>
      </c>
      <c r="I279" s="20" t="n">
        <f aca="false">IFERROR(VALUE(TRIM(SUBSTITUTE(SUBSTITUTE(SUBSTITUTE(SUBSTITUTE(TRIM(Raw_Data!I279),"PKR",""),"Rs.",""),"Rs",""),",",""))),"")</f>
        <v>9200</v>
      </c>
      <c r="J279" s="21" t="n">
        <f aca="false">IFERROR(IF(TRIM(Raw_Data!J279)="",0,IF(VALUE(TRIM(Raw_Data!J279))&gt;1,VALUE(TRIM(Raw_Data!J279))/100,VALUE(TRIM(Raw_Data!J279)))),0)</f>
        <v>0.15</v>
      </c>
      <c r="K279" s="17" t="str">
        <f aca="false">IF(TRIM(Raw_Data!K279)="","Unassigned",PROPER(TRIM(Raw_Data!K279)))</f>
        <v>Waqar Ahmed</v>
      </c>
      <c r="L279" s="17" t="str">
        <f aca="false">IFERROR(INDEX({"Credit Card","Credit Card","Debit Card","Debit Card","Cash","PayPal"},MATCH(UPPER(LEFT(TRIM(Raw_Data!L279),2)),{"CR","CC","DE","DC","CA","PA"},0)),"Other")</f>
        <v>Debit Card</v>
      </c>
      <c r="M279" s="17" t="str">
        <f aca="false">IFERROR(INDEX({"Completed","Returned","Cancelled","Pending"},MATCH(UPPER(LEFT(TRIM(Raw_Data!M279),3)),{"COM","RET","CAN","PEN"},0)),"Unknown")</f>
        <v>Completed</v>
      </c>
      <c r="N279" s="20" t="n">
        <f aca="false">IF(OR(H279="",I279=""),"",H279*I279)</f>
        <v>27600</v>
      </c>
      <c r="O279" s="20" t="n">
        <f aca="false">IF(N279="","",N279*J279)</f>
        <v>4140</v>
      </c>
      <c r="P279" s="20" t="n">
        <f aca="false">IF(N279="","",N279-O279)</f>
        <v>23460</v>
      </c>
      <c r="Q279" s="22" t="str">
        <f aca="false">IF(B279="","",DATE(YEAR(B279),MONTH(B279),1))</f>
        <v/>
      </c>
      <c r="R279" s="17" t="str">
        <f aca="false">IF(A279="","Invalid - Exclude",IF(COUNTIF($A$2:A279,A279)&gt;1,"Duplicate - Exclude",IF(OR(B279="",H279="",I279=""),"Invalid - Exclude","Valid")))</f>
        <v>Invalid - Exclude</v>
      </c>
      <c r="S279" s="17" t="str">
        <f aca="false">IF(R279="Valid","",IF(R279="Duplicate - Exclude","Repeat of an earlier Order ID",IF(B279="","Date missing or unreadable",IF(H279="","Quantity missing or unreadable",IF(I279="","Unit price missing or unreadable","Order ID missing")))))</f>
        <v>Date missing or unreadable</v>
      </c>
    </row>
    <row r="280" customFormat="false" ht="15" hidden="false" customHeight="true" outlineLevel="0" collapsed="false">
      <c r="A280" s="9" t="str">
        <f aca="false">UPPER(TRIM(Raw_Data!A280))</f>
        <v>ORD-1266</v>
      </c>
      <c r="B280" s="10" t="n">
        <f aca="false">IFERROR(IF(ISNUMBER(Raw_Data!B280),Raw_Data!B280,IF(ISNUMBER(FIND("/",Raw_Data!B280)),DATE(VALUE(RIGHT(TRIM(Raw_Data!B280),4)),VALUE(MID(TRIM(Raw_Data!B280),4,2)),VALUE(LEFT(TRIM(Raw_Data!B280),2))),IF(MID(TRIM(Raw_Data!B280),5,1)="-",DATE(VALUE(LEFT(TRIM(Raw_Data!B280),4)),VALUE(MID(TRIM(Raw_Data!B280),6,2)),VALUE(RIGHT(TRIM(Raw_Data!B280),2))),DATE(VALUE(RIGHT(TRIM(Raw_Data!B280),4)),MATCH(MID(TRIM(Raw_Data!B280),4,3),{"Jan","Feb","Mar","Apr","May","Jun","Jul","Aug","Sep","Oct","Nov","Dec"},0),VALUE(LEFT(TRIM(Raw_Data!B280),2)))))),"")</f>
        <v>46015</v>
      </c>
      <c r="C280" s="9" t="str">
        <f aca="false">IF(TRIM(Raw_Data!C280)="","Unknown",PROPER(TRIM(Raw_Data!C280)))</f>
        <v>Bilal Qureshi</v>
      </c>
      <c r="D280" s="9" t="str">
        <f aca="false">IFERROR(INDEX({"Punjab","Sindh","KPK","Balochistan"},MATCH(UPPER(LEFT(TRIM(Raw_Data!D280),1)),{"P","S","K","B"},0)),IFERROR(INDEX(Data_Dictionary!$G$4:$G$16,MATCH(E280,Data_Dictionary!$F$4:$F$16,0)),"Unassigned"))</f>
        <v>KPK</v>
      </c>
      <c r="E280" s="9" t="str">
        <f aca="false">IF(TRIM(Raw_Data!E280)="","Unknown",PROPER(TRIM(Raw_Data!E280)))</f>
        <v>Peshawar</v>
      </c>
      <c r="F280" s="9" t="str">
        <f aca="false">IFERROR(INDEX({"Electronics","Home &amp; Kitchen","Clothing","Groceries","Beauty"},MATCH(UPPER(LEFT(TRIM(Raw_Data!F280),3)),{"ELE","HOM","CLO","GRO","BEA"},0)),"Uncategorised")</f>
        <v>Groceries</v>
      </c>
      <c r="G280" s="9" t="str">
        <f aca="false">IF(TRIM(Raw_Data!G280)="","Unknown",PROPER(TRIM(Raw_Data!G280)))</f>
        <v>Black Tea Pack</v>
      </c>
      <c r="H280" s="11" t="n">
        <f aca="false">IFERROR(ABS(VALUE(TRIM(Raw_Data!H280))),"")</f>
        <v>2</v>
      </c>
      <c r="I280" s="12" t="n">
        <f aca="false">IFERROR(VALUE(TRIM(SUBSTITUTE(SUBSTITUTE(SUBSTITUTE(SUBSTITUTE(TRIM(Raw_Data!I280),"PKR",""),"Rs.",""),"Rs",""),",",""))),"")</f>
        <v>1550</v>
      </c>
      <c r="J280" s="13" t="n">
        <f aca="false">IFERROR(IF(TRIM(Raw_Data!J280)="",0,IF(VALUE(TRIM(Raw_Data!J280))&gt;1,VALUE(TRIM(Raw_Data!J280))/100,VALUE(TRIM(Raw_Data!J280)))),0)</f>
        <v>0.05</v>
      </c>
      <c r="K280" s="9" t="str">
        <f aca="false">IF(TRIM(Raw_Data!K280)="","Unassigned",PROPER(TRIM(Raw_Data!K280)))</f>
        <v>Unassigned</v>
      </c>
      <c r="L280" s="9" t="str">
        <f aca="false">IFERROR(INDEX({"Credit Card","Credit Card","Debit Card","Debit Card","Cash","PayPal"},MATCH(UPPER(LEFT(TRIM(Raw_Data!L280),2)),{"CR","CC","DE","DC","CA","PA"},0)),"Other")</f>
        <v>Credit Card</v>
      </c>
      <c r="M280" s="9" t="str">
        <f aca="false">IFERROR(INDEX({"Completed","Returned","Cancelled","Pending"},MATCH(UPPER(LEFT(TRIM(Raw_Data!M280),3)),{"COM","RET","CAN","PEN"},0)),"Unknown")</f>
        <v>Completed</v>
      </c>
      <c r="N280" s="14" t="n">
        <f aca="false">IF(OR(H280="",I280=""),"",H280*I280)</f>
        <v>3100</v>
      </c>
      <c r="O280" s="14" t="n">
        <f aca="false">IF(N280="","",N280*J280)</f>
        <v>155</v>
      </c>
      <c r="P280" s="14" t="n">
        <f aca="false">IF(N280="","",N280-O280)</f>
        <v>2945</v>
      </c>
      <c r="Q280" s="15" t="n">
        <f aca="false">IF(B280="","",DATE(YEAR(B280),MONTH(B280),1))</f>
        <v>45992</v>
      </c>
      <c r="R280" s="16" t="str">
        <f aca="false">IF(A280="","Invalid - Exclude",IF(COUNTIF($A$2:A280,A280)&gt;1,"Duplicate - Exclude",IF(OR(B280="",H280="",I280=""),"Invalid - Exclude","Valid")))</f>
        <v>Valid</v>
      </c>
      <c r="S280" s="16" t="str">
        <f aca="false">IF(R280="Valid","",IF(R280="Duplicate - Exclude","Repeat of an earlier Order ID",IF(B280="","Date missing or unreadable",IF(H280="","Quantity missing or unreadable",IF(I280="","Unit price missing or unreadable","Order ID missing")))))</f>
        <v/>
      </c>
    </row>
    <row r="281" customFormat="false" ht="15" hidden="false" customHeight="true" outlineLevel="0" collapsed="false">
      <c r="A281" s="17" t="str">
        <f aca="false">UPPER(TRIM(Raw_Data!A281))</f>
        <v>ORD-1084</v>
      </c>
      <c r="B281" s="18" t="n">
        <f aca="false">IFERROR(IF(ISNUMBER(Raw_Data!B281),Raw_Data!B281,IF(ISNUMBER(FIND("/",Raw_Data!B281)),DATE(VALUE(RIGHT(TRIM(Raw_Data!B281),4)),VALUE(MID(TRIM(Raw_Data!B281),4,2)),VALUE(LEFT(TRIM(Raw_Data!B281),2))),IF(MID(TRIM(Raw_Data!B281),5,1)="-",DATE(VALUE(LEFT(TRIM(Raw_Data!B281),4)),VALUE(MID(TRIM(Raw_Data!B281),6,2)),VALUE(RIGHT(TRIM(Raw_Data!B281),2))),DATE(VALUE(RIGHT(TRIM(Raw_Data!B281),4)),MATCH(MID(TRIM(Raw_Data!B281),4,3),{"Jan","Feb","Mar","Apr","May","Jun","Jul","Aug","Sep","Oct","Nov","Dec"},0),VALUE(LEFT(TRIM(Raw_Data!B281),2)))))),"")</f>
        <v>45853</v>
      </c>
      <c r="C281" s="17" t="str">
        <f aca="false">IF(TRIM(Raw_Data!C281)="","Unknown",PROPER(TRIM(Raw_Data!C281)))</f>
        <v>Kashif Ansari</v>
      </c>
      <c r="D281" s="17" t="str">
        <f aca="false">IFERROR(INDEX({"Punjab","Sindh","KPK","Balochistan"},MATCH(UPPER(LEFT(TRIM(Raw_Data!D281),1)),{"P","S","K","B"},0)),IFERROR(INDEX(Data_Dictionary!$G$4:$G$16,MATCH(E281,Data_Dictionary!$F$4:$F$16,0)),"Unassigned"))</f>
        <v>Balochistan</v>
      </c>
      <c r="E281" s="17" t="str">
        <f aca="false">IF(TRIM(Raw_Data!E281)="","Unknown",PROPER(TRIM(Raw_Data!E281)))</f>
        <v>Quetta</v>
      </c>
      <c r="F281" s="17" t="str">
        <f aca="false">IFERROR(INDEX({"Electronics","Home &amp; Kitchen","Clothing","Groceries","Beauty"},MATCH(UPPER(LEFT(TRIM(Raw_Data!F281),3)),{"ELE","HOM","CLO","GRO","BEA"},0)),"Uncategorised")</f>
        <v>Clothing</v>
      </c>
      <c r="G281" s="17" t="str">
        <f aca="false">IF(TRIM(Raw_Data!G281)="","Unknown",PROPER(TRIM(Raw_Data!G281)))</f>
        <v>Lawn Suit 3 Piece</v>
      </c>
      <c r="H281" s="19" t="n">
        <f aca="false">IFERROR(ABS(VALUE(TRIM(Raw_Data!H281))),"")</f>
        <v>6</v>
      </c>
      <c r="I281" s="20" t="n">
        <f aca="false">IFERROR(VALUE(TRIM(SUBSTITUTE(SUBSTITUTE(SUBSTITUTE(SUBSTITUTE(TRIM(Raw_Data!I281),"PKR",""),"Rs.",""),"Rs",""),",",""))),"")</f>
        <v>6700</v>
      </c>
      <c r="J281" s="21" t="n">
        <f aca="false">IFERROR(IF(TRIM(Raw_Data!J281)="",0,IF(VALUE(TRIM(Raw_Data!J281))&gt;1,VALUE(TRIM(Raw_Data!J281))/100,VALUE(TRIM(Raw_Data!J281)))),0)</f>
        <v>0</v>
      </c>
      <c r="K281" s="17" t="str">
        <f aca="false">IF(TRIM(Raw_Data!K281)="","Unassigned",PROPER(TRIM(Raw_Data!K281)))</f>
        <v>Waqar Ahmed</v>
      </c>
      <c r="L281" s="17" t="str">
        <f aca="false">IFERROR(INDEX({"Credit Card","Credit Card","Debit Card","Debit Card","Cash","PayPal"},MATCH(UPPER(LEFT(TRIM(Raw_Data!L281),2)),{"CR","CC","DE","DC","CA","PA"},0)),"Other")</f>
        <v>Cash</v>
      </c>
      <c r="M281" s="17" t="str">
        <f aca="false">IFERROR(INDEX({"Completed","Returned","Cancelled","Pending"},MATCH(UPPER(LEFT(TRIM(Raw_Data!M281),3)),{"COM","RET","CAN","PEN"},0)),"Unknown")</f>
        <v>Pending</v>
      </c>
      <c r="N281" s="20" t="n">
        <f aca="false">IF(OR(H281="",I281=""),"",H281*I281)</f>
        <v>40200</v>
      </c>
      <c r="O281" s="20" t="n">
        <f aca="false">IF(N281="","",N281*J281)</f>
        <v>0</v>
      </c>
      <c r="P281" s="20" t="n">
        <f aca="false">IF(N281="","",N281-O281)</f>
        <v>40200</v>
      </c>
      <c r="Q281" s="22" t="n">
        <f aca="false">IF(B281="","",DATE(YEAR(B281),MONTH(B281),1))</f>
        <v>45839</v>
      </c>
      <c r="R281" s="17" t="str">
        <f aca="false">IF(A281="","Invalid - Exclude",IF(COUNTIF($A$2:A281,A281)&gt;1,"Duplicate - Exclude",IF(OR(B281="",H281="",I281=""),"Invalid - Exclude","Valid")))</f>
        <v>Duplicate - Exclude</v>
      </c>
      <c r="S281" s="17" t="str">
        <f aca="false">IF(R281="Valid","",IF(R281="Duplicate - Exclude","Repeat of an earlier Order ID",IF(B281="","Date missing or unreadable",IF(H281="","Quantity missing or unreadable",IF(I281="","Unit price missing or unreadable","Order ID missing")))))</f>
        <v>Repeat of an earlier Order ID</v>
      </c>
    </row>
    <row r="282" customFormat="false" ht="15" hidden="false" customHeight="true" outlineLevel="0" collapsed="false">
      <c r="A282" s="9" t="str">
        <f aca="false">UPPER(TRIM(Raw_Data!A282))</f>
        <v>ORD-1267</v>
      </c>
      <c r="B282" s="10" t="n">
        <f aca="false">IFERROR(IF(ISNUMBER(Raw_Data!B282),Raw_Data!B282,IF(ISNUMBER(FIND("/",Raw_Data!B282)),DATE(VALUE(RIGHT(TRIM(Raw_Data!B282),4)),VALUE(MID(TRIM(Raw_Data!B282),4,2)),VALUE(LEFT(TRIM(Raw_Data!B282),2))),IF(MID(TRIM(Raw_Data!B282),5,1)="-",DATE(VALUE(LEFT(TRIM(Raw_Data!B282),4)),VALUE(MID(TRIM(Raw_Data!B282),6,2)),VALUE(RIGHT(TRIM(Raw_Data!B282),2))),DATE(VALUE(RIGHT(TRIM(Raw_Data!B282),4)),MATCH(MID(TRIM(Raw_Data!B282),4,3),{"Jan","Feb","Mar","Apr","May","Jun","Jul","Aug","Sep","Oct","Nov","Dec"},0),VALUE(LEFT(TRIM(Raw_Data!B282),2)))))),"")</f>
        <v>45994</v>
      </c>
      <c r="C282" s="9" t="str">
        <f aca="false">IF(TRIM(Raw_Data!C282)="","Unknown",PROPER(TRIM(Raw_Data!C282)))</f>
        <v>Ali Malik</v>
      </c>
      <c r="D282" s="9" t="str">
        <f aca="false">IFERROR(INDEX({"Punjab","Sindh","KPK","Balochistan"},MATCH(UPPER(LEFT(TRIM(Raw_Data!D282),1)),{"P","S","K","B"},0)),IFERROR(INDEX(Data_Dictionary!$G$4:$G$16,MATCH(E282,Data_Dictionary!$F$4:$F$16,0)),"Unassigned"))</f>
        <v>Punjab</v>
      </c>
      <c r="E282" s="9" t="str">
        <f aca="false">IF(TRIM(Raw_Data!E282)="","Unknown",PROPER(TRIM(Raw_Data!E282)))</f>
        <v>Gujranwala</v>
      </c>
      <c r="F282" s="9" t="str">
        <f aca="false">IFERROR(INDEX({"Electronics","Home &amp; Kitchen","Clothing","Groceries","Beauty"},MATCH(UPPER(LEFT(TRIM(Raw_Data!F282),3)),{"ELE","HOM","CLO","GRO","BEA"},0)),"Uncategorised")</f>
        <v>Clothing</v>
      </c>
      <c r="G282" s="9" t="str">
        <f aca="false">IF(TRIM(Raw_Data!G282)="","Unknown",PROPER(TRIM(Raw_Data!G282)))</f>
        <v>Winter Jacket</v>
      </c>
      <c r="H282" s="11" t="n">
        <f aca="false">IFERROR(ABS(VALUE(TRIM(Raw_Data!H282))),"")</f>
        <v>7</v>
      </c>
      <c r="I282" s="12" t="n">
        <f aca="false">IFERROR(VALUE(TRIM(SUBSTITUTE(SUBSTITUTE(SUBSTITUTE(SUBSTITUTE(TRIM(Raw_Data!I282),"PKR",""),"Rs.",""),"Rs",""),",",""))),"")</f>
        <v>10100</v>
      </c>
      <c r="J282" s="13" t="n">
        <f aca="false">IFERROR(IF(TRIM(Raw_Data!J282)="",0,IF(VALUE(TRIM(Raw_Data!J282))&gt;1,VALUE(TRIM(Raw_Data!J282))/100,VALUE(TRIM(Raw_Data!J282)))),0)</f>
        <v>0.1</v>
      </c>
      <c r="K282" s="9" t="str">
        <f aca="false">IF(TRIM(Raw_Data!K282)="","Unassigned",PROPER(TRIM(Raw_Data!K282)))</f>
        <v>Zoya Tariq</v>
      </c>
      <c r="L282" s="9" t="str">
        <f aca="false">IFERROR(INDEX({"Credit Card","Credit Card","Debit Card","Debit Card","Cash","PayPal"},MATCH(UPPER(LEFT(TRIM(Raw_Data!L282),2)),{"CR","CC","DE","DC","CA","PA"},0)),"Other")</f>
        <v>Cash</v>
      </c>
      <c r="M282" s="9" t="str">
        <f aca="false">IFERROR(INDEX({"Completed","Returned","Cancelled","Pending"},MATCH(UPPER(LEFT(TRIM(Raw_Data!M282),3)),{"COM","RET","CAN","PEN"},0)),"Unknown")</f>
        <v>Completed</v>
      </c>
      <c r="N282" s="14" t="n">
        <f aca="false">IF(OR(H282="",I282=""),"",H282*I282)</f>
        <v>70700</v>
      </c>
      <c r="O282" s="14" t="n">
        <f aca="false">IF(N282="","",N282*J282)</f>
        <v>7070</v>
      </c>
      <c r="P282" s="14" t="n">
        <f aca="false">IF(N282="","",N282-O282)</f>
        <v>63630</v>
      </c>
      <c r="Q282" s="15" t="n">
        <f aca="false">IF(B282="","",DATE(YEAR(B282),MONTH(B282),1))</f>
        <v>45992</v>
      </c>
      <c r="R282" s="16" t="str">
        <f aca="false">IF(A282="","Invalid - Exclude",IF(COUNTIF($A$2:A282,A282)&gt;1,"Duplicate - Exclude",IF(OR(B282="",H282="",I282=""),"Invalid - Exclude","Valid")))</f>
        <v>Valid</v>
      </c>
      <c r="S282" s="16" t="str">
        <f aca="false">IF(R282="Valid","",IF(R282="Duplicate - Exclude","Repeat of an earlier Order ID",IF(B282="","Date missing or unreadable",IF(H282="","Quantity missing or unreadable",IF(I282="","Unit price missing or unreadable","Order ID missing")))))</f>
        <v/>
      </c>
    </row>
    <row r="283" customFormat="false" ht="15" hidden="false" customHeight="true" outlineLevel="0" collapsed="false">
      <c r="A283" s="17" t="str">
        <f aca="false">UPPER(TRIM(Raw_Data!A283))</f>
        <v>ORD-1268</v>
      </c>
      <c r="B283" s="18" t="n">
        <f aca="false">IFERROR(IF(ISNUMBER(Raw_Data!B283),Raw_Data!B283,IF(ISNUMBER(FIND("/",Raw_Data!B283)),DATE(VALUE(RIGHT(TRIM(Raw_Data!B283),4)),VALUE(MID(TRIM(Raw_Data!B283),4,2)),VALUE(LEFT(TRIM(Raw_Data!B283),2))),IF(MID(TRIM(Raw_Data!B283),5,1)="-",DATE(VALUE(LEFT(TRIM(Raw_Data!B283),4)),VALUE(MID(TRIM(Raw_Data!B283),6,2)),VALUE(RIGHT(TRIM(Raw_Data!B283),2))),DATE(VALUE(RIGHT(TRIM(Raw_Data!B283),4)),MATCH(MID(TRIM(Raw_Data!B283),4,3),{"Jan","Feb","Mar","Apr","May","Jun","Jul","Aug","Sep","Oct","Nov","Dec"},0),VALUE(LEFT(TRIM(Raw_Data!B283),2)))))),"")</f>
        <v>45909</v>
      </c>
      <c r="C283" s="17" t="str">
        <f aca="false">IF(TRIM(Raw_Data!C283)="","Unknown",PROPER(TRIM(Raw_Data!C283)))</f>
        <v>Ali Butt</v>
      </c>
      <c r="D283" s="17" t="str">
        <f aca="false">IFERROR(INDEX({"Punjab","Sindh","KPK","Balochistan"},MATCH(UPPER(LEFT(TRIM(Raw_Data!D283),1)),{"P","S","K","B"},0)),IFERROR(INDEX(Data_Dictionary!$G$4:$G$16,MATCH(E283,Data_Dictionary!$F$4:$F$16,0)),"Unassigned"))</f>
        <v>Punjab</v>
      </c>
      <c r="E283" s="17" t="str">
        <f aca="false">IF(TRIM(Raw_Data!E283)="","Unknown",PROPER(TRIM(Raw_Data!E283)))</f>
        <v>Lahore</v>
      </c>
      <c r="F283" s="17" t="str">
        <f aca="false">IFERROR(INDEX({"Electronics","Home &amp; Kitchen","Clothing","Groceries","Beauty"},MATCH(UPPER(LEFT(TRIM(Raw_Data!F283),3)),{"ELE","HOM","CLO","GRO","BEA"},0)),"Uncategorised")</f>
        <v>Clothing</v>
      </c>
      <c r="G283" s="17" t="str">
        <f aca="false">IF(TRIM(Raw_Data!G283)="","Unknown",PROPER(TRIM(Raw_Data!G283)))</f>
        <v>Winter Jacket</v>
      </c>
      <c r="H283" s="19" t="n">
        <f aca="false">IFERROR(ABS(VALUE(TRIM(Raw_Data!H283))),"")</f>
        <v>2</v>
      </c>
      <c r="I283" s="20" t="n">
        <f aca="false">IFERROR(VALUE(TRIM(SUBSTITUTE(SUBSTITUTE(SUBSTITUTE(SUBSTITUTE(TRIM(Raw_Data!I283),"PKR",""),"Rs.",""),"Rs",""),",",""))),"")</f>
        <v>9600</v>
      </c>
      <c r="J283" s="21" t="n">
        <f aca="false">IFERROR(IF(TRIM(Raw_Data!J283)="",0,IF(VALUE(TRIM(Raw_Data!J283))&gt;1,VALUE(TRIM(Raw_Data!J283))/100,VALUE(TRIM(Raw_Data!J283)))),0)</f>
        <v>0.1</v>
      </c>
      <c r="K283" s="17" t="str">
        <f aca="false">IF(TRIM(Raw_Data!K283)="","Unassigned",PROPER(TRIM(Raw_Data!K283)))</f>
        <v>Waqar Ahmed</v>
      </c>
      <c r="L283" s="17" t="str">
        <f aca="false">IFERROR(INDEX({"Credit Card","Credit Card","Debit Card","Debit Card","Cash","PayPal"},MATCH(UPPER(LEFT(TRIM(Raw_Data!L283),2)),{"CR","CC","DE","DC","CA","PA"},0)),"Other")</f>
        <v>Cash</v>
      </c>
      <c r="M283" s="17" t="str">
        <f aca="false">IFERROR(INDEX({"Completed","Returned","Cancelled","Pending"},MATCH(UPPER(LEFT(TRIM(Raw_Data!M283),3)),{"COM","RET","CAN","PEN"},0)),"Unknown")</f>
        <v>Returned</v>
      </c>
      <c r="N283" s="20" t="n">
        <f aca="false">IF(OR(H283="",I283=""),"",H283*I283)</f>
        <v>19200</v>
      </c>
      <c r="O283" s="20" t="n">
        <f aca="false">IF(N283="","",N283*J283)</f>
        <v>1920</v>
      </c>
      <c r="P283" s="20" t="n">
        <f aca="false">IF(N283="","",N283-O283)</f>
        <v>17280</v>
      </c>
      <c r="Q283" s="22" t="n">
        <f aca="false">IF(B283="","",DATE(YEAR(B283),MONTH(B283),1))</f>
        <v>45901</v>
      </c>
      <c r="R283" s="17" t="str">
        <f aca="false">IF(A283="","Invalid - Exclude",IF(COUNTIF($A$2:A283,A283)&gt;1,"Duplicate - Exclude",IF(OR(B283="",H283="",I283=""),"Invalid - Exclude","Valid")))</f>
        <v>Valid</v>
      </c>
      <c r="S283" s="17" t="str">
        <f aca="false">IF(R283="Valid","",IF(R283="Duplicate - Exclude","Repeat of an earlier Order ID",IF(B283="","Date missing or unreadable",IF(H283="","Quantity missing or unreadable",IF(I283="","Unit price missing or unreadable","Order ID missing")))))</f>
        <v/>
      </c>
    </row>
    <row r="284" customFormat="false" ht="15" hidden="false" customHeight="true" outlineLevel="0" collapsed="false">
      <c r="A284" s="9" t="str">
        <f aca="false">UPPER(TRIM(Raw_Data!A284))</f>
        <v>ORD-1269</v>
      </c>
      <c r="B284" s="10" t="n">
        <f aca="false">IFERROR(IF(ISNUMBER(Raw_Data!B284),Raw_Data!B284,IF(ISNUMBER(FIND("/",Raw_Data!B284)),DATE(VALUE(RIGHT(TRIM(Raw_Data!B284),4)),VALUE(MID(TRIM(Raw_Data!B284),4,2)),VALUE(LEFT(TRIM(Raw_Data!B284),2))),IF(MID(TRIM(Raw_Data!B284),5,1)="-",DATE(VALUE(LEFT(TRIM(Raw_Data!B284),4)),VALUE(MID(TRIM(Raw_Data!B284),6,2)),VALUE(RIGHT(TRIM(Raw_Data!B284),2))),DATE(VALUE(RIGHT(TRIM(Raw_Data!B284),4)),MATCH(MID(TRIM(Raw_Data!B284),4,3),{"Jan","Feb","Mar","Apr","May","Jun","Jul","Aug","Sep","Oct","Nov","Dec"},0),VALUE(LEFT(TRIM(Raw_Data!B284),2)))))),"")</f>
        <v>45808</v>
      </c>
      <c r="C284" s="9" t="str">
        <f aca="false">IF(TRIM(Raw_Data!C284)="","Unknown",PROPER(TRIM(Raw_Data!C284)))</f>
        <v>Ali Malik</v>
      </c>
      <c r="D284" s="9" t="str">
        <f aca="false">IFERROR(INDEX({"Punjab","Sindh","KPK","Balochistan"},MATCH(UPPER(LEFT(TRIM(Raw_Data!D284),1)),{"P","S","K","B"},0)),IFERROR(INDEX(Data_Dictionary!$G$4:$G$16,MATCH(E284,Data_Dictionary!$F$4:$F$16,0)),"Unassigned"))</f>
        <v>Punjab</v>
      </c>
      <c r="E284" s="9" t="str">
        <f aca="false">IF(TRIM(Raw_Data!E284)="","Unknown",PROPER(TRIM(Raw_Data!E284)))</f>
        <v>Faisalabad</v>
      </c>
      <c r="F284" s="9" t="str">
        <f aca="false">IFERROR(INDEX({"Electronics","Home &amp; Kitchen","Clothing","Groceries","Beauty"},MATCH(UPPER(LEFT(TRIM(Raw_Data!F284),3)),{"ELE","HOM","CLO","GRO","BEA"},0)),"Uncategorised")</f>
        <v>Uncategorised</v>
      </c>
      <c r="G284" s="9" t="str">
        <f aca="false">IF(TRIM(Raw_Data!G284)="","Unknown",PROPER(TRIM(Raw_Data!G284)))</f>
        <v>Lawn Suit 3 Piece</v>
      </c>
      <c r="H284" s="11" t="n">
        <f aca="false">IFERROR(ABS(VALUE(TRIM(Raw_Data!H284))),"")</f>
        <v>7</v>
      </c>
      <c r="I284" s="12" t="n">
        <f aca="false">IFERROR(VALUE(TRIM(SUBSTITUTE(SUBSTITUTE(SUBSTITUTE(SUBSTITUTE(TRIM(Raw_Data!I284),"PKR",""),"Rs.",""),"Rs",""),",",""))),"")</f>
        <v>6550</v>
      </c>
      <c r="J284" s="13" t="n">
        <f aca="false">IFERROR(IF(TRIM(Raw_Data!J284)="",0,IF(VALUE(TRIM(Raw_Data!J284))&gt;1,VALUE(TRIM(Raw_Data!J284))/100,VALUE(TRIM(Raw_Data!J284)))),0)</f>
        <v>0</v>
      </c>
      <c r="K284" s="9" t="str">
        <f aca="false">IF(TRIM(Raw_Data!K284)="","Unassigned",PROPER(TRIM(Raw_Data!K284)))</f>
        <v>Sadia Noor</v>
      </c>
      <c r="L284" s="9" t="str">
        <f aca="false">IFERROR(INDEX({"Credit Card","Credit Card","Debit Card","Debit Card","Cash","PayPal"},MATCH(UPPER(LEFT(TRIM(Raw_Data!L284),2)),{"CR","CC","DE","DC","CA","PA"},0)),"Other")</f>
        <v>Cash</v>
      </c>
      <c r="M284" s="9" t="str">
        <f aca="false">IFERROR(INDEX({"Completed","Returned","Cancelled","Pending"},MATCH(UPPER(LEFT(TRIM(Raw_Data!M284),3)),{"COM","RET","CAN","PEN"},0)),"Unknown")</f>
        <v>Returned</v>
      </c>
      <c r="N284" s="14" t="n">
        <f aca="false">IF(OR(H284="",I284=""),"",H284*I284)</f>
        <v>45850</v>
      </c>
      <c r="O284" s="14" t="n">
        <f aca="false">IF(N284="","",N284*J284)</f>
        <v>0</v>
      </c>
      <c r="P284" s="14" t="n">
        <f aca="false">IF(N284="","",N284-O284)</f>
        <v>45850</v>
      </c>
      <c r="Q284" s="15" t="n">
        <f aca="false">IF(B284="","",DATE(YEAR(B284),MONTH(B284),1))</f>
        <v>45778</v>
      </c>
      <c r="R284" s="16" t="str">
        <f aca="false">IF(A284="","Invalid - Exclude",IF(COUNTIF($A$2:A284,A284)&gt;1,"Duplicate - Exclude",IF(OR(B284="",H284="",I284=""),"Invalid - Exclude","Valid")))</f>
        <v>Valid</v>
      </c>
      <c r="S284" s="16" t="str">
        <f aca="false">IF(R284="Valid","",IF(R284="Duplicate - Exclude","Repeat of an earlier Order ID",IF(B284="","Date missing or unreadable",IF(H284="","Quantity missing or unreadable",IF(I284="","Unit price missing or unreadable","Order ID missing")))))</f>
        <v/>
      </c>
    </row>
    <row r="285" customFormat="false" ht="15" hidden="false" customHeight="true" outlineLevel="0" collapsed="false">
      <c r="A285" s="17" t="str">
        <f aca="false">UPPER(TRIM(Raw_Data!A285))</f>
        <v>ORD-1270</v>
      </c>
      <c r="B285" s="18" t="n">
        <f aca="false">IFERROR(IF(ISNUMBER(Raw_Data!B285),Raw_Data!B285,IF(ISNUMBER(FIND("/",Raw_Data!B285)),DATE(VALUE(RIGHT(TRIM(Raw_Data!B285),4)),VALUE(MID(TRIM(Raw_Data!B285),4,2)),VALUE(LEFT(TRIM(Raw_Data!B285),2))),IF(MID(TRIM(Raw_Data!B285),5,1)="-",DATE(VALUE(LEFT(TRIM(Raw_Data!B285),4)),VALUE(MID(TRIM(Raw_Data!B285),6,2)),VALUE(RIGHT(TRIM(Raw_Data!B285),2))),DATE(VALUE(RIGHT(TRIM(Raw_Data!B285),4)),MATCH(MID(TRIM(Raw_Data!B285),4,3),{"Jan","Feb","Mar","Apr","May","Jun","Jul","Aug","Sep","Oct","Nov","Dec"},0),VALUE(LEFT(TRIM(Raw_Data!B285),2)))))),"")</f>
        <v>45956</v>
      </c>
      <c r="C285" s="17" t="str">
        <f aca="false">IF(TRIM(Raw_Data!C285)="","Unknown",PROPER(TRIM(Raw_Data!C285)))</f>
        <v>Fatima Hussain</v>
      </c>
      <c r="D285" s="17" t="str">
        <f aca="false">IFERROR(INDEX({"Punjab","Sindh","KPK","Balochistan"},MATCH(UPPER(LEFT(TRIM(Raw_Data!D285),1)),{"P","S","K","B"},0)),IFERROR(INDEX(Data_Dictionary!$G$4:$G$16,MATCH(E285,Data_Dictionary!$F$4:$F$16,0)),"Unassigned"))</f>
        <v>Sindh</v>
      </c>
      <c r="E285" s="17" t="str">
        <f aca="false">IF(TRIM(Raw_Data!E285)="","Unknown",PROPER(TRIM(Raw_Data!E285)))</f>
        <v>Karachi</v>
      </c>
      <c r="F285" s="17" t="str">
        <f aca="false">IFERROR(INDEX({"Electronics","Home &amp; Kitchen","Clothing","Groceries","Beauty"},MATCH(UPPER(LEFT(TRIM(Raw_Data!F285),3)),{"ELE","HOM","CLO","GRO","BEA"},0)),"Uncategorised")</f>
        <v>Groceries</v>
      </c>
      <c r="G285" s="17" t="str">
        <f aca="false">IF(TRIM(Raw_Data!G285)="","Unknown",PROPER(TRIM(Raw_Data!G285)))</f>
        <v>Basmati Rice 5 Kg</v>
      </c>
      <c r="H285" s="19" t="n">
        <f aca="false">IFERROR(ABS(VALUE(TRIM(Raw_Data!H285))),"")</f>
        <v>4</v>
      </c>
      <c r="I285" s="20" t="n">
        <f aca="false">IFERROR(VALUE(TRIM(SUBSTITUTE(SUBSTITUTE(SUBSTITUTE(SUBSTITUTE(TRIM(Raw_Data!I285),"PKR",""),"Rs.",""),"Rs",""),",",""))),"")</f>
        <v>2700</v>
      </c>
      <c r="J285" s="21" t="n">
        <f aca="false">IFERROR(IF(TRIM(Raw_Data!J285)="",0,IF(VALUE(TRIM(Raw_Data!J285))&gt;1,VALUE(TRIM(Raw_Data!J285))/100,VALUE(TRIM(Raw_Data!J285)))),0)</f>
        <v>0.2</v>
      </c>
      <c r="K285" s="17" t="str">
        <f aca="false">IF(TRIM(Raw_Data!K285)="","Unassigned",PROPER(TRIM(Raw_Data!K285)))</f>
        <v>Faisal Mehmood</v>
      </c>
      <c r="L285" s="17" t="str">
        <f aca="false">IFERROR(INDEX({"Credit Card","Credit Card","Debit Card","Debit Card","Cash","PayPal"},MATCH(UPPER(LEFT(TRIM(Raw_Data!L285),2)),{"CR","CC","DE","DC","CA","PA"},0)),"Other")</f>
        <v>Debit Card</v>
      </c>
      <c r="M285" s="17" t="str">
        <f aca="false">IFERROR(INDEX({"Completed","Returned","Cancelled","Pending"},MATCH(UPPER(LEFT(TRIM(Raw_Data!M285),3)),{"COM","RET","CAN","PEN"},0)),"Unknown")</f>
        <v>Pending</v>
      </c>
      <c r="N285" s="20" t="n">
        <f aca="false">IF(OR(H285="",I285=""),"",H285*I285)</f>
        <v>10800</v>
      </c>
      <c r="O285" s="20" t="n">
        <f aca="false">IF(N285="","",N285*J285)</f>
        <v>2160</v>
      </c>
      <c r="P285" s="20" t="n">
        <f aca="false">IF(N285="","",N285-O285)</f>
        <v>8640</v>
      </c>
      <c r="Q285" s="22" t="n">
        <f aca="false">IF(B285="","",DATE(YEAR(B285),MONTH(B285),1))</f>
        <v>45931</v>
      </c>
      <c r="R285" s="17" t="str">
        <f aca="false">IF(A285="","Invalid - Exclude",IF(COUNTIF($A$2:A285,A285)&gt;1,"Duplicate - Exclude",IF(OR(B285="",H285="",I285=""),"Invalid - Exclude","Valid")))</f>
        <v>Valid</v>
      </c>
      <c r="S285" s="17" t="str">
        <f aca="false">IF(R285="Valid","",IF(R285="Duplicate - Exclude","Repeat of an earlier Order ID",IF(B285="","Date missing or unreadable",IF(H285="","Quantity missing or unreadable",IF(I285="","Unit price missing or unreadable","Order ID missing")))))</f>
        <v/>
      </c>
    </row>
    <row r="286" customFormat="false" ht="15" hidden="false" customHeight="true" outlineLevel="0" collapsed="false">
      <c r="A286" s="9" t="str">
        <f aca="false">UPPER(TRIM(Raw_Data!A286))</f>
        <v>ORD-1271</v>
      </c>
      <c r="B286" s="10" t="n">
        <f aca="false">IFERROR(IF(ISNUMBER(Raw_Data!B286),Raw_Data!B286,IF(ISNUMBER(FIND("/",Raw_Data!B286)),DATE(VALUE(RIGHT(TRIM(Raw_Data!B286),4)),VALUE(MID(TRIM(Raw_Data!B286),4,2)),VALUE(LEFT(TRIM(Raw_Data!B286),2))),IF(MID(TRIM(Raw_Data!B286),5,1)="-",DATE(VALUE(LEFT(TRIM(Raw_Data!B286),4)),VALUE(MID(TRIM(Raw_Data!B286),6,2)),VALUE(RIGHT(TRIM(Raw_Data!B286),2))),DATE(VALUE(RIGHT(TRIM(Raw_Data!B286),4)),MATCH(MID(TRIM(Raw_Data!B286),4,3),{"Jan","Feb","Mar","Apr","May","Jun","Jul","Aug","Sep","Oct","Nov","Dec"},0),VALUE(LEFT(TRIM(Raw_Data!B286),2)))))),"")</f>
        <v>45977</v>
      </c>
      <c r="C286" s="9" t="str">
        <f aca="false">IF(TRIM(Raw_Data!C286)="","Unknown",PROPER(TRIM(Raw_Data!C286)))</f>
        <v>Bilal Qureshi</v>
      </c>
      <c r="D286" s="9" t="str">
        <f aca="false">IFERROR(INDEX({"Punjab","Sindh","KPK","Balochistan"},MATCH(UPPER(LEFT(TRIM(Raw_Data!D286),1)),{"P","S","K","B"},0)),IFERROR(INDEX(Data_Dictionary!$G$4:$G$16,MATCH(E286,Data_Dictionary!$F$4:$F$16,0)),"Unassigned"))</f>
        <v>Punjab</v>
      </c>
      <c r="E286" s="9" t="str">
        <f aca="false">IF(TRIM(Raw_Data!E286)="","Unknown",PROPER(TRIM(Raw_Data!E286)))</f>
        <v>Gujranwala</v>
      </c>
      <c r="F286" s="9" t="str">
        <f aca="false">IFERROR(INDEX({"Electronics","Home &amp; Kitchen","Clothing","Groceries","Beauty"},MATCH(UPPER(LEFT(TRIM(Raw_Data!F286),3)),{"ELE","HOM","CLO","GRO","BEA"},0)),"Uncategorised")</f>
        <v>Beauty</v>
      </c>
      <c r="G286" s="9" t="str">
        <f aca="false">IF(TRIM(Raw_Data!G286)="","Unknown",PROPER(TRIM(Raw_Data!G286)))</f>
        <v>Hair Dryer</v>
      </c>
      <c r="H286" s="11" t="n">
        <f aca="false">IFERROR(ABS(VALUE(TRIM(Raw_Data!H286))),"")</f>
        <v>3</v>
      </c>
      <c r="I286" s="12" t="n">
        <f aca="false">IFERROR(VALUE(TRIM(SUBSTITUTE(SUBSTITUTE(SUBSTITUTE(SUBSTITUTE(TRIM(Raw_Data!I286),"PKR",""),"Rs.",""),"Rs",""),",",""))),"")</f>
        <v>4100</v>
      </c>
      <c r="J286" s="13" t="n">
        <f aca="false">IFERROR(IF(TRIM(Raw_Data!J286)="",0,IF(VALUE(TRIM(Raw_Data!J286))&gt;1,VALUE(TRIM(Raw_Data!J286))/100,VALUE(TRIM(Raw_Data!J286)))),0)</f>
        <v>0.1</v>
      </c>
      <c r="K286" s="9" t="str">
        <f aca="false">IF(TRIM(Raw_Data!K286)="","Unassigned",PROPER(TRIM(Raw_Data!K286)))</f>
        <v>Waqar Ahmed</v>
      </c>
      <c r="L286" s="9" t="str">
        <f aca="false">IFERROR(INDEX({"Credit Card","Credit Card","Debit Card","Debit Card","Cash","PayPal"},MATCH(UPPER(LEFT(TRIM(Raw_Data!L286),2)),{"CR","CC","DE","DC","CA","PA"},0)),"Other")</f>
        <v>Credit Card</v>
      </c>
      <c r="M286" s="9" t="str">
        <f aca="false">IFERROR(INDEX({"Completed","Returned","Cancelled","Pending"},MATCH(UPPER(LEFT(TRIM(Raw_Data!M286),3)),{"COM","RET","CAN","PEN"},0)),"Unknown")</f>
        <v>Completed</v>
      </c>
      <c r="N286" s="14" t="n">
        <f aca="false">IF(OR(H286="",I286=""),"",H286*I286)</f>
        <v>12300</v>
      </c>
      <c r="O286" s="14" t="n">
        <f aca="false">IF(N286="","",N286*J286)</f>
        <v>1230</v>
      </c>
      <c r="P286" s="14" t="n">
        <f aca="false">IF(N286="","",N286-O286)</f>
        <v>11070</v>
      </c>
      <c r="Q286" s="15" t="n">
        <f aca="false">IF(B286="","",DATE(YEAR(B286),MONTH(B286),1))</f>
        <v>45962</v>
      </c>
      <c r="R286" s="16" t="str">
        <f aca="false">IF(A286="","Invalid - Exclude",IF(COUNTIF($A$2:A286,A286)&gt;1,"Duplicate - Exclude",IF(OR(B286="",H286="",I286=""),"Invalid - Exclude","Valid")))</f>
        <v>Valid</v>
      </c>
      <c r="S286" s="16" t="str">
        <f aca="false">IF(R286="Valid","",IF(R286="Duplicate - Exclude","Repeat of an earlier Order ID",IF(B286="","Date missing or unreadable",IF(H286="","Quantity missing or unreadable",IF(I286="","Unit price missing or unreadable","Order ID missing")))))</f>
        <v/>
      </c>
    </row>
    <row r="287" customFormat="false" ht="15" hidden="false" customHeight="true" outlineLevel="0" collapsed="false">
      <c r="A287" s="17" t="str">
        <f aca="false">UPPER(TRIM(Raw_Data!A287))</f>
        <v>ORD-1272</v>
      </c>
      <c r="B287" s="18" t="n">
        <f aca="false">IFERROR(IF(ISNUMBER(Raw_Data!B287),Raw_Data!B287,IF(ISNUMBER(FIND("/",Raw_Data!B287)),DATE(VALUE(RIGHT(TRIM(Raw_Data!B287),4)),VALUE(MID(TRIM(Raw_Data!B287),4,2)),VALUE(LEFT(TRIM(Raw_Data!B287),2))),IF(MID(TRIM(Raw_Data!B287),5,1)="-",DATE(VALUE(LEFT(TRIM(Raw_Data!B287),4)),VALUE(MID(TRIM(Raw_Data!B287),6,2)),VALUE(RIGHT(TRIM(Raw_Data!B287),2))),DATE(VALUE(RIGHT(TRIM(Raw_Data!B287),4)),MATCH(MID(TRIM(Raw_Data!B287),4,3),{"Jan","Feb","Mar","Apr","May","Jun","Jul","Aug","Sep","Oct","Nov","Dec"},0),VALUE(LEFT(TRIM(Raw_Data!B287),2)))))),"")</f>
        <v>45677</v>
      </c>
      <c r="C287" s="17" t="str">
        <f aca="false">IF(TRIM(Raw_Data!C287)="","Unknown",PROPER(TRIM(Raw_Data!C287)))</f>
        <v>Kashif Malik</v>
      </c>
      <c r="D287" s="17" t="str">
        <f aca="false">IFERROR(INDEX({"Punjab","Sindh","KPK","Balochistan"},MATCH(UPPER(LEFT(TRIM(Raw_Data!D287),1)),{"P","S","K","B"},0)),IFERROR(INDEX(Data_Dictionary!$G$4:$G$16,MATCH(E287,Data_Dictionary!$F$4:$F$16,0)),"Unassigned"))</f>
        <v>Punjab</v>
      </c>
      <c r="E287" s="17" t="str">
        <f aca="false">IF(TRIM(Raw_Data!E287)="","Unknown",PROPER(TRIM(Raw_Data!E287)))</f>
        <v>Faisalabad</v>
      </c>
      <c r="F287" s="17" t="str">
        <f aca="false">IFERROR(INDEX({"Electronics","Home &amp; Kitchen","Clothing","Groceries","Beauty"},MATCH(UPPER(LEFT(TRIM(Raw_Data!F287),3)),{"ELE","HOM","CLO","GRO","BEA"},0)),"Uncategorised")</f>
        <v>Home &amp; Kitchen</v>
      </c>
      <c r="G287" s="17" t="str">
        <f aca="false">IF(TRIM(Raw_Data!G287)="","Unknown",PROPER(TRIM(Raw_Data!G287)))</f>
        <v>Hand Blender</v>
      </c>
      <c r="H287" s="19" t="n">
        <f aca="false">IFERROR(ABS(VALUE(TRIM(Raw_Data!H287))),"")</f>
        <v>8</v>
      </c>
      <c r="I287" s="20" t="n">
        <f aca="false">IFERROR(VALUE(TRIM(SUBSTITUTE(SUBSTITUTE(SUBSTITUTE(SUBSTITUTE(TRIM(Raw_Data!I287),"PKR",""),"Rs.",""),"Rs",""),",",""))),"")</f>
        <v>3700</v>
      </c>
      <c r="J287" s="21" t="n">
        <f aca="false">IFERROR(IF(TRIM(Raw_Data!J287)="",0,IF(VALUE(TRIM(Raw_Data!J287))&gt;1,VALUE(TRIM(Raw_Data!J287))/100,VALUE(TRIM(Raw_Data!J287)))),0)</f>
        <v>0.1</v>
      </c>
      <c r="K287" s="17" t="str">
        <f aca="false">IF(TRIM(Raw_Data!K287)="","Unassigned",PROPER(TRIM(Raw_Data!K287)))</f>
        <v>Nimra Aslam</v>
      </c>
      <c r="L287" s="17" t="str">
        <f aca="false">IFERROR(INDEX({"Credit Card","Credit Card","Debit Card","Debit Card","Cash","PayPal"},MATCH(UPPER(LEFT(TRIM(Raw_Data!L287),2)),{"CR","CC","DE","DC","CA","PA"},0)),"Other")</f>
        <v>Debit Card</v>
      </c>
      <c r="M287" s="17" t="str">
        <f aca="false">IFERROR(INDEX({"Completed","Returned","Cancelled","Pending"},MATCH(UPPER(LEFT(TRIM(Raw_Data!M287),3)),{"COM","RET","CAN","PEN"},0)),"Unknown")</f>
        <v>Completed</v>
      </c>
      <c r="N287" s="20" t="n">
        <f aca="false">IF(OR(H287="",I287=""),"",H287*I287)</f>
        <v>29600</v>
      </c>
      <c r="O287" s="20" t="n">
        <f aca="false">IF(N287="","",N287*J287)</f>
        <v>2960</v>
      </c>
      <c r="P287" s="20" t="n">
        <f aca="false">IF(N287="","",N287-O287)</f>
        <v>26640</v>
      </c>
      <c r="Q287" s="22" t="n">
        <f aca="false">IF(B287="","",DATE(YEAR(B287),MONTH(B287),1))</f>
        <v>45658</v>
      </c>
      <c r="R287" s="17" t="str">
        <f aca="false">IF(A287="","Invalid - Exclude",IF(COUNTIF($A$2:A287,A287)&gt;1,"Duplicate - Exclude",IF(OR(B287="",H287="",I287=""),"Invalid - Exclude","Valid")))</f>
        <v>Valid</v>
      </c>
      <c r="S287" s="17" t="str">
        <f aca="false">IF(R287="Valid","",IF(R287="Duplicate - Exclude","Repeat of an earlier Order ID",IF(B287="","Date missing or unreadable",IF(H287="","Quantity missing or unreadable",IF(I287="","Unit price missing or unreadable","Order ID missing")))))</f>
        <v/>
      </c>
    </row>
    <row r="288" customFormat="false" ht="15" hidden="false" customHeight="true" outlineLevel="0" collapsed="false">
      <c r="A288" s="9" t="str">
        <f aca="false">UPPER(TRIM(Raw_Data!A288))</f>
        <v>ORD-1273</v>
      </c>
      <c r="B288" s="10" t="n">
        <f aca="false">IFERROR(IF(ISNUMBER(Raw_Data!B288),Raw_Data!B288,IF(ISNUMBER(FIND("/",Raw_Data!B288)),DATE(VALUE(RIGHT(TRIM(Raw_Data!B288),4)),VALUE(MID(TRIM(Raw_Data!B288),4,2)),VALUE(LEFT(TRIM(Raw_Data!B288),2))),IF(MID(TRIM(Raw_Data!B288),5,1)="-",DATE(VALUE(LEFT(TRIM(Raw_Data!B288),4)),VALUE(MID(TRIM(Raw_Data!B288),6,2)),VALUE(RIGHT(TRIM(Raw_Data!B288),2))),DATE(VALUE(RIGHT(TRIM(Raw_Data!B288),4)),MATCH(MID(TRIM(Raw_Data!B288),4,3),{"Jan","Feb","Mar","Apr","May","Jun","Jul","Aug","Sep","Oct","Nov","Dec"},0),VALUE(LEFT(TRIM(Raw_Data!B288),2)))))),"")</f>
        <v>45870</v>
      </c>
      <c r="C288" s="9" t="str">
        <f aca="false">IF(TRIM(Raw_Data!C288)="","Unknown",PROPER(TRIM(Raw_Data!C288)))</f>
        <v>Saad Chaudhry</v>
      </c>
      <c r="D288" s="9" t="str">
        <f aca="false">IFERROR(INDEX({"Punjab","Sindh","KPK","Balochistan"},MATCH(UPPER(LEFT(TRIM(Raw_Data!D288),1)),{"P","S","K","B"},0)),IFERROR(INDEX(Data_Dictionary!$G$4:$G$16,MATCH(E288,Data_Dictionary!$F$4:$F$16,0)),"Unassigned"))</f>
        <v>Punjab</v>
      </c>
      <c r="E288" s="9" t="str">
        <f aca="false">IF(TRIM(Raw_Data!E288)="","Unknown",PROPER(TRIM(Raw_Data!E288)))</f>
        <v>Lahore</v>
      </c>
      <c r="F288" s="9" t="str">
        <f aca="false">IFERROR(INDEX({"Electronics","Home &amp; Kitchen","Clothing","Groceries","Beauty"},MATCH(UPPER(LEFT(TRIM(Raw_Data!F288),3)),{"ELE","HOM","CLO","GRO","BEA"},0)),"Uncategorised")</f>
        <v>Electronics</v>
      </c>
      <c r="G288" s="9" t="str">
        <f aca="false">IF(TRIM(Raw_Data!G288)="","Unknown",PROPER(TRIM(Raw_Data!G288)))</f>
        <v>Wireless Earbuds</v>
      </c>
      <c r="H288" s="11" t="n">
        <f aca="false">IFERROR(ABS(VALUE(TRIM(Raw_Data!H288))),"")</f>
        <v>3</v>
      </c>
      <c r="I288" s="12" t="n">
        <f aca="false">IFERROR(VALUE(TRIM(SUBSTITUTE(SUBSTITUTE(SUBSTITUTE(SUBSTITUTE(TRIM(Raw_Data!I288),"PKR",""),"Rs.",""),"Rs",""),",",""))),"")</f>
        <v>6500</v>
      </c>
      <c r="J288" s="13" t="n">
        <f aca="false">IFERROR(IF(TRIM(Raw_Data!J288)="",0,IF(VALUE(TRIM(Raw_Data!J288))&gt;1,VALUE(TRIM(Raw_Data!J288))/100,VALUE(TRIM(Raw_Data!J288)))),0)</f>
        <v>0.05</v>
      </c>
      <c r="K288" s="9" t="str">
        <f aca="false">IF(TRIM(Raw_Data!K288)="","Unassigned",PROPER(TRIM(Raw_Data!K288)))</f>
        <v>Nimra Aslam</v>
      </c>
      <c r="L288" s="9" t="str">
        <f aca="false">IFERROR(INDEX({"Credit Card","Credit Card","Debit Card","Debit Card","Cash","PayPal"},MATCH(UPPER(LEFT(TRIM(Raw_Data!L288),2)),{"CR","CC","DE","DC","CA","PA"},0)),"Other")</f>
        <v>PayPal</v>
      </c>
      <c r="M288" s="9" t="str">
        <f aca="false">IFERROR(INDEX({"Completed","Returned","Cancelled","Pending"},MATCH(UPPER(LEFT(TRIM(Raw_Data!M288),3)),{"COM","RET","CAN","PEN"},0)),"Unknown")</f>
        <v>Completed</v>
      </c>
      <c r="N288" s="14" t="n">
        <f aca="false">IF(OR(H288="",I288=""),"",H288*I288)</f>
        <v>19500</v>
      </c>
      <c r="O288" s="14" t="n">
        <f aca="false">IF(N288="","",N288*J288)</f>
        <v>975</v>
      </c>
      <c r="P288" s="14" t="n">
        <f aca="false">IF(N288="","",N288-O288)</f>
        <v>18525</v>
      </c>
      <c r="Q288" s="15" t="n">
        <f aca="false">IF(B288="","",DATE(YEAR(B288),MONTH(B288),1))</f>
        <v>45870</v>
      </c>
      <c r="R288" s="16" t="str">
        <f aca="false">IF(A288="","Invalid - Exclude",IF(COUNTIF($A$2:A288,A288)&gt;1,"Duplicate - Exclude",IF(OR(B288="",H288="",I288=""),"Invalid - Exclude","Valid")))</f>
        <v>Valid</v>
      </c>
      <c r="S288" s="16" t="str">
        <f aca="false">IF(R288="Valid","",IF(R288="Duplicate - Exclude","Repeat of an earlier Order ID",IF(B288="","Date missing or unreadable",IF(H288="","Quantity missing or unreadable",IF(I288="","Unit price missing or unreadable","Order ID missing")))))</f>
        <v/>
      </c>
    </row>
    <row r="289" customFormat="false" ht="15" hidden="false" customHeight="true" outlineLevel="0" collapsed="false">
      <c r="A289" s="17" t="str">
        <f aca="false">UPPER(TRIM(Raw_Data!A289))</f>
        <v>ORD-1274</v>
      </c>
      <c r="B289" s="18" t="n">
        <f aca="false">IFERROR(IF(ISNUMBER(Raw_Data!B289),Raw_Data!B289,IF(ISNUMBER(FIND("/",Raw_Data!B289)),DATE(VALUE(RIGHT(TRIM(Raw_Data!B289),4)),VALUE(MID(TRIM(Raw_Data!B289),4,2)),VALUE(LEFT(TRIM(Raw_Data!B289),2))),IF(MID(TRIM(Raw_Data!B289),5,1)="-",DATE(VALUE(LEFT(TRIM(Raw_Data!B289),4)),VALUE(MID(TRIM(Raw_Data!B289),6,2)),VALUE(RIGHT(TRIM(Raw_Data!B289),2))),DATE(VALUE(RIGHT(TRIM(Raw_Data!B289),4)),MATCH(MID(TRIM(Raw_Data!B289),4,3),{"Jan","Feb","Mar","Apr","May","Jun","Jul","Aug","Sep","Oct","Nov","Dec"},0),VALUE(LEFT(TRIM(Raw_Data!B289),2)))))),"")</f>
        <v>45727</v>
      </c>
      <c r="C289" s="17" t="str">
        <f aca="false">IF(TRIM(Raw_Data!C289)="","Unknown",PROPER(TRIM(Raw_Data!C289)))</f>
        <v>Maryam Qureshi</v>
      </c>
      <c r="D289" s="17" t="str">
        <f aca="false">IFERROR(INDEX({"Punjab","Sindh","KPK","Balochistan"},MATCH(UPPER(LEFT(TRIM(Raw_Data!D289),1)),{"P","S","K","B"},0)),IFERROR(INDEX(Data_Dictionary!$G$4:$G$16,MATCH(E289,Data_Dictionary!$F$4:$F$16,0)),"Unassigned"))</f>
        <v>Balochistan</v>
      </c>
      <c r="E289" s="17" t="str">
        <f aca="false">IF(TRIM(Raw_Data!E289)="","Unknown",PROPER(TRIM(Raw_Data!E289)))</f>
        <v>Gwadar</v>
      </c>
      <c r="F289" s="17" t="str">
        <f aca="false">IFERROR(INDEX({"Electronics","Home &amp; Kitchen","Clothing","Groceries","Beauty"},MATCH(UPPER(LEFT(TRIM(Raw_Data!F289),3)),{"ELE","HOM","CLO","GRO","BEA"},0)),"Uncategorised")</f>
        <v>Groceries</v>
      </c>
      <c r="G289" s="17" t="str">
        <f aca="false">IF(TRIM(Raw_Data!G289)="","Unknown",PROPER(TRIM(Raw_Data!G289)))</f>
        <v>Basmati Rice 5 Kg</v>
      </c>
      <c r="H289" s="19" t="n">
        <f aca="false">IFERROR(ABS(VALUE(TRIM(Raw_Data!H289))),"")</f>
        <v>1</v>
      </c>
      <c r="I289" s="20" t="n">
        <f aca="false">IFERROR(VALUE(TRIM(SUBSTITUTE(SUBSTITUTE(SUBSTITUTE(SUBSTITUTE(TRIM(Raw_Data!I289),"PKR",""),"Rs.",""),"Rs",""),",",""))),"")</f>
        <v>2700</v>
      </c>
      <c r="J289" s="21" t="n">
        <f aca="false">IFERROR(IF(TRIM(Raw_Data!J289)="",0,IF(VALUE(TRIM(Raw_Data!J289))&gt;1,VALUE(TRIM(Raw_Data!J289))/100,VALUE(TRIM(Raw_Data!J289)))),0)</f>
        <v>0</v>
      </c>
      <c r="K289" s="17" t="str">
        <f aca="false">IF(TRIM(Raw_Data!K289)="","Unassigned",PROPER(TRIM(Raw_Data!K289)))</f>
        <v>Sadia Noor</v>
      </c>
      <c r="L289" s="17" t="str">
        <f aca="false">IFERROR(INDEX({"Credit Card","Credit Card","Debit Card","Debit Card","Cash","PayPal"},MATCH(UPPER(LEFT(TRIM(Raw_Data!L289),2)),{"CR","CC","DE","DC","CA","PA"},0)),"Other")</f>
        <v>PayPal</v>
      </c>
      <c r="M289" s="17" t="str">
        <f aca="false">IFERROR(INDEX({"Completed","Returned","Cancelled","Pending"},MATCH(UPPER(LEFT(TRIM(Raw_Data!M289),3)),{"COM","RET","CAN","PEN"},0)),"Unknown")</f>
        <v>Cancelled</v>
      </c>
      <c r="N289" s="20" t="n">
        <f aca="false">IF(OR(H289="",I289=""),"",H289*I289)</f>
        <v>2700</v>
      </c>
      <c r="O289" s="20" t="n">
        <f aca="false">IF(N289="","",N289*J289)</f>
        <v>0</v>
      </c>
      <c r="P289" s="20" t="n">
        <f aca="false">IF(N289="","",N289-O289)</f>
        <v>2700</v>
      </c>
      <c r="Q289" s="22" t="n">
        <f aca="false">IF(B289="","",DATE(YEAR(B289),MONTH(B289),1))</f>
        <v>45717</v>
      </c>
      <c r="R289" s="17" t="str">
        <f aca="false">IF(A289="","Invalid - Exclude",IF(COUNTIF($A$2:A289,A289)&gt;1,"Duplicate - Exclude",IF(OR(B289="",H289="",I289=""),"Invalid - Exclude","Valid")))</f>
        <v>Valid</v>
      </c>
      <c r="S289" s="17" t="str">
        <f aca="false">IF(R289="Valid","",IF(R289="Duplicate - Exclude","Repeat of an earlier Order ID",IF(B289="","Date missing or unreadable",IF(H289="","Quantity missing or unreadable",IF(I289="","Unit price missing or unreadable","Order ID missing")))))</f>
        <v/>
      </c>
    </row>
    <row r="290" customFormat="false" ht="15" hidden="false" customHeight="true" outlineLevel="0" collapsed="false">
      <c r="A290" s="9" t="str">
        <f aca="false">UPPER(TRIM(Raw_Data!A290))</f>
        <v>ORD-1100</v>
      </c>
      <c r="B290" s="10" t="n">
        <f aca="false">IFERROR(IF(ISNUMBER(Raw_Data!B290),Raw_Data!B290,IF(ISNUMBER(FIND("/",Raw_Data!B290)),DATE(VALUE(RIGHT(TRIM(Raw_Data!B290),4)),VALUE(MID(TRIM(Raw_Data!B290),4,2)),VALUE(LEFT(TRIM(Raw_Data!B290),2))),IF(MID(TRIM(Raw_Data!B290),5,1)="-",DATE(VALUE(LEFT(TRIM(Raw_Data!B290),4)),VALUE(MID(TRIM(Raw_Data!B290),6,2)),VALUE(RIGHT(TRIM(Raw_Data!B290),2))),DATE(VALUE(RIGHT(TRIM(Raw_Data!B290),4)),MATCH(MID(TRIM(Raw_Data!B290),4,3),{"Jan","Feb","Mar","Apr","May","Jun","Jul","Aug","Sep","Oct","Nov","Dec"},0),VALUE(LEFT(TRIM(Raw_Data!B290),2)))))),"")</f>
        <v>45698</v>
      </c>
      <c r="C290" s="9" t="str">
        <f aca="false">IF(TRIM(Raw_Data!C290)="","Unknown",PROPER(TRIM(Raw_Data!C290)))</f>
        <v>Hina Qureshi</v>
      </c>
      <c r="D290" s="9" t="str">
        <f aca="false">IFERROR(INDEX({"Punjab","Sindh","KPK","Balochistan"},MATCH(UPPER(LEFT(TRIM(Raw_Data!D290),1)),{"P","S","K","B"},0)),IFERROR(INDEX(Data_Dictionary!$G$4:$G$16,MATCH(E290,Data_Dictionary!$F$4:$F$16,0)),"Unassigned"))</f>
        <v>KPK</v>
      </c>
      <c r="E290" s="9" t="str">
        <f aca="false">IF(TRIM(Raw_Data!E290)="","Unknown",PROPER(TRIM(Raw_Data!E290)))</f>
        <v>Mardan</v>
      </c>
      <c r="F290" s="9" t="str">
        <f aca="false">IFERROR(INDEX({"Electronics","Home &amp; Kitchen","Clothing","Groceries","Beauty"},MATCH(UPPER(LEFT(TRIM(Raw_Data!F290),3)),{"ELE","HOM","CLO","GRO","BEA"},0)),"Uncategorised")</f>
        <v>Groceries</v>
      </c>
      <c r="G290" s="9" t="str">
        <f aca="false">IF(TRIM(Raw_Data!G290)="","Unknown",PROPER(TRIM(Raw_Data!G290)))</f>
        <v>Cooking Oil 5 Litre</v>
      </c>
      <c r="H290" s="11" t="n">
        <f aca="false">IFERROR(ABS(VALUE(TRIM(Raw_Data!H290))),"")</f>
        <v>8</v>
      </c>
      <c r="I290" s="12" t="n">
        <f aca="false">IFERROR(VALUE(TRIM(SUBSTITUTE(SUBSTITUTE(SUBSTITUTE(SUBSTITUTE(TRIM(Raw_Data!I290),"PKR",""),"Rs.",""),"Rs",""),",",""))),"")</f>
        <v>2250</v>
      </c>
      <c r="J290" s="13" t="n">
        <f aca="false">IFERROR(IF(TRIM(Raw_Data!J290)="",0,IF(VALUE(TRIM(Raw_Data!J290))&gt;1,VALUE(TRIM(Raw_Data!J290))/100,VALUE(TRIM(Raw_Data!J290)))),0)</f>
        <v>0.1</v>
      </c>
      <c r="K290" s="9" t="str">
        <f aca="false">IF(TRIM(Raw_Data!K290)="","Unassigned",PROPER(TRIM(Raw_Data!K290)))</f>
        <v>Faisal Mehmood</v>
      </c>
      <c r="L290" s="9" t="str">
        <f aca="false">IFERROR(INDEX({"Credit Card","Credit Card","Debit Card","Debit Card","Cash","PayPal"},MATCH(UPPER(LEFT(TRIM(Raw_Data!L290),2)),{"CR","CC","DE","DC","CA","PA"},0)),"Other")</f>
        <v>Credit Card</v>
      </c>
      <c r="M290" s="9" t="str">
        <f aca="false">IFERROR(INDEX({"Completed","Returned","Cancelled","Pending"},MATCH(UPPER(LEFT(TRIM(Raw_Data!M290),3)),{"COM","RET","CAN","PEN"},0)),"Unknown")</f>
        <v>Completed</v>
      </c>
      <c r="N290" s="14" t="n">
        <f aca="false">IF(OR(H290="",I290=""),"",H290*I290)</f>
        <v>18000</v>
      </c>
      <c r="O290" s="14" t="n">
        <f aca="false">IF(N290="","",N290*J290)</f>
        <v>1800</v>
      </c>
      <c r="P290" s="14" t="n">
        <f aca="false">IF(N290="","",N290-O290)</f>
        <v>16200</v>
      </c>
      <c r="Q290" s="15" t="n">
        <f aca="false">IF(B290="","",DATE(YEAR(B290),MONTH(B290),1))</f>
        <v>45689</v>
      </c>
      <c r="R290" s="16" t="str">
        <f aca="false">IF(A290="","Invalid - Exclude",IF(COUNTIF($A$2:A290,A290)&gt;1,"Duplicate - Exclude",IF(OR(B290="",H290="",I290=""),"Invalid - Exclude","Valid")))</f>
        <v>Duplicate - Exclude</v>
      </c>
      <c r="S290" s="16" t="str">
        <f aca="false">IF(R290="Valid","",IF(R290="Duplicate - Exclude","Repeat of an earlier Order ID",IF(B290="","Date missing or unreadable",IF(H290="","Quantity missing or unreadable",IF(I290="","Unit price missing or unreadable","Order ID missing")))))</f>
        <v>Repeat of an earlier Order ID</v>
      </c>
    </row>
    <row r="291" customFormat="false" ht="15" hidden="false" customHeight="true" outlineLevel="0" collapsed="false">
      <c r="A291" s="17" t="str">
        <f aca="false">UPPER(TRIM(Raw_Data!A291))</f>
        <v>ORD-1117</v>
      </c>
      <c r="B291" s="18" t="n">
        <f aca="false">IFERROR(IF(ISNUMBER(Raw_Data!B291),Raw_Data!B291,IF(ISNUMBER(FIND("/",Raw_Data!B291)),DATE(VALUE(RIGHT(TRIM(Raw_Data!B291),4)),VALUE(MID(TRIM(Raw_Data!B291),4,2)),VALUE(LEFT(TRIM(Raw_Data!B291),2))),IF(MID(TRIM(Raw_Data!B291),5,1)="-",DATE(VALUE(LEFT(TRIM(Raw_Data!B291),4)),VALUE(MID(TRIM(Raw_Data!B291),6,2)),VALUE(RIGHT(TRIM(Raw_Data!B291),2))),DATE(VALUE(RIGHT(TRIM(Raw_Data!B291),4)),MATCH(MID(TRIM(Raw_Data!B291),4,3),{"Jan","Feb","Mar","Apr","May","Jun","Jul","Aug","Sep","Oct","Nov","Dec"},0),VALUE(LEFT(TRIM(Raw_Data!B291),2)))))),"")</f>
        <v>45815</v>
      </c>
      <c r="C291" s="17" t="str">
        <f aca="false">IF(TRIM(Raw_Data!C291)="","Unknown",PROPER(TRIM(Raw_Data!C291)))</f>
        <v>Rabia Khan</v>
      </c>
      <c r="D291" s="17" t="str">
        <f aca="false">IFERROR(INDEX({"Punjab","Sindh","KPK","Balochistan"},MATCH(UPPER(LEFT(TRIM(Raw_Data!D291),1)),{"P","S","K","B"},0)),IFERROR(INDEX(Data_Dictionary!$G$4:$G$16,MATCH(E291,Data_Dictionary!$F$4:$F$16,0)),"Unassigned"))</f>
        <v>Punjab</v>
      </c>
      <c r="E291" s="17" t="str">
        <f aca="false">IF(TRIM(Raw_Data!E291)="","Unknown",PROPER(TRIM(Raw_Data!E291)))</f>
        <v>Faisalabad</v>
      </c>
      <c r="F291" s="17" t="str">
        <f aca="false">IFERROR(INDEX({"Electronics","Home &amp; Kitchen","Clothing","Groceries","Beauty"},MATCH(UPPER(LEFT(TRIM(Raw_Data!F291),3)),{"ELE","HOM","CLO","GRO","BEA"},0)),"Uncategorised")</f>
        <v>Electronics</v>
      </c>
      <c r="G291" s="17" t="str">
        <f aca="false">IF(TRIM(Raw_Data!G291)="","Unknown",PROPER(TRIM(Raw_Data!G291)))</f>
        <v>Wireless Earbuds</v>
      </c>
      <c r="H291" s="19" t="n">
        <f aca="false">IFERROR(ABS(VALUE(TRIM(Raw_Data!H291))),"")</f>
        <v>6</v>
      </c>
      <c r="I291" s="20" t="n">
        <f aca="false">IFERROR(VALUE(TRIM(SUBSTITUTE(SUBSTITUTE(SUBSTITUTE(SUBSTITUTE(TRIM(Raw_Data!I291),"PKR",""),"Rs.",""),"Rs",""),",",""))),"")</f>
        <v>6600</v>
      </c>
      <c r="J291" s="21" t="n">
        <f aca="false">IFERROR(IF(TRIM(Raw_Data!J291)="",0,IF(VALUE(TRIM(Raw_Data!J291))&gt;1,VALUE(TRIM(Raw_Data!J291))/100,VALUE(TRIM(Raw_Data!J291)))),0)</f>
        <v>0.1</v>
      </c>
      <c r="K291" s="17" t="str">
        <f aca="false">IF(TRIM(Raw_Data!K291)="","Unassigned",PROPER(TRIM(Raw_Data!K291)))</f>
        <v>Waqar Ahmed</v>
      </c>
      <c r="L291" s="17" t="str">
        <f aca="false">IFERROR(INDEX({"Credit Card","Credit Card","Debit Card","Debit Card","Cash","PayPal"},MATCH(UPPER(LEFT(TRIM(Raw_Data!L291),2)),{"CR","CC","DE","DC","CA","PA"},0)),"Other")</f>
        <v>Credit Card</v>
      </c>
      <c r="M291" s="17" t="str">
        <f aca="false">IFERROR(INDEX({"Completed","Returned","Cancelled","Pending"},MATCH(UPPER(LEFT(TRIM(Raw_Data!M291),3)),{"COM","RET","CAN","PEN"},0)),"Unknown")</f>
        <v>Completed</v>
      </c>
      <c r="N291" s="20" t="n">
        <f aca="false">IF(OR(H291="",I291=""),"",H291*I291)</f>
        <v>39600</v>
      </c>
      <c r="O291" s="20" t="n">
        <f aca="false">IF(N291="","",N291*J291)</f>
        <v>3960</v>
      </c>
      <c r="P291" s="20" t="n">
        <f aca="false">IF(N291="","",N291-O291)</f>
        <v>35640</v>
      </c>
      <c r="Q291" s="22" t="n">
        <f aca="false">IF(B291="","",DATE(YEAR(B291),MONTH(B291),1))</f>
        <v>45809</v>
      </c>
      <c r="R291" s="17" t="str">
        <f aca="false">IF(A291="","Invalid - Exclude",IF(COUNTIF($A$2:A291,A291)&gt;1,"Duplicate - Exclude",IF(OR(B291="",H291="",I291=""),"Invalid - Exclude","Valid")))</f>
        <v>Duplicate - Exclude</v>
      </c>
      <c r="S291" s="17" t="str">
        <f aca="false">IF(R291="Valid","",IF(R291="Duplicate - Exclude","Repeat of an earlier Order ID",IF(B291="","Date missing or unreadable",IF(H291="","Quantity missing or unreadable",IF(I291="","Unit price missing or unreadable","Order ID missing")))))</f>
        <v>Repeat of an earlier Order ID</v>
      </c>
    </row>
    <row r="292" customFormat="false" ht="15" hidden="false" customHeight="true" outlineLevel="0" collapsed="false">
      <c r="A292" s="9" t="str">
        <f aca="false">UPPER(TRIM(Raw_Data!A292))</f>
        <v>ORD-1275</v>
      </c>
      <c r="B292" s="10" t="n">
        <f aca="false">IFERROR(IF(ISNUMBER(Raw_Data!B292),Raw_Data!B292,IF(ISNUMBER(FIND("/",Raw_Data!B292)),DATE(VALUE(RIGHT(TRIM(Raw_Data!B292),4)),VALUE(MID(TRIM(Raw_Data!B292),4,2)),VALUE(LEFT(TRIM(Raw_Data!B292),2))),IF(MID(TRIM(Raw_Data!B292),5,1)="-",DATE(VALUE(LEFT(TRIM(Raw_Data!B292),4)),VALUE(MID(TRIM(Raw_Data!B292),6,2)),VALUE(RIGHT(TRIM(Raw_Data!B292),2))),DATE(VALUE(RIGHT(TRIM(Raw_Data!B292),4)),MATCH(MID(TRIM(Raw_Data!B292),4,3),{"Jan","Feb","Mar","Apr","May","Jun","Jul","Aug","Sep","Oct","Nov","Dec"},0),VALUE(LEFT(TRIM(Raw_Data!B292),2)))))),"")</f>
        <v>45948</v>
      </c>
      <c r="C292" s="9" t="str">
        <f aca="false">IF(TRIM(Raw_Data!C292)="","Unknown",PROPER(TRIM(Raw_Data!C292)))</f>
        <v>Omar Sheikh</v>
      </c>
      <c r="D292" s="9" t="str">
        <f aca="false">IFERROR(INDEX({"Punjab","Sindh","KPK","Balochistan"},MATCH(UPPER(LEFT(TRIM(Raw_Data!D292),1)),{"P","S","K","B"},0)),IFERROR(INDEX(Data_Dictionary!$G$4:$G$16,MATCH(E292,Data_Dictionary!$F$4:$F$16,0)),"Unassigned"))</f>
        <v>KPK</v>
      </c>
      <c r="E292" s="9" t="str">
        <f aca="false">IF(TRIM(Raw_Data!E292)="","Unknown",PROPER(TRIM(Raw_Data!E292)))</f>
        <v>Peshawar</v>
      </c>
      <c r="F292" s="9" t="str">
        <f aca="false">IFERROR(INDEX({"Electronics","Home &amp; Kitchen","Clothing","Groceries","Beauty"},MATCH(UPPER(LEFT(TRIM(Raw_Data!F292),3)),{"ELE","HOM","CLO","GRO","BEA"},0)),"Uncategorised")</f>
        <v>Groceries</v>
      </c>
      <c r="G292" s="9" t="str">
        <f aca="false">IF(TRIM(Raw_Data!G292)="","Unknown",PROPER(TRIM(Raw_Data!G292)))</f>
        <v>Black Tea Pack</v>
      </c>
      <c r="H292" s="11" t="n">
        <f aca="false">IFERROR(ABS(VALUE(TRIM(Raw_Data!H292))),"")</f>
        <v>8</v>
      </c>
      <c r="I292" s="12" t="n">
        <f aca="false">IFERROR(VALUE(TRIM(SUBSTITUTE(SUBSTITUTE(SUBSTITUTE(SUBSTITUTE(TRIM(Raw_Data!I292),"PKR",""),"Rs.",""),"Rs",""),",",""))),"")</f>
        <v>1550</v>
      </c>
      <c r="J292" s="13" t="n">
        <f aca="false">IFERROR(IF(TRIM(Raw_Data!J292)="",0,IF(VALUE(TRIM(Raw_Data!J292))&gt;1,VALUE(TRIM(Raw_Data!J292))/100,VALUE(TRIM(Raw_Data!J292)))),0)</f>
        <v>0.1</v>
      </c>
      <c r="K292" s="9" t="str">
        <f aca="false">IF(TRIM(Raw_Data!K292)="","Unassigned",PROPER(TRIM(Raw_Data!K292)))</f>
        <v>Zoya Tariq</v>
      </c>
      <c r="L292" s="9" t="str">
        <f aca="false">IFERROR(INDEX({"Credit Card","Credit Card","Debit Card","Debit Card","Cash","PayPal"},MATCH(UPPER(LEFT(TRIM(Raw_Data!L292),2)),{"CR","CC","DE","DC","CA","PA"},0)),"Other")</f>
        <v>Debit Card</v>
      </c>
      <c r="M292" s="9" t="str">
        <f aca="false">IFERROR(INDEX({"Completed","Returned","Cancelled","Pending"},MATCH(UPPER(LEFT(TRIM(Raw_Data!M292),3)),{"COM","RET","CAN","PEN"},0)),"Unknown")</f>
        <v>Completed</v>
      </c>
      <c r="N292" s="14" t="n">
        <f aca="false">IF(OR(H292="",I292=""),"",H292*I292)</f>
        <v>12400</v>
      </c>
      <c r="O292" s="14" t="n">
        <f aca="false">IF(N292="","",N292*J292)</f>
        <v>1240</v>
      </c>
      <c r="P292" s="14" t="n">
        <f aca="false">IF(N292="","",N292-O292)</f>
        <v>11160</v>
      </c>
      <c r="Q292" s="15" t="n">
        <f aca="false">IF(B292="","",DATE(YEAR(B292),MONTH(B292),1))</f>
        <v>45931</v>
      </c>
      <c r="R292" s="16" t="str">
        <f aca="false">IF(A292="","Invalid - Exclude",IF(COUNTIF($A$2:A292,A292)&gt;1,"Duplicate - Exclude",IF(OR(B292="",H292="",I292=""),"Invalid - Exclude","Valid")))</f>
        <v>Valid</v>
      </c>
      <c r="S292" s="16" t="str">
        <f aca="false">IF(R292="Valid","",IF(R292="Duplicate - Exclude","Repeat of an earlier Order ID",IF(B292="","Date missing or unreadable",IF(H292="","Quantity missing or unreadable",IF(I292="","Unit price missing or unreadable","Order ID missing")))))</f>
        <v/>
      </c>
    </row>
    <row r="293" customFormat="false" ht="15" hidden="false" customHeight="true" outlineLevel="0" collapsed="false">
      <c r="A293" s="17" t="str">
        <f aca="false">UPPER(TRIM(Raw_Data!A293))</f>
        <v>ORD-1276</v>
      </c>
      <c r="B293" s="18" t="n">
        <f aca="false">IFERROR(IF(ISNUMBER(Raw_Data!B293),Raw_Data!B293,IF(ISNUMBER(FIND("/",Raw_Data!B293)),DATE(VALUE(RIGHT(TRIM(Raw_Data!B293),4)),VALUE(MID(TRIM(Raw_Data!B293),4,2)),VALUE(LEFT(TRIM(Raw_Data!B293),2))),IF(MID(TRIM(Raw_Data!B293),5,1)="-",DATE(VALUE(LEFT(TRIM(Raw_Data!B293),4)),VALUE(MID(TRIM(Raw_Data!B293),6,2)),VALUE(RIGHT(TRIM(Raw_Data!B293),2))),DATE(VALUE(RIGHT(TRIM(Raw_Data!B293),4)),MATCH(MID(TRIM(Raw_Data!B293),4,3),{"Jan","Feb","Mar","Apr","May","Jun","Jul","Aug","Sep","Oct","Nov","Dec"},0),VALUE(LEFT(TRIM(Raw_Data!B293),2)))))),"")</f>
        <v>45946</v>
      </c>
      <c r="C293" s="17" t="str">
        <f aca="false">IF(TRIM(Raw_Data!C293)="","Unknown",PROPER(TRIM(Raw_Data!C293)))</f>
        <v>Hina Chaudhry</v>
      </c>
      <c r="D293" s="17" t="str">
        <f aca="false">IFERROR(INDEX({"Punjab","Sindh","KPK","Balochistan"},MATCH(UPPER(LEFT(TRIM(Raw_Data!D293),1)),{"P","S","K","B"},0)),IFERROR(INDEX(Data_Dictionary!$G$4:$G$16,MATCH(E293,Data_Dictionary!$F$4:$F$16,0)),"Unassigned"))</f>
        <v>Punjab</v>
      </c>
      <c r="E293" s="17" t="str">
        <f aca="false">IF(TRIM(Raw_Data!E293)="","Unknown",PROPER(TRIM(Raw_Data!E293)))</f>
        <v>Gujranwala</v>
      </c>
      <c r="F293" s="17" t="str">
        <f aca="false">IFERROR(INDEX({"Electronics","Home &amp; Kitchen","Clothing","Groceries","Beauty"},MATCH(UPPER(LEFT(TRIM(Raw_Data!F293),3)),{"ELE","HOM","CLO","GRO","BEA"},0)),"Uncategorised")</f>
        <v>Groceries</v>
      </c>
      <c r="G293" s="17" t="str">
        <f aca="false">IF(TRIM(Raw_Data!G293)="","Unknown",PROPER(TRIM(Raw_Data!G293)))</f>
        <v>Black Tea Pack</v>
      </c>
      <c r="H293" s="19" t="n">
        <f aca="false">IFERROR(ABS(VALUE(TRIM(Raw_Data!H293))),"")</f>
        <v>2</v>
      </c>
      <c r="I293" s="20" t="n">
        <f aca="false">IFERROR(VALUE(TRIM(SUBSTITUTE(SUBSTITUTE(SUBSTITUTE(SUBSTITUTE(TRIM(Raw_Data!I293),"PKR",""),"Rs.",""),"Rs",""),",",""))),"")</f>
        <v>1450</v>
      </c>
      <c r="J293" s="21" t="n">
        <f aca="false">IFERROR(IF(TRIM(Raw_Data!J293)="",0,IF(VALUE(TRIM(Raw_Data!J293))&gt;1,VALUE(TRIM(Raw_Data!J293))/100,VALUE(TRIM(Raw_Data!J293)))),0)</f>
        <v>0.2</v>
      </c>
      <c r="K293" s="17" t="str">
        <f aca="false">IF(TRIM(Raw_Data!K293)="","Unassigned",PROPER(TRIM(Raw_Data!K293)))</f>
        <v>Faisal Mehmood</v>
      </c>
      <c r="L293" s="17" t="str">
        <f aca="false">IFERROR(INDEX({"Credit Card","Credit Card","Debit Card","Debit Card","Cash","PayPal"},MATCH(UPPER(LEFT(TRIM(Raw_Data!L293),2)),{"CR","CC","DE","DC","CA","PA"},0)),"Other")</f>
        <v>PayPal</v>
      </c>
      <c r="M293" s="17" t="str">
        <f aca="false">IFERROR(INDEX({"Completed","Returned","Cancelled","Pending"},MATCH(UPPER(LEFT(TRIM(Raw_Data!M293),3)),{"COM","RET","CAN","PEN"},0)),"Unknown")</f>
        <v>Completed</v>
      </c>
      <c r="N293" s="20" t="n">
        <f aca="false">IF(OR(H293="",I293=""),"",H293*I293)</f>
        <v>2900</v>
      </c>
      <c r="O293" s="20" t="n">
        <f aca="false">IF(N293="","",N293*J293)</f>
        <v>580</v>
      </c>
      <c r="P293" s="20" t="n">
        <f aca="false">IF(N293="","",N293-O293)</f>
        <v>2320</v>
      </c>
      <c r="Q293" s="22" t="n">
        <f aca="false">IF(B293="","",DATE(YEAR(B293),MONTH(B293),1))</f>
        <v>45931</v>
      </c>
      <c r="R293" s="17" t="str">
        <f aca="false">IF(A293="","Invalid - Exclude",IF(COUNTIF($A$2:A293,A293)&gt;1,"Duplicate - Exclude",IF(OR(B293="",H293="",I293=""),"Invalid - Exclude","Valid")))</f>
        <v>Valid</v>
      </c>
      <c r="S293" s="17" t="str">
        <f aca="false">IF(R293="Valid","",IF(R293="Duplicate - Exclude","Repeat of an earlier Order ID",IF(B293="","Date missing or unreadable",IF(H293="","Quantity missing or unreadable",IF(I293="","Unit price missing or unreadable","Order ID missing")))))</f>
        <v/>
      </c>
    </row>
    <row r="294" customFormat="false" ht="15" hidden="false" customHeight="true" outlineLevel="0" collapsed="false">
      <c r="A294" s="9" t="str">
        <f aca="false">UPPER(TRIM(Raw_Data!A294))</f>
        <v>ORD-1277</v>
      </c>
      <c r="B294" s="10" t="n">
        <f aca="false">IFERROR(IF(ISNUMBER(Raw_Data!B294),Raw_Data!B294,IF(ISNUMBER(FIND("/",Raw_Data!B294)),DATE(VALUE(RIGHT(TRIM(Raw_Data!B294),4)),VALUE(MID(TRIM(Raw_Data!B294),4,2)),VALUE(LEFT(TRIM(Raw_Data!B294),2))),IF(MID(TRIM(Raw_Data!B294),5,1)="-",DATE(VALUE(LEFT(TRIM(Raw_Data!B294),4)),VALUE(MID(TRIM(Raw_Data!B294),6,2)),VALUE(RIGHT(TRIM(Raw_Data!B294),2))),DATE(VALUE(RIGHT(TRIM(Raw_Data!B294),4)),MATCH(MID(TRIM(Raw_Data!B294),4,3),{"Jan","Feb","Mar","Apr","May","Jun","Jul","Aug","Sep","Oct","Nov","Dec"},0),VALUE(LEFT(TRIM(Raw_Data!B294),2)))))),"")</f>
        <v>45707</v>
      </c>
      <c r="C294" s="9" t="str">
        <f aca="false">IF(TRIM(Raw_Data!C294)="","Unknown",PROPER(TRIM(Raw_Data!C294)))</f>
        <v>Hina Qureshi</v>
      </c>
      <c r="D294" s="9" t="str">
        <f aca="false">IFERROR(INDEX({"Punjab","Sindh","KPK","Balochistan"},MATCH(UPPER(LEFT(TRIM(Raw_Data!D294),1)),{"P","S","K","B"},0)),IFERROR(INDEX(Data_Dictionary!$G$4:$G$16,MATCH(E294,Data_Dictionary!$F$4:$F$16,0)),"Unassigned"))</f>
        <v>Sindh</v>
      </c>
      <c r="E294" s="9" t="str">
        <f aca="false">IF(TRIM(Raw_Data!E294)="","Unknown",PROPER(TRIM(Raw_Data!E294)))</f>
        <v>Karachi</v>
      </c>
      <c r="F294" s="9" t="str">
        <f aca="false">IFERROR(INDEX({"Electronics","Home &amp; Kitchen","Clothing","Groceries","Beauty"},MATCH(UPPER(LEFT(TRIM(Raw_Data!F294),3)),{"ELE","HOM","CLO","GRO","BEA"},0)),"Uncategorised")</f>
        <v>Clothing</v>
      </c>
      <c r="G294" s="9" t="str">
        <f aca="false">IF(TRIM(Raw_Data!G294)="","Unknown",PROPER(TRIM(Raw_Data!G294)))</f>
        <v>Lawn Suit 3 Piece</v>
      </c>
      <c r="H294" s="11" t="n">
        <f aca="false">IFERROR(ABS(VALUE(TRIM(Raw_Data!H294))),"")</f>
        <v>7</v>
      </c>
      <c r="I294" s="12" t="n">
        <f aca="false">IFERROR(VALUE(TRIM(SUBSTITUTE(SUBSTITUTE(SUBSTITUTE(SUBSTITUTE(TRIM(Raw_Data!I294),"PKR",""),"Rs.",""),"Rs",""),",",""))),"")</f>
        <v>6950</v>
      </c>
      <c r="J294" s="13" t="n">
        <f aca="false">IFERROR(IF(TRIM(Raw_Data!J294)="",0,IF(VALUE(TRIM(Raw_Data!J294))&gt;1,VALUE(TRIM(Raw_Data!J294))/100,VALUE(TRIM(Raw_Data!J294)))),0)</f>
        <v>0.15</v>
      </c>
      <c r="K294" s="9" t="str">
        <f aca="false">IF(TRIM(Raw_Data!K294)="","Unassigned",PROPER(TRIM(Raw_Data!K294)))</f>
        <v>Imran Shah</v>
      </c>
      <c r="L294" s="9" t="str">
        <f aca="false">IFERROR(INDEX({"Credit Card","Credit Card","Debit Card","Debit Card","Cash","PayPal"},MATCH(UPPER(LEFT(TRIM(Raw_Data!L294),2)),{"CR","CC","DE","DC","CA","PA"},0)),"Other")</f>
        <v>Debit Card</v>
      </c>
      <c r="M294" s="9" t="str">
        <f aca="false">IFERROR(INDEX({"Completed","Returned","Cancelled","Pending"},MATCH(UPPER(LEFT(TRIM(Raw_Data!M294),3)),{"COM","RET","CAN","PEN"},0)),"Unknown")</f>
        <v>Completed</v>
      </c>
      <c r="N294" s="14" t="n">
        <f aca="false">IF(OR(H294="",I294=""),"",H294*I294)</f>
        <v>48650</v>
      </c>
      <c r="O294" s="14" t="n">
        <f aca="false">IF(N294="","",N294*J294)</f>
        <v>7297.5</v>
      </c>
      <c r="P294" s="14" t="n">
        <f aca="false">IF(N294="","",N294-O294)</f>
        <v>41352.5</v>
      </c>
      <c r="Q294" s="15" t="n">
        <f aca="false">IF(B294="","",DATE(YEAR(B294),MONTH(B294),1))</f>
        <v>45689</v>
      </c>
      <c r="R294" s="16" t="str">
        <f aca="false">IF(A294="","Invalid - Exclude",IF(COUNTIF($A$2:A294,A294)&gt;1,"Duplicate - Exclude",IF(OR(B294="",H294="",I294=""),"Invalid - Exclude","Valid")))</f>
        <v>Valid</v>
      </c>
      <c r="S294" s="16" t="str">
        <f aca="false">IF(R294="Valid","",IF(R294="Duplicate - Exclude","Repeat of an earlier Order ID",IF(B294="","Date missing or unreadable",IF(H294="","Quantity missing or unreadable",IF(I294="","Unit price missing or unreadable","Order ID missing")))))</f>
        <v/>
      </c>
    </row>
    <row r="295" customFormat="false" ht="15" hidden="false" customHeight="true" outlineLevel="0" collapsed="false">
      <c r="A295" s="17" t="str">
        <f aca="false">UPPER(TRIM(Raw_Data!A295))</f>
        <v>ORD-1278</v>
      </c>
      <c r="B295" s="18" t="n">
        <f aca="false">IFERROR(IF(ISNUMBER(Raw_Data!B295),Raw_Data!B295,IF(ISNUMBER(FIND("/",Raw_Data!B295)),DATE(VALUE(RIGHT(TRIM(Raw_Data!B295),4)),VALUE(MID(TRIM(Raw_Data!B295),4,2)),VALUE(LEFT(TRIM(Raw_Data!B295),2))),IF(MID(TRIM(Raw_Data!B295),5,1)="-",DATE(VALUE(LEFT(TRIM(Raw_Data!B295),4)),VALUE(MID(TRIM(Raw_Data!B295),6,2)),VALUE(RIGHT(TRIM(Raw_Data!B295),2))),DATE(VALUE(RIGHT(TRIM(Raw_Data!B295),4)),MATCH(MID(TRIM(Raw_Data!B295),4,3),{"Jan","Feb","Mar","Apr","May","Jun","Jul","Aug","Sep","Oct","Nov","Dec"},0),VALUE(LEFT(TRIM(Raw_Data!B295),2)))))),"")</f>
        <v>45793</v>
      </c>
      <c r="C295" s="17" t="str">
        <f aca="false">IF(TRIM(Raw_Data!C295)="","Unknown",PROPER(TRIM(Raw_Data!C295)))</f>
        <v>Noor Butt</v>
      </c>
      <c r="D295" s="17" t="str">
        <f aca="false">IFERROR(INDEX({"Punjab","Sindh","KPK","Balochistan"},MATCH(UPPER(LEFT(TRIM(Raw_Data!D295),1)),{"P","S","K","B"},0)),IFERROR(INDEX(Data_Dictionary!$G$4:$G$16,MATCH(E295,Data_Dictionary!$F$4:$F$16,0)),"Unassigned"))</f>
        <v>KPK</v>
      </c>
      <c r="E295" s="17" t="str">
        <f aca="false">IF(TRIM(Raw_Data!E295)="","Unknown",PROPER(TRIM(Raw_Data!E295)))</f>
        <v>Peshawar</v>
      </c>
      <c r="F295" s="17" t="str">
        <f aca="false">IFERROR(INDEX({"Electronics","Home &amp; Kitchen","Clothing","Groceries","Beauty"},MATCH(UPPER(LEFT(TRIM(Raw_Data!F295),3)),{"ELE","HOM","CLO","GRO","BEA"},0)),"Uncategorised")</f>
        <v>Electronics</v>
      </c>
      <c r="G295" s="17" t="str">
        <f aca="false">IF(TRIM(Raw_Data!G295)="","Unknown",PROPER(TRIM(Raw_Data!G295)))</f>
        <v>Phone Charger</v>
      </c>
      <c r="H295" s="19" t="n">
        <f aca="false">IFERROR(ABS(VALUE(TRIM(Raw_Data!H295))),"")</f>
        <v>1</v>
      </c>
      <c r="I295" s="20" t="n">
        <f aca="false">IFERROR(VALUE(TRIM(SUBSTITUTE(SUBSTITUTE(SUBSTITUTE(SUBSTITUTE(TRIM(Raw_Data!I295),"PKR",""),"Rs.",""),"Rs",""),",",""))),"")</f>
        <v>1150</v>
      </c>
      <c r="J295" s="21" t="n">
        <f aca="false">IFERROR(IF(TRIM(Raw_Data!J295)="",0,IF(VALUE(TRIM(Raw_Data!J295))&gt;1,VALUE(TRIM(Raw_Data!J295))/100,VALUE(TRIM(Raw_Data!J295)))),0)</f>
        <v>0.1</v>
      </c>
      <c r="K295" s="17" t="str">
        <f aca="false">IF(TRIM(Raw_Data!K295)="","Unassigned",PROPER(TRIM(Raw_Data!K295)))</f>
        <v>Sadia Noor</v>
      </c>
      <c r="L295" s="17" t="str">
        <f aca="false">IFERROR(INDEX({"Credit Card","Credit Card","Debit Card","Debit Card","Cash","PayPal"},MATCH(UPPER(LEFT(TRIM(Raw_Data!L295),2)),{"CR","CC","DE","DC","CA","PA"},0)),"Other")</f>
        <v>Cash</v>
      </c>
      <c r="M295" s="17" t="str">
        <f aca="false">IFERROR(INDEX({"Completed","Returned","Cancelled","Pending"},MATCH(UPPER(LEFT(TRIM(Raw_Data!M295),3)),{"COM","RET","CAN","PEN"},0)),"Unknown")</f>
        <v>Completed</v>
      </c>
      <c r="N295" s="20" t="n">
        <f aca="false">IF(OR(H295="",I295=""),"",H295*I295)</f>
        <v>1150</v>
      </c>
      <c r="O295" s="20" t="n">
        <f aca="false">IF(N295="","",N295*J295)</f>
        <v>115</v>
      </c>
      <c r="P295" s="20" t="n">
        <f aca="false">IF(N295="","",N295-O295)</f>
        <v>1035</v>
      </c>
      <c r="Q295" s="22" t="n">
        <f aca="false">IF(B295="","",DATE(YEAR(B295),MONTH(B295),1))</f>
        <v>45778</v>
      </c>
      <c r="R295" s="17" t="str">
        <f aca="false">IF(A295="","Invalid - Exclude",IF(COUNTIF($A$2:A295,A295)&gt;1,"Duplicate - Exclude",IF(OR(B295="",H295="",I295=""),"Invalid - Exclude","Valid")))</f>
        <v>Valid</v>
      </c>
      <c r="S295" s="17" t="str">
        <f aca="false">IF(R295="Valid","",IF(R295="Duplicate - Exclude","Repeat of an earlier Order ID",IF(B295="","Date missing or unreadable",IF(H295="","Quantity missing or unreadable",IF(I295="","Unit price missing or unreadable","Order ID missing")))))</f>
        <v/>
      </c>
    </row>
    <row r="296" customFormat="false" ht="15" hidden="false" customHeight="true" outlineLevel="0" collapsed="false">
      <c r="A296" s="9" t="str">
        <f aca="false">UPPER(TRIM(Raw_Data!A296))</f>
        <v>ORD-1279</v>
      </c>
      <c r="B296" s="10" t="n">
        <f aca="false">IFERROR(IF(ISNUMBER(Raw_Data!B296),Raw_Data!B296,IF(ISNUMBER(FIND("/",Raw_Data!B296)),DATE(VALUE(RIGHT(TRIM(Raw_Data!B296),4)),VALUE(MID(TRIM(Raw_Data!B296),4,2)),VALUE(LEFT(TRIM(Raw_Data!B296),2))),IF(MID(TRIM(Raw_Data!B296),5,1)="-",DATE(VALUE(LEFT(TRIM(Raw_Data!B296),4)),VALUE(MID(TRIM(Raw_Data!B296),6,2)),VALUE(RIGHT(TRIM(Raw_Data!B296),2))),DATE(VALUE(RIGHT(TRIM(Raw_Data!B296),4)),MATCH(MID(TRIM(Raw_Data!B296),4,3),{"Jan","Feb","Mar","Apr","May","Jun","Jul","Aug","Sep","Oct","Nov","Dec"},0),VALUE(LEFT(TRIM(Raw_Data!B296),2)))))),"")</f>
        <v>45829</v>
      </c>
      <c r="C296" s="9" t="str">
        <f aca="false">IF(TRIM(Raw_Data!C296)="","Unknown",PROPER(TRIM(Raw_Data!C296)))</f>
        <v>Hassan Siddiqui</v>
      </c>
      <c r="D296" s="9" t="str">
        <f aca="false">IFERROR(INDEX({"Punjab","Sindh","KPK","Balochistan"},MATCH(UPPER(LEFT(TRIM(Raw_Data!D296),1)),{"P","S","K","B"},0)),IFERROR(INDEX(Data_Dictionary!$G$4:$G$16,MATCH(E296,Data_Dictionary!$F$4:$F$16,0)),"Unassigned"))</f>
        <v>Sindh</v>
      </c>
      <c r="E296" s="9" t="str">
        <f aca="false">IF(TRIM(Raw_Data!E296)="","Unknown",PROPER(TRIM(Raw_Data!E296)))</f>
        <v>Karachi</v>
      </c>
      <c r="F296" s="9" t="str">
        <f aca="false">IFERROR(INDEX({"Electronics","Home &amp; Kitchen","Clothing","Groceries","Beauty"},MATCH(UPPER(LEFT(TRIM(Raw_Data!F296),3)),{"ELE","HOM","CLO","GRO","BEA"},0)),"Uncategorised")</f>
        <v>Home &amp; Kitchen</v>
      </c>
      <c r="G296" s="9" t="str">
        <f aca="false">IF(TRIM(Raw_Data!G296)="","Unknown",PROPER(TRIM(Raw_Data!G296)))</f>
        <v>Hand Blender</v>
      </c>
      <c r="H296" s="11" t="n">
        <f aca="false">IFERROR(ABS(VALUE(TRIM(Raw_Data!H296))),"")</f>
        <v>4</v>
      </c>
      <c r="I296" s="12" t="n">
        <f aca="false">IFERROR(VALUE(TRIM(SUBSTITUTE(SUBSTITUTE(SUBSTITUTE(SUBSTITUTE(TRIM(Raw_Data!I296),"PKR",""),"Rs.",""),"Rs",""),",",""))),"")</f>
        <v>3850</v>
      </c>
      <c r="J296" s="13" t="n">
        <f aca="false">IFERROR(IF(TRIM(Raw_Data!J296)="",0,IF(VALUE(TRIM(Raw_Data!J296))&gt;1,VALUE(TRIM(Raw_Data!J296))/100,VALUE(TRIM(Raw_Data!J296)))),0)</f>
        <v>0.05</v>
      </c>
      <c r="K296" s="9" t="str">
        <f aca="false">IF(TRIM(Raw_Data!K296)="","Unassigned",PROPER(TRIM(Raw_Data!K296)))</f>
        <v>Waqar Ahmed</v>
      </c>
      <c r="L296" s="9" t="str">
        <f aca="false">IFERROR(INDEX({"Credit Card","Credit Card","Debit Card","Debit Card","Cash","PayPal"},MATCH(UPPER(LEFT(TRIM(Raw_Data!L296),2)),{"CR","CC","DE","DC","CA","PA"},0)),"Other")</f>
        <v>Credit Card</v>
      </c>
      <c r="M296" s="9" t="str">
        <f aca="false">IFERROR(INDEX({"Completed","Returned","Cancelled","Pending"},MATCH(UPPER(LEFT(TRIM(Raw_Data!M296),3)),{"COM","RET","CAN","PEN"},0)),"Unknown")</f>
        <v>Returned</v>
      </c>
      <c r="N296" s="14" t="n">
        <f aca="false">IF(OR(H296="",I296=""),"",H296*I296)</f>
        <v>15400</v>
      </c>
      <c r="O296" s="14" t="n">
        <f aca="false">IF(N296="","",N296*J296)</f>
        <v>770</v>
      </c>
      <c r="P296" s="14" t="n">
        <f aca="false">IF(N296="","",N296-O296)</f>
        <v>14630</v>
      </c>
      <c r="Q296" s="15" t="n">
        <f aca="false">IF(B296="","",DATE(YEAR(B296),MONTH(B296),1))</f>
        <v>45809</v>
      </c>
      <c r="R296" s="16" t="str">
        <f aca="false">IF(A296="","Invalid - Exclude",IF(COUNTIF($A$2:A296,A296)&gt;1,"Duplicate - Exclude",IF(OR(B296="",H296="",I296=""),"Invalid - Exclude","Valid")))</f>
        <v>Valid</v>
      </c>
      <c r="S296" s="16" t="str">
        <f aca="false">IF(R296="Valid","",IF(R296="Duplicate - Exclude","Repeat of an earlier Order ID",IF(B296="","Date missing or unreadable",IF(H296="","Quantity missing or unreadable",IF(I296="","Unit price missing or unreadable","Order ID missing")))))</f>
        <v/>
      </c>
    </row>
    <row r="297" customFormat="false" ht="15" hidden="false" customHeight="true" outlineLevel="0" collapsed="false">
      <c r="A297" s="17" t="str">
        <f aca="false">UPPER(TRIM(Raw_Data!A297))</f>
        <v>ORD-1280</v>
      </c>
      <c r="B297" s="18" t="n">
        <f aca="false">IFERROR(IF(ISNUMBER(Raw_Data!B297),Raw_Data!B297,IF(ISNUMBER(FIND("/",Raw_Data!B297)),DATE(VALUE(RIGHT(TRIM(Raw_Data!B297),4)),VALUE(MID(TRIM(Raw_Data!B297),4,2)),VALUE(LEFT(TRIM(Raw_Data!B297),2))),IF(MID(TRIM(Raw_Data!B297),5,1)="-",DATE(VALUE(LEFT(TRIM(Raw_Data!B297),4)),VALUE(MID(TRIM(Raw_Data!B297),6,2)),VALUE(RIGHT(TRIM(Raw_Data!B297),2))),DATE(VALUE(RIGHT(TRIM(Raw_Data!B297),4)),MATCH(MID(TRIM(Raw_Data!B297),4,3),{"Jan","Feb","Mar","Apr","May","Jun","Jul","Aug","Sep","Oct","Nov","Dec"},0),VALUE(LEFT(TRIM(Raw_Data!B297),2)))))),"")</f>
        <v>45841</v>
      </c>
      <c r="C297" s="17" t="str">
        <f aca="false">IF(TRIM(Raw_Data!C297)="","Unknown",PROPER(TRIM(Raw_Data!C297)))</f>
        <v>Kashif Ansari</v>
      </c>
      <c r="D297" s="17" t="str">
        <f aca="false">IFERROR(INDEX({"Punjab","Sindh","KPK","Balochistan"},MATCH(UPPER(LEFT(TRIM(Raw_Data!D297),1)),{"P","S","K","B"},0)),IFERROR(INDEX(Data_Dictionary!$G$4:$G$16,MATCH(E297,Data_Dictionary!$F$4:$F$16,0)),"Unassigned"))</f>
        <v>Punjab</v>
      </c>
      <c r="E297" s="17" t="str">
        <f aca="false">IF(TRIM(Raw_Data!E297)="","Unknown",PROPER(TRIM(Raw_Data!E297)))</f>
        <v>Lahore</v>
      </c>
      <c r="F297" s="17" t="str">
        <f aca="false">IFERROR(INDEX({"Electronics","Home &amp; Kitchen","Clothing","Groceries","Beauty"},MATCH(UPPER(LEFT(TRIM(Raw_Data!F297),3)),{"ELE","HOM","CLO","GRO","BEA"},0)),"Uncategorised")</f>
        <v>Clothing</v>
      </c>
      <c r="G297" s="17" t="str">
        <f aca="false">IF(TRIM(Raw_Data!G297)="","Unknown",PROPER(TRIM(Raw_Data!G297)))</f>
        <v>Running Shoes</v>
      </c>
      <c r="H297" s="19" t="n">
        <f aca="false">IFERROR(ABS(VALUE(TRIM(Raw_Data!H297))),"")</f>
        <v>1</v>
      </c>
      <c r="I297" s="20" t="n">
        <f aca="false">IFERROR(VALUE(TRIM(SUBSTITUTE(SUBSTITUTE(SUBSTITUTE(SUBSTITUTE(TRIM(Raw_Data!I297),"PKR",""),"Rs.",""),"Rs",""),",",""))),"")</f>
        <v>8050</v>
      </c>
      <c r="J297" s="21" t="n">
        <f aca="false">IFERROR(IF(TRIM(Raw_Data!J297)="",0,IF(VALUE(TRIM(Raw_Data!J297))&gt;1,VALUE(TRIM(Raw_Data!J297))/100,VALUE(TRIM(Raw_Data!J297)))),0)</f>
        <v>0.1</v>
      </c>
      <c r="K297" s="17" t="str">
        <f aca="false">IF(TRIM(Raw_Data!K297)="","Unassigned",PROPER(TRIM(Raw_Data!K297)))</f>
        <v>Zoya Tariq</v>
      </c>
      <c r="L297" s="17" t="str">
        <f aca="false">IFERROR(INDEX({"Credit Card","Credit Card","Debit Card","Debit Card","Cash","PayPal"},MATCH(UPPER(LEFT(TRIM(Raw_Data!L297),2)),{"CR","CC","DE","DC","CA","PA"},0)),"Other")</f>
        <v>Credit Card</v>
      </c>
      <c r="M297" s="17" t="str">
        <f aca="false">IFERROR(INDEX({"Completed","Returned","Cancelled","Pending"},MATCH(UPPER(LEFT(TRIM(Raw_Data!M297),3)),{"COM","RET","CAN","PEN"},0)),"Unknown")</f>
        <v>Completed</v>
      </c>
      <c r="N297" s="20" t="n">
        <f aca="false">IF(OR(H297="",I297=""),"",H297*I297)</f>
        <v>8050</v>
      </c>
      <c r="O297" s="20" t="n">
        <f aca="false">IF(N297="","",N297*J297)</f>
        <v>805</v>
      </c>
      <c r="P297" s="20" t="n">
        <f aca="false">IF(N297="","",N297-O297)</f>
        <v>7245</v>
      </c>
      <c r="Q297" s="22" t="n">
        <f aca="false">IF(B297="","",DATE(YEAR(B297),MONTH(B297),1))</f>
        <v>45839</v>
      </c>
      <c r="R297" s="17" t="str">
        <f aca="false">IF(A297="","Invalid - Exclude",IF(COUNTIF($A$2:A297,A297)&gt;1,"Duplicate - Exclude",IF(OR(B297="",H297="",I297=""),"Invalid - Exclude","Valid")))</f>
        <v>Valid</v>
      </c>
      <c r="S297" s="17" t="str">
        <f aca="false">IF(R297="Valid","",IF(R297="Duplicate - Exclude","Repeat of an earlier Order ID",IF(B297="","Date missing or unreadable",IF(H297="","Quantity missing or unreadable",IF(I297="","Unit price missing or unreadable","Order ID missing")))))</f>
        <v/>
      </c>
    </row>
    <row r="298" customFormat="false" ht="15" hidden="false" customHeight="true" outlineLevel="0" collapsed="false">
      <c r="A298" s="9" t="str">
        <f aca="false">UPPER(TRIM(Raw_Data!A298))</f>
        <v>ORD-1281</v>
      </c>
      <c r="B298" s="10" t="n">
        <f aca="false">IFERROR(IF(ISNUMBER(Raw_Data!B298),Raw_Data!B298,IF(ISNUMBER(FIND("/",Raw_Data!B298)),DATE(VALUE(RIGHT(TRIM(Raw_Data!B298),4)),VALUE(MID(TRIM(Raw_Data!B298),4,2)),VALUE(LEFT(TRIM(Raw_Data!B298),2))),IF(MID(TRIM(Raw_Data!B298),5,1)="-",DATE(VALUE(LEFT(TRIM(Raw_Data!B298),4)),VALUE(MID(TRIM(Raw_Data!B298),6,2)),VALUE(RIGHT(TRIM(Raw_Data!B298),2))),DATE(VALUE(RIGHT(TRIM(Raw_Data!B298),4)),MATCH(MID(TRIM(Raw_Data!B298),4,3),{"Jan","Feb","Mar","Apr","May","Jun","Jul","Aug","Sep","Oct","Nov","Dec"},0),VALUE(LEFT(TRIM(Raw_Data!B298),2)))))),"")</f>
        <v>45904</v>
      </c>
      <c r="C298" s="9" t="str">
        <f aca="false">IF(TRIM(Raw_Data!C298)="","Unknown",PROPER(TRIM(Raw_Data!C298)))</f>
        <v>Ahmed Qureshi</v>
      </c>
      <c r="D298" s="9" t="str">
        <f aca="false">IFERROR(INDEX({"Punjab","Sindh","KPK","Balochistan"},MATCH(UPPER(LEFT(TRIM(Raw_Data!D298),1)),{"P","S","K","B"},0)),IFERROR(INDEX(Data_Dictionary!$G$4:$G$16,MATCH(E298,Data_Dictionary!$F$4:$F$16,0)),"Unassigned"))</f>
        <v>KPK</v>
      </c>
      <c r="E298" s="9" t="str">
        <f aca="false">IF(TRIM(Raw_Data!E298)="","Unknown",PROPER(TRIM(Raw_Data!E298)))</f>
        <v>Peshawar</v>
      </c>
      <c r="F298" s="9" t="str">
        <f aca="false">IFERROR(INDEX({"Electronics","Home &amp; Kitchen","Clothing","Groceries","Beauty"},MATCH(UPPER(LEFT(TRIM(Raw_Data!F298),3)),{"ELE","HOM","CLO","GRO","BEA"},0)),"Uncategorised")</f>
        <v>Clothing</v>
      </c>
      <c r="G298" s="9" t="str">
        <f aca="false">IF(TRIM(Raw_Data!G298)="","Unknown",PROPER(TRIM(Raw_Data!G298)))</f>
        <v>Winter Jacket</v>
      </c>
      <c r="H298" s="11" t="n">
        <f aca="false">IFERROR(ABS(VALUE(TRIM(Raw_Data!H298))),"")</f>
        <v>2</v>
      </c>
      <c r="I298" s="12" t="n">
        <f aca="false">IFERROR(VALUE(TRIM(SUBSTITUTE(SUBSTITUTE(SUBSTITUTE(SUBSTITUTE(TRIM(Raw_Data!I298),"PKR",""),"Rs.",""),"Rs",""),",",""))),"")</f>
        <v>10150</v>
      </c>
      <c r="J298" s="13" t="n">
        <f aca="false">IFERROR(IF(TRIM(Raw_Data!J298)="",0,IF(VALUE(TRIM(Raw_Data!J298))&gt;1,VALUE(TRIM(Raw_Data!J298))/100,VALUE(TRIM(Raw_Data!J298)))),0)</f>
        <v>0.1</v>
      </c>
      <c r="K298" s="9" t="str">
        <f aca="false">IF(TRIM(Raw_Data!K298)="","Unassigned",PROPER(TRIM(Raw_Data!K298)))</f>
        <v>Nimra Aslam</v>
      </c>
      <c r="L298" s="9" t="str">
        <f aca="false">IFERROR(INDEX({"Credit Card","Credit Card","Debit Card","Debit Card","Cash","PayPal"},MATCH(UPPER(LEFT(TRIM(Raw_Data!L298),2)),{"CR","CC","DE","DC","CA","PA"},0)),"Other")</f>
        <v>Credit Card</v>
      </c>
      <c r="M298" s="9" t="str">
        <f aca="false">IFERROR(INDEX({"Completed","Returned","Cancelled","Pending"},MATCH(UPPER(LEFT(TRIM(Raw_Data!M298),3)),{"COM","RET","CAN","PEN"},0)),"Unknown")</f>
        <v>Completed</v>
      </c>
      <c r="N298" s="14" t="n">
        <f aca="false">IF(OR(H298="",I298=""),"",H298*I298)</f>
        <v>20300</v>
      </c>
      <c r="O298" s="14" t="n">
        <f aca="false">IF(N298="","",N298*J298)</f>
        <v>2030</v>
      </c>
      <c r="P298" s="14" t="n">
        <f aca="false">IF(N298="","",N298-O298)</f>
        <v>18270</v>
      </c>
      <c r="Q298" s="15" t="n">
        <f aca="false">IF(B298="","",DATE(YEAR(B298),MONTH(B298),1))</f>
        <v>45901</v>
      </c>
      <c r="R298" s="16" t="str">
        <f aca="false">IF(A298="","Invalid - Exclude",IF(COUNTIF($A$2:A298,A298)&gt;1,"Duplicate - Exclude",IF(OR(B298="",H298="",I298=""),"Invalid - Exclude","Valid")))</f>
        <v>Valid</v>
      </c>
      <c r="S298" s="16" t="str">
        <f aca="false">IF(R298="Valid","",IF(R298="Duplicate - Exclude","Repeat of an earlier Order ID",IF(B298="","Date missing or unreadable",IF(H298="","Quantity missing or unreadable",IF(I298="","Unit price missing or unreadable","Order ID missing")))))</f>
        <v/>
      </c>
    </row>
    <row r="299" customFormat="false" ht="15" hidden="false" customHeight="true" outlineLevel="0" collapsed="false">
      <c r="A299" s="17" t="str">
        <f aca="false">UPPER(TRIM(Raw_Data!A299))</f>
        <v>ORD-1282</v>
      </c>
      <c r="B299" s="18" t="n">
        <f aca="false">IFERROR(IF(ISNUMBER(Raw_Data!B299),Raw_Data!B299,IF(ISNUMBER(FIND("/",Raw_Data!B299)),DATE(VALUE(RIGHT(TRIM(Raw_Data!B299),4)),VALUE(MID(TRIM(Raw_Data!B299),4,2)),VALUE(LEFT(TRIM(Raw_Data!B299),2))),IF(MID(TRIM(Raw_Data!B299),5,1)="-",DATE(VALUE(LEFT(TRIM(Raw_Data!B299),4)),VALUE(MID(TRIM(Raw_Data!B299),6,2)),VALUE(RIGHT(TRIM(Raw_Data!B299),2))),DATE(VALUE(RIGHT(TRIM(Raw_Data!B299),4)),MATCH(MID(TRIM(Raw_Data!B299),4,3),{"Jan","Feb","Mar","Apr","May","Jun","Jul","Aug","Sep","Oct","Nov","Dec"},0),VALUE(LEFT(TRIM(Raw_Data!B299),2)))))),"")</f>
        <v>45739</v>
      </c>
      <c r="C299" s="17" t="str">
        <f aca="false">IF(TRIM(Raw_Data!C299)="","Unknown",PROPER(TRIM(Raw_Data!C299)))</f>
        <v>Hassan Iqbal</v>
      </c>
      <c r="D299" s="17" t="str">
        <f aca="false">IFERROR(INDEX({"Punjab","Sindh","KPK","Balochistan"},MATCH(UPPER(LEFT(TRIM(Raw_Data!D299),1)),{"P","S","K","B"},0)),IFERROR(INDEX(Data_Dictionary!$G$4:$G$16,MATCH(E299,Data_Dictionary!$F$4:$F$16,0)),"Unassigned"))</f>
        <v>Punjab</v>
      </c>
      <c r="E299" s="17" t="str">
        <f aca="false">IF(TRIM(Raw_Data!E299)="","Unknown",PROPER(TRIM(Raw_Data!E299)))</f>
        <v>Rawalpindi</v>
      </c>
      <c r="F299" s="17" t="str">
        <f aca="false">IFERROR(INDEX({"Electronics","Home &amp; Kitchen","Clothing","Groceries","Beauty"},MATCH(UPPER(LEFT(TRIM(Raw_Data!F299),3)),{"ELE","HOM","CLO","GRO","BEA"},0)),"Uncategorised")</f>
        <v>Beauty</v>
      </c>
      <c r="G299" s="17" t="str">
        <f aca="false">IF(TRIM(Raw_Data!G299)="","Unknown",PROPER(TRIM(Raw_Data!G299)))</f>
        <v>Perfume Spray</v>
      </c>
      <c r="H299" s="19" t="n">
        <f aca="false">IFERROR(ABS(VALUE(TRIM(Raw_Data!H299))),"")</f>
        <v>1</v>
      </c>
      <c r="I299" s="20" t="n">
        <f aca="false">IFERROR(VALUE(TRIM(SUBSTITUTE(SUBSTITUTE(SUBSTITUTE(SUBSTITUTE(TRIM(Raw_Data!I299),"PKR",""),"Rs.",""),"Rs",""),",",""))),"")</f>
        <v>4000</v>
      </c>
      <c r="J299" s="21" t="n">
        <f aca="false">IFERROR(IF(TRIM(Raw_Data!J299)="",0,IF(VALUE(TRIM(Raw_Data!J299))&gt;1,VALUE(TRIM(Raw_Data!J299))/100,VALUE(TRIM(Raw_Data!J299)))),0)</f>
        <v>0.2</v>
      </c>
      <c r="K299" s="17" t="str">
        <f aca="false">IF(TRIM(Raw_Data!K299)="","Unassigned",PROPER(TRIM(Raw_Data!K299)))</f>
        <v>Faisal Mehmood</v>
      </c>
      <c r="L299" s="17" t="str">
        <f aca="false">IFERROR(INDEX({"Credit Card","Credit Card","Debit Card","Debit Card","Cash","PayPal"},MATCH(UPPER(LEFT(TRIM(Raw_Data!L299),2)),{"CR","CC","DE","DC","CA","PA"},0)),"Other")</f>
        <v>PayPal</v>
      </c>
      <c r="M299" s="17" t="str">
        <f aca="false">IFERROR(INDEX({"Completed","Returned","Cancelled","Pending"},MATCH(UPPER(LEFT(TRIM(Raw_Data!M299),3)),{"COM","RET","CAN","PEN"},0)),"Unknown")</f>
        <v>Completed</v>
      </c>
      <c r="N299" s="20" t="n">
        <f aca="false">IF(OR(H299="",I299=""),"",H299*I299)</f>
        <v>4000</v>
      </c>
      <c r="O299" s="20" t="n">
        <f aca="false">IF(N299="","",N299*J299)</f>
        <v>800</v>
      </c>
      <c r="P299" s="20" t="n">
        <f aca="false">IF(N299="","",N299-O299)</f>
        <v>3200</v>
      </c>
      <c r="Q299" s="22" t="n">
        <f aca="false">IF(B299="","",DATE(YEAR(B299),MONTH(B299),1))</f>
        <v>45717</v>
      </c>
      <c r="R299" s="17" t="str">
        <f aca="false">IF(A299="","Invalid - Exclude",IF(COUNTIF($A$2:A299,A299)&gt;1,"Duplicate - Exclude",IF(OR(B299="",H299="",I299=""),"Invalid - Exclude","Valid")))</f>
        <v>Valid</v>
      </c>
      <c r="S299" s="17" t="str">
        <f aca="false">IF(R299="Valid","",IF(R299="Duplicate - Exclude","Repeat of an earlier Order ID",IF(B299="","Date missing or unreadable",IF(H299="","Quantity missing or unreadable",IF(I299="","Unit price missing or unreadable","Order ID missing")))))</f>
        <v/>
      </c>
    </row>
    <row r="300" customFormat="false" ht="15" hidden="false" customHeight="true" outlineLevel="0" collapsed="false">
      <c r="A300" s="9" t="str">
        <f aca="false">UPPER(TRIM(Raw_Data!A300))</f>
        <v>ORD-1283</v>
      </c>
      <c r="B300" s="10" t="n">
        <f aca="false">IFERROR(IF(ISNUMBER(Raw_Data!B300),Raw_Data!B300,IF(ISNUMBER(FIND("/",Raw_Data!B300)),DATE(VALUE(RIGHT(TRIM(Raw_Data!B300),4)),VALUE(MID(TRIM(Raw_Data!B300),4,2)),VALUE(LEFT(TRIM(Raw_Data!B300),2))),IF(MID(TRIM(Raw_Data!B300),5,1)="-",DATE(VALUE(LEFT(TRIM(Raw_Data!B300),4)),VALUE(MID(TRIM(Raw_Data!B300),6,2)),VALUE(RIGHT(TRIM(Raw_Data!B300),2))),DATE(VALUE(RIGHT(TRIM(Raw_Data!B300),4)),MATCH(MID(TRIM(Raw_Data!B300),4,3),{"Jan","Feb","Mar","Apr","May","Jun","Jul","Aug","Sep","Oct","Nov","Dec"},0),VALUE(LEFT(TRIM(Raw_Data!B300),2)))))),"")</f>
        <v>45726</v>
      </c>
      <c r="C300" s="9" t="str">
        <f aca="false">IF(TRIM(Raw_Data!C300)="","Unknown",PROPER(TRIM(Raw_Data!C300)))</f>
        <v>Fatima Khan</v>
      </c>
      <c r="D300" s="9" t="str">
        <f aca="false">IFERROR(INDEX({"Punjab","Sindh","KPK","Balochistan"},MATCH(UPPER(LEFT(TRIM(Raw_Data!D300),1)),{"P","S","K","B"},0)),IFERROR(INDEX(Data_Dictionary!$G$4:$G$16,MATCH(E300,Data_Dictionary!$F$4:$F$16,0)),"Unassigned"))</f>
        <v>Sindh</v>
      </c>
      <c r="E300" s="9" t="str">
        <f aca="false">IF(TRIM(Raw_Data!E300)="","Unknown",PROPER(TRIM(Raw_Data!E300)))</f>
        <v>Karachi</v>
      </c>
      <c r="F300" s="9" t="str">
        <f aca="false">IFERROR(INDEX({"Electronics","Home &amp; Kitchen","Clothing","Groceries","Beauty"},MATCH(UPPER(LEFT(TRIM(Raw_Data!F300),3)),{"ELE","HOM","CLO","GRO","BEA"},0)),"Uncategorised")</f>
        <v>Groceries</v>
      </c>
      <c r="G300" s="9" t="str">
        <f aca="false">IF(TRIM(Raw_Data!G300)="","Unknown",PROPER(TRIM(Raw_Data!G300)))</f>
        <v>Basmati Rice 5 Kg</v>
      </c>
      <c r="H300" s="11" t="n">
        <f aca="false">IFERROR(ABS(VALUE(TRIM(Raw_Data!H300))),"")</f>
        <v>3</v>
      </c>
      <c r="I300" s="12" t="n">
        <f aca="false">IFERROR(VALUE(TRIM(SUBSTITUTE(SUBSTITUTE(SUBSTITUTE(SUBSTITUTE(TRIM(Raw_Data!I300),"PKR",""),"Rs.",""),"Rs",""),",",""))),"")</f>
        <v>2700</v>
      </c>
      <c r="J300" s="13" t="n">
        <f aca="false">IFERROR(IF(TRIM(Raw_Data!J300)="",0,IF(VALUE(TRIM(Raw_Data!J300))&gt;1,VALUE(TRIM(Raw_Data!J300))/100,VALUE(TRIM(Raw_Data!J300)))),0)</f>
        <v>0.2</v>
      </c>
      <c r="K300" s="9" t="str">
        <f aca="false">IF(TRIM(Raw_Data!K300)="","Unassigned",PROPER(TRIM(Raw_Data!K300)))</f>
        <v>Faisal Mehmood</v>
      </c>
      <c r="L300" s="9" t="str">
        <f aca="false">IFERROR(INDEX({"Credit Card","Credit Card","Debit Card","Debit Card","Cash","PayPal"},MATCH(UPPER(LEFT(TRIM(Raw_Data!L300),2)),{"CR","CC","DE","DC","CA","PA"},0)),"Other")</f>
        <v>Credit Card</v>
      </c>
      <c r="M300" s="9" t="str">
        <f aca="false">IFERROR(INDEX({"Completed","Returned","Cancelled","Pending"},MATCH(UPPER(LEFT(TRIM(Raw_Data!M300),3)),{"COM","RET","CAN","PEN"},0)),"Unknown")</f>
        <v>Completed</v>
      </c>
      <c r="N300" s="14" t="n">
        <f aca="false">IF(OR(H300="",I300=""),"",H300*I300)</f>
        <v>8100</v>
      </c>
      <c r="O300" s="14" t="n">
        <f aca="false">IF(N300="","",N300*J300)</f>
        <v>1620</v>
      </c>
      <c r="P300" s="14" t="n">
        <f aca="false">IF(N300="","",N300-O300)</f>
        <v>6480</v>
      </c>
      <c r="Q300" s="15" t="n">
        <f aca="false">IF(B300="","",DATE(YEAR(B300),MONTH(B300),1))</f>
        <v>45717</v>
      </c>
      <c r="R300" s="16" t="str">
        <f aca="false">IF(A300="","Invalid - Exclude",IF(COUNTIF($A$2:A300,A300)&gt;1,"Duplicate - Exclude",IF(OR(B300="",H300="",I300=""),"Invalid - Exclude","Valid")))</f>
        <v>Valid</v>
      </c>
      <c r="S300" s="16" t="str">
        <f aca="false">IF(R300="Valid","",IF(R300="Duplicate - Exclude","Repeat of an earlier Order ID",IF(B300="","Date missing or unreadable",IF(H300="","Quantity missing or unreadable",IF(I300="","Unit price missing or unreadable","Order ID missing")))))</f>
        <v/>
      </c>
    </row>
    <row r="301" customFormat="false" ht="15" hidden="false" customHeight="true" outlineLevel="0" collapsed="false">
      <c r="A301" s="17" t="str">
        <f aca="false">UPPER(TRIM(Raw_Data!A301))</f>
        <v>ORD-1284</v>
      </c>
      <c r="B301" s="18" t="n">
        <f aca="false">IFERROR(IF(ISNUMBER(Raw_Data!B301),Raw_Data!B301,IF(ISNUMBER(FIND("/",Raw_Data!B301)),DATE(VALUE(RIGHT(TRIM(Raw_Data!B301),4)),VALUE(MID(TRIM(Raw_Data!B301),4,2)),VALUE(LEFT(TRIM(Raw_Data!B301),2))),IF(MID(TRIM(Raw_Data!B301),5,1)="-",DATE(VALUE(LEFT(TRIM(Raw_Data!B301),4)),VALUE(MID(TRIM(Raw_Data!B301),6,2)),VALUE(RIGHT(TRIM(Raw_Data!B301),2))),DATE(VALUE(RIGHT(TRIM(Raw_Data!B301),4)),MATCH(MID(TRIM(Raw_Data!B301),4,3),{"Jan","Feb","Mar","Apr","May","Jun","Jul","Aug","Sep","Oct","Nov","Dec"},0),VALUE(LEFT(TRIM(Raw_Data!B301),2)))))),"")</f>
        <v>46001</v>
      </c>
      <c r="C301" s="17" t="str">
        <f aca="false">IF(TRIM(Raw_Data!C301)="","Unknown",PROPER(TRIM(Raw_Data!C301)))</f>
        <v>Usman Hussain</v>
      </c>
      <c r="D301" s="17" t="str">
        <f aca="false">IFERROR(INDEX({"Punjab","Sindh","KPK","Balochistan"},MATCH(UPPER(LEFT(TRIM(Raw_Data!D301),1)),{"P","S","K","B"},0)),IFERROR(INDEX(Data_Dictionary!$G$4:$G$16,MATCH(E301,Data_Dictionary!$F$4:$F$16,0)),"Unassigned"))</f>
        <v>Punjab</v>
      </c>
      <c r="E301" s="17" t="str">
        <f aca="false">IF(TRIM(Raw_Data!E301)="","Unknown",PROPER(TRIM(Raw_Data!E301)))</f>
        <v>Lahore</v>
      </c>
      <c r="F301" s="17" t="str">
        <f aca="false">IFERROR(INDEX({"Electronics","Home &amp; Kitchen","Clothing","Groceries","Beauty"},MATCH(UPPER(LEFT(TRIM(Raw_Data!F301),3)),{"ELE","HOM","CLO","GRO","BEA"},0)),"Uncategorised")</f>
        <v>Electronics</v>
      </c>
      <c r="G301" s="17" t="str">
        <f aca="false">IF(TRIM(Raw_Data!G301)="","Unknown",PROPER(TRIM(Raw_Data!G301)))</f>
        <v>Smart Television 43 Inch</v>
      </c>
      <c r="H301" s="19" t="n">
        <f aca="false">IFERROR(ABS(VALUE(TRIM(Raw_Data!H301))),"")</f>
        <v>4</v>
      </c>
      <c r="I301" s="20" t="n">
        <f aca="false">IFERROR(VALUE(TRIM(SUBSTITUTE(SUBSTITUTE(SUBSTITUTE(SUBSTITUTE(TRIM(Raw_Data!I301),"PKR",""),"Rs.",""),"Rs",""),",",""))),"")</f>
        <v>53000</v>
      </c>
      <c r="J301" s="21" t="n">
        <f aca="false">IFERROR(IF(TRIM(Raw_Data!J301)="",0,IF(VALUE(TRIM(Raw_Data!J301))&gt;1,VALUE(TRIM(Raw_Data!J301))/100,VALUE(TRIM(Raw_Data!J301)))),0)</f>
        <v>0.05</v>
      </c>
      <c r="K301" s="17" t="str">
        <f aca="false">IF(TRIM(Raw_Data!K301)="","Unassigned",PROPER(TRIM(Raw_Data!K301)))</f>
        <v>Sadia Noor</v>
      </c>
      <c r="L301" s="17" t="str">
        <f aca="false">IFERROR(INDEX({"Credit Card","Credit Card","Debit Card","Debit Card","Cash","PayPal"},MATCH(UPPER(LEFT(TRIM(Raw_Data!L301),2)),{"CR","CC","DE","DC","CA","PA"},0)),"Other")</f>
        <v>Credit Card</v>
      </c>
      <c r="M301" s="17" t="str">
        <f aca="false">IFERROR(INDEX({"Completed","Returned","Cancelled","Pending"},MATCH(UPPER(LEFT(TRIM(Raw_Data!M301),3)),{"COM","RET","CAN","PEN"},0)),"Unknown")</f>
        <v>Cancelled</v>
      </c>
      <c r="N301" s="20" t="n">
        <f aca="false">IF(OR(H301="",I301=""),"",H301*I301)</f>
        <v>212000</v>
      </c>
      <c r="O301" s="20" t="n">
        <f aca="false">IF(N301="","",N301*J301)</f>
        <v>10600</v>
      </c>
      <c r="P301" s="20" t="n">
        <f aca="false">IF(N301="","",N301-O301)</f>
        <v>201400</v>
      </c>
      <c r="Q301" s="22" t="n">
        <f aca="false">IF(B301="","",DATE(YEAR(B301),MONTH(B301),1))</f>
        <v>45992</v>
      </c>
      <c r="R301" s="17" t="str">
        <f aca="false">IF(A301="","Invalid - Exclude",IF(COUNTIF($A$2:A301,A301)&gt;1,"Duplicate - Exclude",IF(OR(B301="",H301="",I301=""),"Invalid - Exclude","Valid")))</f>
        <v>Valid</v>
      </c>
      <c r="S301" s="17" t="str">
        <f aca="false">IF(R301="Valid","",IF(R301="Duplicate - Exclude","Repeat of an earlier Order ID",IF(B301="","Date missing or unreadable",IF(H301="","Quantity missing or unreadable",IF(I301="","Unit price missing or unreadable","Order ID missing")))))</f>
        <v/>
      </c>
    </row>
    <row r="302" customFormat="false" ht="15" hidden="false" customHeight="true" outlineLevel="0" collapsed="false">
      <c r="A302" s="9" t="str">
        <f aca="false">UPPER(TRIM(Raw_Data!A302))</f>
        <v>ORD-1285</v>
      </c>
      <c r="B302" s="10" t="n">
        <f aca="false">IFERROR(IF(ISNUMBER(Raw_Data!B302),Raw_Data!B302,IF(ISNUMBER(FIND("/",Raw_Data!B302)),DATE(VALUE(RIGHT(TRIM(Raw_Data!B302),4)),VALUE(MID(TRIM(Raw_Data!B302),4,2)),VALUE(LEFT(TRIM(Raw_Data!B302),2))),IF(MID(TRIM(Raw_Data!B302),5,1)="-",DATE(VALUE(LEFT(TRIM(Raw_Data!B302),4)),VALUE(MID(TRIM(Raw_Data!B302),6,2)),VALUE(RIGHT(TRIM(Raw_Data!B302),2))),DATE(VALUE(RIGHT(TRIM(Raw_Data!B302),4)),MATCH(MID(TRIM(Raw_Data!B302),4,3),{"Jan","Feb","Mar","Apr","May","Jun","Jul","Aug","Sep","Oct","Nov","Dec"},0),VALUE(LEFT(TRIM(Raw_Data!B302),2)))))),"")</f>
        <v>45949</v>
      </c>
      <c r="C302" s="9" t="str">
        <f aca="false">IF(TRIM(Raw_Data!C302)="","Unknown",PROPER(TRIM(Raw_Data!C302)))</f>
        <v>Saad Siddiqui</v>
      </c>
      <c r="D302" s="9" t="str">
        <f aca="false">IFERROR(INDEX({"Punjab","Sindh","KPK","Balochistan"},MATCH(UPPER(LEFT(TRIM(Raw_Data!D302),1)),{"P","S","K","B"},0)),IFERROR(INDEX(Data_Dictionary!$G$4:$G$16,MATCH(E302,Data_Dictionary!$F$4:$F$16,0)),"Unassigned"))</f>
        <v>Punjab</v>
      </c>
      <c r="E302" s="9" t="str">
        <f aca="false">IF(TRIM(Raw_Data!E302)="","Unknown",PROPER(TRIM(Raw_Data!E302)))</f>
        <v>Rawalpindi</v>
      </c>
      <c r="F302" s="9" t="str">
        <f aca="false">IFERROR(INDEX({"Electronics","Home &amp; Kitchen","Clothing","Groceries","Beauty"},MATCH(UPPER(LEFT(TRIM(Raw_Data!F302),3)),{"ELE","HOM","CLO","GRO","BEA"},0)),"Uncategorised")</f>
        <v>Clothing</v>
      </c>
      <c r="G302" s="9" t="str">
        <f aca="false">IF(TRIM(Raw_Data!G302)="","Unknown",PROPER(TRIM(Raw_Data!G302)))</f>
        <v>Lawn Suit 3 Piece</v>
      </c>
      <c r="H302" s="11" t="n">
        <f aca="false">IFERROR(ABS(VALUE(TRIM(Raw_Data!H302))),"")</f>
        <v>6</v>
      </c>
      <c r="I302" s="12" t="n">
        <f aca="false">IFERROR(VALUE(TRIM(SUBSTITUTE(SUBSTITUTE(SUBSTITUTE(SUBSTITUTE(TRIM(Raw_Data!I302),"PKR",""),"Rs.",""),"Rs",""),",",""))),"")</f>
        <v>7150</v>
      </c>
      <c r="J302" s="13" t="n">
        <f aca="false">IFERROR(IF(TRIM(Raw_Data!J302)="",0,IF(VALUE(TRIM(Raw_Data!J302))&gt;1,VALUE(TRIM(Raw_Data!J302))/100,VALUE(TRIM(Raw_Data!J302)))),0)</f>
        <v>0.2</v>
      </c>
      <c r="K302" s="9" t="str">
        <f aca="false">IF(TRIM(Raw_Data!K302)="","Unassigned",PROPER(TRIM(Raw_Data!K302)))</f>
        <v>Faisal Mehmood</v>
      </c>
      <c r="L302" s="9" t="str">
        <f aca="false">IFERROR(INDEX({"Credit Card","Credit Card","Debit Card","Debit Card","Cash","PayPal"},MATCH(UPPER(LEFT(TRIM(Raw_Data!L302),2)),{"CR","CC","DE","DC","CA","PA"},0)),"Other")</f>
        <v>Debit Card</v>
      </c>
      <c r="M302" s="9" t="str">
        <f aca="false">IFERROR(INDEX({"Completed","Returned","Cancelled","Pending"},MATCH(UPPER(LEFT(TRIM(Raw_Data!M302),3)),{"COM","RET","CAN","PEN"},0)),"Unknown")</f>
        <v>Completed</v>
      </c>
      <c r="N302" s="14" t="n">
        <f aca="false">IF(OR(H302="",I302=""),"",H302*I302)</f>
        <v>42900</v>
      </c>
      <c r="O302" s="14" t="n">
        <f aca="false">IF(N302="","",N302*J302)</f>
        <v>8580</v>
      </c>
      <c r="P302" s="14" t="n">
        <f aca="false">IF(N302="","",N302-O302)</f>
        <v>34320</v>
      </c>
      <c r="Q302" s="15" t="n">
        <f aca="false">IF(B302="","",DATE(YEAR(B302),MONTH(B302),1))</f>
        <v>45931</v>
      </c>
      <c r="R302" s="16" t="str">
        <f aca="false">IF(A302="","Invalid - Exclude",IF(COUNTIF($A$2:A302,A302)&gt;1,"Duplicate - Exclude",IF(OR(B302="",H302="",I302=""),"Invalid - Exclude","Valid")))</f>
        <v>Valid</v>
      </c>
      <c r="S302" s="16" t="str">
        <f aca="false">IF(R302="Valid","",IF(R302="Duplicate - Exclude","Repeat of an earlier Order ID",IF(B302="","Date missing or unreadable",IF(H302="","Quantity missing or unreadable",IF(I302="","Unit price missing or unreadable","Order ID missing")))))</f>
        <v/>
      </c>
    </row>
    <row r="303" customFormat="false" ht="15" hidden="false" customHeight="true" outlineLevel="0" collapsed="false">
      <c r="A303" s="17" t="str">
        <f aca="false">UPPER(TRIM(Raw_Data!A303))</f>
        <v>ORD-1286</v>
      </c>
      <c r="B303" s="18" t="n">
        <f aca="false">IFERROR(IF(ISNUMBER(Raw_Data!B303),Raw_Data!B303,IF(ISNUMBER(FIND("/",Raw_Data!B303)),DATE(VALUE(RIGHT(TRIM(Raw_Data!B303),4)),VALUE(MID(TRIM(Raw_Data!B303),4,2)),VALUE(LEFT(TRIM(Raw_Data!B303),2))),IF(MID(TRIM(Raw_Data!B303),5,1)="-",DATE(VALUE(LEFT(TRIM(Raw_Data!B303),4)),VALUE(MID(TRIM(Raw_Data!B303),6,2)),VALUE(RIGHT(TRIM(Raw_Data!B303),2))),DATE(VALUE(RIGHT(TRIM(Raw_Data!B303),4)),MATCH(MID(TRIM(Raw_Data!B303),4,3),{"Jan","Feb","Mar","Apr","May","Jun","Jul","Aug","Sep","Oct","Nov","Dec"},0),VALUE(LEFT(TRIM(Raw_Data!B303),2)))))),"")</f>
        <v>45688</v>
      </c>
      <c r="C303" s="17" t="str">
        <f aca="false">IF(TRIM(Raw_Data!C303)="","Unknown",PROPER(TRIM(Raw_Data!C303)))</f>
        <v>Bilal Iqbal</v>
      </c>
      <c r="D303" s="17" t="str">
        <f aca="false">IFERROR(INDEX({"Punjab","Sindh","KPK","Balochistan"},MATCH(UPPER(LEFT(TRIM(Raw_Data!D303),1)),{"P","S","K","B"},0)),IFERROR(INDEX(Data_Dictionary!$G$4:$G$16,MATCH(E303,Data_Dictionary!$F$4:$F$16,0)),"Unassigned"))</f>
        <v>KPK</v>
      </c>
      <c r="E303" s="17" t="str">
        <f aca="false">IF(TRIM(Raw_Data!E303)="","Unknown",PROPER(TRIM(Raw_Data!E303)))</f>
        <v>Mardan</v>
      </c>
      <c r="F303" s="17" t="str">
        <f aca="false">IFERROR(INDEX({"Electronics","Home &amp; Kitchen","Clothing","Groceries","Beauty"},MATCH(UPPER(LEFT(TRIM(Raw_Data!F303),3)),{"ELE","HOM","CLO","GRO","BEA"},0)),"Uncategorised")</f>
        <v>Beauty</v>
      </c>
      <c r="G303" s="17" t="str">
        <f aca="false">IF(TRIM(Raw_Data!G303)="","Unknown",PROPER(TRIM(Raw_Data!G303)))</f>
        <v>Hair Dryer</v>
      </c>
      <c r="H303" s="19" t="n">
        <f aca="false">IFERROR(ABS(VALUE(TRIM(Raw_Data!H303))),"")</f>
        <v>2</v>
      </c>
      <c r="I303" s="20" t="n">
        <f aca="false">IFERROR(VALUE(TRIM(SUBSTITUTE(SUBSTITUTE(SUBSTITUTE(SUBSTITUTE(TRIM(Raw_Data!I303),"PKR",""),"Rs.",""),"Rs",""),",",""))),"")</f>
        <v>4300</v>
      </c>
      <c r="J303" s="21" t="n">
        <f aca="false">IFERROR(IF(TRIM(Raw_Data!J303)="",0,IF(VALUE(TRIM(Raw_Data!J303))&gt;1,VALUE(TRIM(Raw_Data!J303))/100,VALUE(TRIM(Raw_Data!J303)))),0)</f>
        <v>0</v>
      </c>
      <c r="K303" s="17" t="str">
        <f aca="false">IF(TRIM(Raw_Data!K303)="","Unassigned",PROPER(TRIM(Raw_Data!K303)))</f>
        <v>Sadia Noor</v>
      </c>
      <c r="L303" s="17" t="str">
        <f aca="false">IFERROR(INDEX({"Credit Card","Credit Card","Debit Card","Debit Card","Cash","PayPal"},MATCH(UPPER(LEFT(TRIM(Raw_Data!L303),2)),{"CR","CC","DE","DC","CA","PA"},0)),"Other")</f>
        <v>Credit Card</v>
      </c>
      <c r="M303" s="17" t="str">
        <f aca="false">IFERROR(INDEX({"Completed","Returned","Cancelled","Pending"},MATCH(UPPER(LEFT(TRIM(Raw_Data!M303),3)),{"COM","RET","CAN","PEN"},0)),"Unknown")</f>
        <v>Completed</v>
      </c>
      <c r="N303" s="20" t="n">
        <f aca="false">IF(OR(H303="",I303=""),"",H303*I303)</f>
        <v>8600</v>
      </c>
      <c r="O303" s="20" t="n">
        <f aca="false">IF(N303="","",N303*J303)</f>
        <v>0</v>
      </c>
      <c r="P303" s="20" t="n">
        <f aca="false">IF(N303="","",N303-O303)</f>
        <v>8600</v>
      </c>
      <c r="Q303" s="22" t="n">
        <f aca="false">IF(B303="","",DATE(YEAR(B303),MONTH(B303),1))</f>
        <v>45658</v>
      </c>
      <c r="R303" s="17" t="str">
        <f aca="false">IF(A303="","Invalid - Exclude",IF(COUNTIF($A$2:A303,A303)&gt;1,"Duplicate - Exclude",IF(OR(B303="",H303="",I303=""),"Invalid - Exclude","Valid")))</f>
        <v>Valid</v>
      </c>
      <c r="S303" s="17" t="str">
        <f aca="false">IF(R303="Valid","",IF(R303="Duplicate - Exclude","Repeat of an earlier Order ID",IF(B303="","Date missing or unreadable",IF(H303="","Quantity missing or unreadable",IF(I303="","Unit price missing or unreadable","Order ID missing")))))</f>
        <v/>
      </c>
    </row>
    <row r="304" customFormat="false" ht="15" hidden="false" customHeight="true" outlineLevel="0" collapsed="false">
      <c r="A304" s="9" t="str">
        <f aca="false">UPPER(TRIM(Raw_Data!A304))</f>
        <v>ORD-1287</v>
      </c>
      <c r="B304" s="10" t="n">
        <f aca="false">IFERROR(IF(ISNUMBER(Raw_Data!B304),Raw_Data!B304,IF(ISNUMBER(FIND("/",Raw_Data!B304)),DATE(VALUE(RIGHT(TRIM(Raw_Data!B304),4)),VALUE(MID(TRIM(Raw_Data!B304),4,2)),VALUE(LEFT(TRIM(Raw_Data!B304),2))),IF(MID(TRIM(Raw_Data!B304),5,1)="-",DATE(VALUE(LEFT(TRIM(Raw_Data!B304),4)),VALUE(MID(TRIM(Raw_Data!B304),6,2)),VALUE(RIGHT(TRIM(Raw_Data!B304),2))),DATE(VALUE(RIGHT(TRIM(Raw_Data!B304),4)),MATCH(MID(TRIM(Raw_Data!B304),4,3),{"Jan","Feb","Mar","Apr","May","Jun","Jul","Aug","Sep","Oct","Nov","Dec"},0),VALUE(LEFT(TRIM(Raw_Data!B304),2)))))),"")</f>
        <v>45835</v>
      </c>
      <c r="C304" s="9" t="str">
        <f aca="false">IF(TRIM(Raw_Data!C304)="","Unknown",PROPER(TRIM(Raw_Data!C304)))</f>
        <v>Bilal Iqbal</v>
      </c>
      <c r="D304" s="9" t="str">
        <f aca="false">IFERROR(INDEX({"Punjab","Sindh","KPK","Balochistan"},MATCH(UPPER(LEFT(TRIM(Raw_Data!D304),1)),{"P","S","K","B"},0)),IFERROR(INDEX(Data_Dictionary!$G$4:$G$16,MATCH(E304,Data_Dictionary!$F$4:$F$16,0)),"Unassigned"))</f>
        <v>Sindh</v>
      </c>
      <c r="E304" s="9" t="str">
        <f aca="false">IF(TRIM(Raw_Data!E304)="","Unknown",PROPER(TRIM(Raw_Data!E304)))</f>
        <v>Karachi</v>
      </c>
      <c r="F304" s="9" t="str">
        <f aca="false">IFERROR(INDEX({"Electronics","Home &amp; Kitchen","Clothing","Groceries","Beauty"},MATCH(UPPER(LEFT(TRIM(Raw_Data!F304),3)),{"ELE","HOM","CLO","GRO","BEA"},0)),"Uncategorised")</f>
        <v>Groceries</v>
      </c>
      <c r="G304" s="9" t="str">
        <f aca="false">IF(TRIM(Raw_Data!G304)="","Unknown",PROPER(TRIM(Raw_Data!G304)))</f>
        <v>Black Tea Pack</v>
      </c>
      <c r="H304" s="11" t="n">
        <f aca="false">IFERROR(ABS(VALUE(TRIM(Raw_Data!H304))),"")</f>
        <v>7</v>
      </c>
      <c r="I304" s="12" t="n">
        <f aca="false">IFERROR(VALUE(TRIM(SUBSTITUTE(SUBSTITUTE(SUBSTITUTE(SUBSTITUTE(TRIM(Raw_Data!I304),"PKR",""),"Rs.",""),"Rs",""),",",""))),"")</f>
        <v>1550</v>
      </c>
      <c r="J304" s="13" t="n">
        <f aca="false">IFERROR(IF(TRIM(Raw_Data!J304)="",0,IF(VALUE(TRIM(Raw_Data!J304))&gt;1,VALUE(TRIM(Raw_Data!J304))/100,VALUE(TRIM(Raw_Data!J304)))),0)</f>
        <v>0</v>
      </c>
      <c r="K304" s="9" t="str">
        <f aca="false">IF(TRIM(Raw_Data!K304)="","Unassigned",PROPER(TRIM(Raw_Data!K304)))</f>
        <v>Faisal Mehmood</v>
      </c>
      <c r="L304" s="9" t="str">
        <f aca="false">IFERROR(INDEX({"Credit Card","Credit Card","Debit Card","Debit Card","Cash","PayPal"},MATCH(UPPER(LEFT(TRIM(Raw_Data!L304),2)),{"CR","CC","DE","DC","CA","PA"},0)),"Other")</f>
        <v>Debit Card</v>
      </c>
      <c r="M304" s="9" t="str">
        <f aca="false">IFERROR(INDEX({"Completed","Returned","Cancelled","Pending"},MATCH(UPPER(LEFT(TRIM(Raw_Data!M304),3)),{"COM","RET","CAN","PEN"},0)),"Unknown")</f>
        <v>Completed</v>
      </c>
      <c r="N304" s="14" t="n">
        <f aca="false">IF(OR(H304="",I304=""),"",H304*I304)</f>
        <v>10850</v>
      </c>
      <c r="O304" s="14" t="n">
        <f aca="false">IF(N304="","",N304*J304)</f>
        <v>0</v>
      </c>
      <c r="P304" s="14" t="n">
        <f aca="false">IF(N304="","",N304-O304)</f>
        <v>10850</v>
      </c>
      <c r="Q304" s="15" t="n">
        <f aca="false">IF(B304="","",DATE(YEAR(B304),MONTH(B304),1))</f>
        <v>45809</v>
      </c>
      <c r="R304" s="16" t="str">
        <f aca="false">IF(A304="","Invalid - Exclude",IF(COUNTIF($A$2:A304,A304)&gt;1,"Duplicate - Exclude",IF(OR(B304="",H304="",I304=""),"Invalid - Exclude","Valid")))</f>
        <v>Valid</v>
      </c>
      <c r="S304" s="16" t="str">
        <f aca="false">IF(R304="Valid","",IF(R304="Duplicate - Exclude","Repeat of an earlier Order ID",IF(B304="","Date missing or unreadable",IF(H304="","Quantity missing or unreadable",IF(I304="","Unit price missing or unreadable","Order ID missing")))))</f>
        <v/>
      </c>
    </row>
    <row r="305" customFormat="false" ht="15" hidden="false" customHeight="true" outlineLevel="0" collapsed="false">
      <c r="A305" s="17" t="str">
        <f aca="false">UPPER(TRIM(Raw_Data!A305))</f>
        <v>ORD-1288</v>
      </c>
      <c r="B305" s="18" t="n">
        <f aca="false">IFERROR(IF(ISNUMBER(Raw_Data!B305),Raw_Data!B305,IF(ISNUMBER(FIND("/",Raw_Data!B305)),DATE(VALUE(RIGHT(TRIM(Raw_Data!B305),4)),VALUE(MID(TRIM(Raw_Data!B305),4,2)),VALUE(LEFT(TRIM(Raw_Data!B305),2))),IF(MID(TRIM(Raw_Data!B305),5,1)="-",DATE(VALUE(LEFT(TRIM(Raw_Data!B305),4)),VALUE(MID(TRIM(Raw_Data!B305),6,2)),VALUE(RIGHT(TRIM(Raw_Data!B305),2))),DATE(VALUE(RIGHT(TRIM(Raw_Data!B305),4)),MATCH(MID(TRIM(Raw_Data!B305),4,3),{"Jan","Feb","Mar","Apr","May","Jun","Jul","Aug","Sep","Oct","Nov","Dec"},0),VALUE(LEFT(TRIM(Raw_Data!B305),2)))))),"")</f>
        <v>45934</v>
      </c>
      <c r="C305" s="17" t="str">
        <f aca="false">IF(TRIM(Raw_Data!C305)="","Unknown",PROPER(TRIM(Raw_Data!C305)))</f>
        <v>Saad Qureshi</v>
      </c>
      <c r="D305" s="17" t="str">
        <f aca="false">IFERROR(INDEX({"Punjab","Sindh","KPK","Balochistan"},MATCH(UPPER(LEFT(TRIM(Raw_Data!D305),1)),{"P","S","K","B"},0)),IFERROR(INDEX(Data_Dictionary!$G$4:$G$16,MATCH(E305,Data_Dictionary!$F$4:$F$16,0)),"Unassigned"))</f>
        <v>Punjab</v>
      </c>
      <c r="E305" s="17" t="str">
        <f aca="false">IF(TRIM(Raw_Data!E305)="","Unknown",PROPER(TRIM(Raw_Data!E305)))</f>
        <v>Faisalabad</v>
      </c>
      <c r="F305" s="17" t="str">
        <f aca="false">IFERROR(INDEX({"Electronics","Home &amp; Kitchen","Clothing","Groceries","Beauty"},MATCH(UPPER(LEFT(TRIM(Raw_Data!F305),3)),{"ELE","HOM","CLO","GRO","BEA"},0)),"Uncategorised")</f>
        <v>Home &amp; Kitchen</v>
      </c>
      <c r="G305" s="17" t="str">
        <f aca="false">IF(TRIM(Raw_Data!G305)="","Unknown",PROPER(TRIM(Raw_Data!G305)))</f>
        <v>Bedsheet Set</v>
      </c>
      <c r="H305" s="19" t="n">
        <f aca="false">IFERROR(ABS(VALUE(TRIM(Raw_Data!H305))),"")</f>
        <v>5</v>
      </c>
      <c r="I305" s="20" t="n">
        <f aca="false">IFERROR(VALUE(TRIM(SUBSTITUTE(SUBSTITUTE(SUBSTITUTE(SUBSTITUTE(TRIM(Raw_Data!I305),"PKR",""),"Rs.",""),"Rs",""),",",""))),"")</f>
        <v>5250</v>
      </c>
      <c r="J305" s="21" t="n">
        <f aca="false">IFERROR(IF(TRIM(Raw_Data!J305)="",0,IF(VALUE(TRIM(Raw_Data!J305))&gt;1,VALUE(TRIM(Raw_Data!J305))/100,VALUE(TRIM(Raw_Data!J305)))),0)</f>
        <v>0</v>
      </c>
      <c r="K305" s="17" t="str">
        <f aca="false">IF(TRIM(Raw_Data!K305)="","Unassigned",PROPER(TRIM(Raw_Data!K305)))</f>
        <v>Waqar Ahmed</v>
      </c>
      <c r="L305" s="17" t="str">
        <f aca="false">IFERROR(INDEX({"Credit Card","Credit Card","Debit Card","Debit Card","Cash","PayPal"},MATCH(UPPER(LEFT(TRIM(Raw_Data!L305),2)),{"CR","CC","DE","DC","CA","PA"},0)),"Other")</f>
        <v>Credit Card</v>
      </c>
      <c r="M305" s="17" t="str">
        <f aca="false">IFERROR(INDEX({"Completed","Returned","Cancelled","Pending"},MATCH(UPPER(LEFT(TRIM(Raw_Data!M305),3)),{"COM","RET","CAN","PEN"},0)),"Unknown")</f>
        <v>Completed</v>
      </c>
      <c r="N305" s="20" t="n">
        <f aca="false">IF(OR(H305="",I305=""),"",H305*I305)</f>
        <v>26250</v>
      </c>
      <c r="O305" s="20" t="n">
        <f aca="false">IF(N305="","",N305*J305)</f>
        <v>0</v>
      </c>
      <c r="P305" s="20" t="n">
        <f aca="false">IF(N305="","",N305-O305)</f>
        <v>26250</v>
      </c>
      <c r="Q305" s="22" t="n">
        <f aca="false">IF(B305="","",DATE(YEAR(B305),MONTH(B305),1))</f>
        <v>45931</v>
      </c>
      <c r="R305" s="17" t="str">
        <f aca="false">IF(A305="","Invalid - Exclude",IF(COUNTIF($A$2:A305,A305)&gt;1,"Duplicate - Exclude",IF(OR(B305="",H305="",I305=""),"Invalid - Exclude","Valid")))</f>
        <v>Valid</v>
      </c>
      <c r="S305" s="17" t="str">
        <f aca="false">IF(R305="Valid","",IF(R305="Duplicate - Exclude","Repeat of an earlier Order ID",IF(B305="","Date missing or unreadable",IF(H305="","Quantity missing or unreadable",IF(I305="","Unit price missing or unreadable","Order ID missing")))))</f>
        <v/>
      </c>
    </row>
    <row r="306" customFormat="false" ht="15" hidden="false" customHeight="true" outlineLevel="0" collapsed="false">
      <c r="A306" s="9" t="str">
        <f aca="false">UPPER(TRIM(Raw_Data!A306))</f>
        <v>ORD-1289</v>
      </c>
      <c r="B306" s="10" t="n">
        <f aca="false">IFERROR(IF(ISNUMBER(Raw_Data!B306),Raw_Data!B306,IF(ISNUMBER(FIND("/",Raw_Data!B306)),DATE(VALUE(RIGHT(TRIM(Raw_Data!B306),4)),VALUE(MID(TRIM(Raw_Data!B306),4,2)),VALUE(LEFT(TRIM(Raw_Data!B306),2))),IF(MID(TRIM(Raw_Data!B306),5,1)="-",DATE(VALUE(LEFT(TRIM(Raw_Data!B306),4)),VALUE(MID(TRIM(Raw_Data!B306),6,2)),VALUE(RIGHT(TRIM(Raw_Data!B306),2))),DATE(VALUE(RIGHT(TRIM(Raw_Data!B306),4)),MATCH(MID(TRIM(Raw_Data!B306),4,3),{"Jan","Feb","Mar","Apr","May","Jun","Jul","Aug","Sep","Oct","Nov","Dec"},0),VALUE(LEFT(TRIM(Raw_Data!B306),2)))))),"")</f>
        <v>45985</v>
      </c>
      <c r="C306" s="9" t="str">
        <f aca="false">IF(TRIM(Raw_Data!C306)="","Unknown",PROPER(TRIM(Raw_Data!C306)))</f>
        <v>Ali Malik</v>
      </c>
      <c r="D306" s="9" t="str">
        <f aca="false">IFERROR(INDEX({"Punjab","Sindh","KPK","Balochistan"},MATCH(UPPER(LEFT(TRIM(Raw_Data!D306),1)),{"P","S","K","B"},0)),IFERROR(INDEX(Data_Dictionary!$G$4:$G$16,MATCH(E306,Data_Dictionary!$F$4:$F$16,0)),"Unassigned"))</f>
        <v>Punjab</v>
      </c>
      <c r="E306" s="9" t="str">
        <f aca="false">IF(TRIM(Raw_Data!E306)="","Unknown",PROPER(TRIM(Raw_Data!E306)))</f>
        <v>Rawalpindi</v>
      </c>
      <c r="F306" s="9" t="str">
        <f aca="false">IFERROR(INDEX({"Electronics","Home &amp; Kitchen","Clothing","Groceries","Beauty"},MATCH(UPPER(LEFT(TRIM(Raw_Data!F306),3)),{"ELE","HOM","CLO","GRO","BEA"},0)),"Uncategorised")</f>
        <v>Clothing</v>
      </c>
      <c r="G306" s="9" t="str">
        <f aca="false">IF(TRIM(Raw_Data!G306)="","Unknown",PROPER(TRIM(Raw_Data!G306)))</f>
        <v>Running Shoes</v>
      </c>
      <c r="H306" s="11" t="n">
        <f aca="false">IFERROR(ABS(VALUE(TRIM(Raw_Data!H306))),"")</f>
        <v>4</v>
      </c>
      <c r="I306" s="12" t="n">
        <f aca="false">IFERROR(VALUE(TRIM(SUBSTITUTE(SUBSTITUTE(SUBSTITUTE(SUBSTITUTE(TRIM(Raw_Data!I306),"PKR",""),"Rs.",""),"Rs",""),",",""))),"")</f>
        <v>8150</v>
      </c>
      <c r="J306" s="13" t="n">
        <f aca="false">IFERROR(IF(TRIM(Raw_Data!J306)="",0,IF(VALUE(TRIM(Raw_Data!J306))&gt;1,VALUE(TRIM(Raw_Data!J306))/100,VALUE(TRIM(Raw_Data!J306)))),0)</f>
        <v>0</v>
      </c>
      <c r="K306" s="9" t="str">
        <f aca="false">IF(TRIM(Raw_Data!K306)="","Unassigned",PROPER(TRIM(Raw_Data!K306)))</f>
        <v>Faisal Mehmood</v>
      </c>
      <c r="L306" s="9" t="str">
        <f aca="false">IFERROR(INDEX({"Credit Card","Credit Card","Debit Card","Debit Card","Cash","PayPal"},MATCH(UPPER(LEFT(TRIM(Raw_Data!L306),2)),{"CR","CC","DE","DC","CA","PA"},0)),"Other")</f>
        <v>Credit Card</v>
      </c>
      <c r="M306" s="9" t="str">
        <f aca="false">IFERROR(INDEX({"Completed","Returned","Cancelled","Pending"},MATCH(UPPER(LEFT(TRIM(Raw_Data!M306),3)),{"COM","RET","CAN","PEN"},0)),"Unknown")</f>
        <v>Completed</v>
      </c>
      <c r="N306" s="14" t="n">
        <f aca="false">IF(OR(H306="",I306=""),"",H306*I306)</f>
        <v>32600</v>
      </c>
      <c r="O306" s="14" t="n">
        <f aca="false">IF(N306="","",N306*J306)</f>
        <v>0</v>
      </c>
      <c r="P306" s="14" t="n">
        <f aca="false">IF(N306="","",N306-O306)</f>
        <v>32600</v>
      </c>
      <c r="Q306" s="15" t="n">
        <f aca="false">IF(B306="","",DATE(YEAR(B306),MONTH(B306),1))</f>
        <v>45962</v>
      </c>
      <c r="R306" s="16" t="str">
        <f aca="false">IF(A306="","Invalid - Exclude",IF(COUNTIF($A$2:A306,A306)&gt;1,"Duplicate - Exclude",IF(OR(B306="",H306="",I306=""),"Invalid - Exclude","Valid")))</f>
        <v>Valid</v>
      </c>
      <c r="S306" s="16" t="str">
        <f aca="false">IF(R306="Valid","",IF(R306="Duplicate - Exclude","Repeat of an earlier Order ID",IF(B306="","Date missing or unreadable",IF(H306="","Quantity missing or unreadable",IF(I306="","Unit price missing or unreadable","Order ID missing")))))</f>
        <v/>
      </c>
    </row>
    <row r="307" customFormat="false" ht="15" hidden="false" customHeight="true" outlineLevel="0" collapsed="false">
      <c r="A307" s="17" t="str">
        <f aca="false">UPPER(TRIM(Raw_Data!A307))</f>
        <v>ORD-1290</v>
      </c>
      <c r="B307" s="18" t="n">
        <f aca="false">IFERROR(IF(ISNUMBER(Raw_Data!B307),Raw_Data!B307,IF(ISNUMBER(FIND("/",Raw_Data!B307)),DATE(VALUE(RIGHT(TRIM(Raw_Data!B307),4)),VALUE(MID(TRIM(Raw_Data!B307),4,2)),VALUE(LEFT(TRIM(Raw_Data!B307),2))),IF(MID(TRIM(Raw_Data!B307),5,1)="-",DATE(VALUE(LEFT(TRIM(Raw_Data!B307),4)),VALUE(MID(TRIM(Raw_Data!B307),6,2)),VALUE(RIGHT(TRIM(Raw_Data!B307),2))),DATE(VALUE(RIGHT(TRIM(Raw_Data!B307),4)),MATCH(MID(TRIM(Raw_Data!B307),4,3),{"Jan","Feb","Mar","Apr","May","Jun","Jul","Aug","Sep","Oct","Nov","Dec"},0),VALUE(LEFT(TRIM(Raw_Data!B307),2)))))),"")</f>
        <v>45681</v>
      </c>
      <c r="C307" s="17" t="str">
        <f aca="false">IF(TRIM(Raw_Data!C307)="","Unknown",PROPER(TRIM(Raw_Data!C307)))</f>
        <v>Hassan Iqbal</v>
      </c>
      <c r="D307" s="17" t="str">
        <f aca="false">IFERROR(INDEX({"Punjab","Sindh","KPK","Balochistan"},MATCH(UPPER(LEFT(TRIM(Raw_Data!D307),1)),{"P","S","K","B"},0)),IFERROR(INDEX(Data_Dictionary!$G$4:$G$16,MATCH(E307,Data_Dictionary!$F$4:$F$16,0)),"Unassigned"))</f>
        <v>Sindh</v>
      </c>
      <c r="E307" s="17" t="str">
        <f aca="false">IF(TRIM(Raw_Data!E307)="","Unknown",PROPER(TRIM(Raw_Data!E307)))</f>
        <v>Karachi</v>
      </c>
      <c r="F307" s="17" t="str">
        <f aca="false">IFERROR(INDEX({"Electronics","Home &amp; Kitchen","Clothing","Groceries","Beauty"},MATCH(UPPER(LEFT(TRIM(Raw_Data!F307),3)),{"ELE","HOM","CLO","GRO","BEA"},0)),"Uncategorised")</f>
        <v>Clothing</v>
      </c>
      <c r="G307" s="17" t="str">
        <f aca="false">IF(TRIM(Raw_Data!G307)="","Unknown",PROPER(TRIM(Raw_Data!G307)))</f>
        <v>Lawn Suit 3 Piece</v>
      </c>
      <c r="H307" s="19" t="n">
        <f aca="false">IFERROR(ABS(VALUE(TRIM(Raw_Data!H307))),"")</f>
        <v>1</v>
      </c>
      <c r="I307" s="20" t="n">
        <f aca="false">IFERROR(VALUE(TRIM(SUBSTITUTE(SUBSTITUTE(SUBSTITUTE(SUBSTITUTE(TRIM(Raw_Data!I307),"PKR",""),"Rs.",""),"Rs",""),",",""))),"")</f>
        <v>7100</v>
      </c>
      <c r="J307" s="21" t="n">
        <f aca="false">IFERROR(IF(TRIM(Raw_Data!J307)="",0,IF(VALUE(TRIM(Raw_Data!J307))&gt;1,VALUE(TRIM(Raw_Data!J307))/100,VALUE(TRIM(Raw_Data!J307)))),0)</f>
        <v>0.1</v>
      </c>
      <c r="K307" s="17" t="str">
        <f aca="false">IF(TRIM(Raw_Data!K307)="","Unassigned",PROPER(TRIM(Raw_Data!K307)))</f>
        <v>Nimra Aslam</v>
      </c>
      <c r="L307" s="17" t="str">
        <f aca="false">IFERROR(INDEX({"Credit Card","Credit Card","Debit Card","Debit Card","Cash","PayPal"},MATCH(UPPER(LEFT(TRIM(Raw_Data!L307),2)),{"CR","CC","DE","DC","CA","PA"},0)),"Other")</f>
        <v>Credit Card</v>
      </c>
      <c r="M307" s="17" t="str">
        <f aca="false">IFERROR(INDEX({"Completed","Returned","Cancelled","Pending"},MATCH(UPPER(LEFT(TRIM(Raw_Data!M307),3)),{"COM","RET","CAN","PEN"},0)),"Unknown")</f>
        <v>Cancelled</v>
      </c>
      <c r="N307" s="20" t="n">
        <f aca="false">IF(OR(H307="",I307=""),"",H307*I307)</f>
        <v>7100</v>
      </c>
      <c r="O307" s="20" t="n">
        <f aca="false">IF(N307="","",N307*J307)</f>
        <v>710</v>
      </c>
      <c r="P307" s="20" t="n">
        <f aca="false">IF(N307="","",N307-O307)</f>
        <v>6390</v>
      </c>
      <c r="Q307" s="22" t="n">
        <f aca="false">IF(B307="","",DATE(YEAR(B307),MONTH(B307),1))</f>
        <v>45658</v>
      </c>
      <c r="R307" s="17" t="str">
        <f aca="false">IF(A307="","Invalid - Exclude",IF(COUNTIF($A$2:A307,A307)&gt;1,"Duplicate - Exclude",IF(OR(B307="",H307="",I307=""),"Invalid - Exclude","Valid")))</f>
        <v>Valid</v>
      </c>
      <c r="S307" s="17" t="str">
        <f aca="false">IF(R307="Valid","",IF(R307="Duplicate - Exclude","Repeat of an earlier Order ID",IF(B307="","Date missing or unreadable",IF(H307="","Quantity missing or unreadable",IF(I307="","Unit price missing or unreadable","Order ID missing")))))</f>
        <v/>
      </c>
    </row>
    <row r="308" customFormat="false" ht="15" hidden="false" customHeight="true" outlineLevel="0" collapsed="false">
      <c r="A308" s="9" t="str">
        <f aca="false">UPPER(TRIM(Raw_Data!A308))</f>
        <v>ORD-1291</v>
      </c>
      <c r="B308" s="10" t="n">
        <f aca="false">IFERROR(IF(ISNUMBER(Raw_Data!B308),Raw_Data!B308,IF(ISNUMBER(FIND("/",Raw_Data!B308)),DATE(VALUE(RIGHT(TRIM(Raw_Data!B308),4)),VALUE(MID(TRIM(Raw_Data!B308),4,2)),VALUE(LEFT(TRIM(Raw_Data!B308),2))),IF(MID(TRIM(Raw_Data!B308),5,1)="-",DATE(VALUE(LEFT(TRIM(Raw_Data!B308),4)),VALUE(MID(TRIM(Raw_Data!B308),6,2)),VALUE(RIGHT(TRIM(Raw_Data!B308),2))),DATE(VALUE(RIGHT(TRIM(Raw_Data!B308),4)),MATCH(MID(TRIM(Raw_Data!B308),4,3),{"Jan","Feb","Mar","Apr","May","Jun","Jul","Aug","Sep","Oct","Nov","Dec"},0),VALUE(LEFT(TRIM(Raw_Data!B308),2)))))),"")</f>
        <v>45680</v>
      </c>
      <c r="C308" s="9" t="str">
        <f aca="false">IF(TRIM(Raw_Data!C308)="","Unknown",PROPER(TRIM(Raw_Data!C308)))</f>
        <v>Usman Chaudhry</v>
      </c>
      <c r="D308" s="9" t="str">
        <f aca="false">IFERROR(INDEX({"Punjab","Sindh","KPK","Balochistan"},MATCH(UPPER(LEFT(TRIM(Raw_Data!D308),1)),{"P","S","K","B"},0)),IFERROR(INDEX(Data_Dictionary!$G$4:$G$16,MATCH(E308,Data_Dictionary!$F$4:$F$16,0)),"Unassigned"))</f>
        <v>Punjab</v>
      </c>
      <c r="E308" s="9" t="str">
        <f aca="false">IF(TRIM(Raw_Data!E308)="","Unknown",PROPER(TRIM(Raw_Data!E308)))</f>
        <v>Gujranwala</v>
      </c>
      <c r="F308" s="9" t="str">
        <f aca="false">IFERROR(INDEX({"Electronics","Home &amp; Kitchen","Clothing","Groceries","Beauty"},MATCH(UPPER(LEFT(TRIM(Raw_Data!F308),3)),{"ELE","HOM","CLO","GRO","BEA"},0)),"Uncategorised")</f>
        <v>Electronics</v>
      </c>
      <c r="G308" s="9" t="str">
        <f aca="false">IF(TRIM(Raw_Data!G308)="","Unknown",PROPER(TRIM(Raw_Data!G308)))</f>
        <v>Phone Charger</v>
      </c>
      <c r="H308" s="11" t="n">
        <f aca="false">IFERROR(ABS(VALUE(TRIM(Raw_Data!H308))),"")</f>
        <v>4</v>
      </c>
      <c r="I308" s="12" t="n">
        <f aca="false">IFERROR(VALUE(TRIM(SUBSTITUTE(SUBSTITUTE(SUBSTITUTE(SUBSTITUTE(TRIM(Raw_Data!I308),"PKR",""),"Rs.",""),"Rs",""),",",""))),"")</f>
        <v>1150</v>
      </c>
      <c r="J308" s="13" t="n">
        <f aca="false">IFERROR(IF(TRIM(Raw_Data!J308)="",0,IF(VALUE(TRIM(Raw_Data!J308))&gt;1,VALUE(TRIM(Raw_Data!J308))/100,VALUE(TRIM(Raw_Data!J308)))),0)</f>
        <v>0</v>
      </c>
      <c r="K308" s="9" t="str">
        <f aca="false">IF(TRIM(Raw_Data!K308)="","Unassigned",PROPER(TRIM(Raw_Data!K308)))</f>
        <v>Sadia Noor</v>
      </c>
      <c r="L308" s="9" t="str">
        <f aca="false">IFERROR(INDEX({"Credit Card","Credit Card","Debit Card","Debit Card","Cash","PayPal"},MATCH(UPPER(LEFT(TRIM(Raw_Data!L308),2)),{"CR","CC","DE","DC","CA","PA"},0)),"Other")</f>
        <v>Debit Card</v>
      </c>
      <c r="M308" s="9" t="str">
        <f aca="false">IFERROR(INDEX({"Completed","Returned","Cancelled","Pending"},MATCH(UPPER(LEFT(TRIM(Raw_Data!M308),3)),{"COM","RET","CAN","PEN"},0)),"Unknown")</f>
        <v>Completed</v>
      </c>
      <c r="N308" s="14" t="n">
        <f aca="false">IF(OR(H308="",I308=""),"",H308*I308)</f>
        <v>4600</v>
      </c>
      <c r="O308" s="14" t="n">
        <f aca="false">IF(N308="","",N308*J308)</f>
        <v>0</v>
      </c>
      <c r="P308" s="14" t="n">
        <f aca="false">IF(N308="","",N308-O308)</f>
        <v>4600</v>
      </c>
      <c r="Q308" s="15" t="n">
        <f aca="false">IF(B308="","",DATE(YEAR(B308),MONTH(B308),1))</f>
        <v>45658</v>
      </c>
      <c r="R308" s="16" t="str">
        <f aca="false">IF(A308="","Invalid - Exclude",IF(COUNTIF($A$2:A308,A308)&gt;1,"Duplicate - Exclude",IF(OR(B308="",H308="",I308=""),"Invalid - Exclude","Valid")))</f>
        <v>Valid</v>
      </c>
      <c r="S308" s="16" t="str">
        <f aca="false">IF(R308="Valid","",IF(R308="Duplicate - Exclude","Repeat of an earlier Order ID",IF(B308="","Date missing or unreadable",IF(H308="","Quantity missing or unreadable",IF(I308="","Unit price missing or unreadable","Order ID missing")))))</f>
        <v/>
      </c>
    </row>
    <row r="309" customFormat="false" ht="15" hidden="false" customHeight="true" outlineLevel="0" collapsed="false">
      <c r="A309" s="17" t="str">
        <f aca="false">UPPER(TRIM(Raw_Data!A309))</f>
        <v>ORD-1292</v>
      </c>
      <c r="B309" s="18" t="n">
        <f aca="false">IFERROR(IF(ISNUMBER(Raw_Data!B309),Raw_Data!B309,IF(ISNUMBER(FIND("/",Raw_Data!B309)),DATE(VALUE(RIGHT(TRIM(Raw_Data!B309),4)),VALUE(MID(TRIM(Raw_Data!B309),4,2)),VALUE(LEFT(TRIM(Raw_Data!B309),2))),IF(MID(TRIM(Raw_Data!B309),5,1)="-",DATE(VALUE(LEFT(TRIM(Raw_Data!B309),4)),VALUE(MID(TRIM(Raw_Data!B309),6,2)),VALUE(RIGHT(TRIM(Raw_Data!B309),2))),DATE(VALUE(RIGHT(TRIM(Raw_Data!B309),4)),MATCH(MID(TRIM(Raw_Data!B309),4,3),{"Jan","Feb","Mar","Apr","May","Jun","Jul","Aug","Sep","Oct","Nov","Dec"},0),VALUE(LEFT(TRIM(Raw_Data!B309),2)))))),"")</f>
        <v>45869</v>
      </c>
      <c r="C309" s="17" t="str">
        <f aca="false">IF(TRIM(Raw_Data!C309)="","Unknown",PROPER(TRIM(Raw_Data!C309)))</f>
        <v>Iqra Butt</v>
      </c>
      <c r="D309" s="17" t="str">
        <f aca="false">IFERROR(INDEX({"Punjab","Sindh","KPK","Balochistan"},MATCH(UPPER(LEFT(TRIM(Raw_Data!D309),1)),{"P","S","K","B"},0)),IFERROR(INDEX(Data_Dictionary!$G$4:$G$16,MATCH(E309,Data_Dictionary!$F$4:$F$16,0)),"Unassigned"))</f>
        <v>KPK</v>
      </c>
      <c r="E309" s="17" t="str">
        <f aca="false">IF(TRIM(Raw_Data!E309)="","Unknown",PROPER(TRIM(Raw_Data!E309)))</f>
        <v>Abbottabad</v>
      </c>
      <c r="F309" s="17" t="str">
        <f aca="false">IFERROR(INDEX({"Electronics","Home &amp; Kitchen","Clothing","Groceries","Beauty"},MATCH(UPPER(LEFT(TRIM(Raw_Data!F309),3)),{"ELE","HOM","CLO","GRO","BEA"},0)),"Uncategorised")</f>
        <v>Electronics</v>
      </c>
      <c r="G309" s="17" t="str">
        <f aca="false">IF(TRIM(Raw_Data!G309)="","Unknown",PROPER(TRIM(Raw_Data!G309)))</f>
        <v>Wireless Earbuds</v>
      </c>
      <c r="H309" s="19" t="n">
        <f aca="false">IFERROR(ABS(VALUE(TRIM(Raw_Data!H309))),"")</f>
        <v>1</v>
      </c>
      <c r="I309" s="20" t="n">
        <f aca="false">IFERROR(VALUE(TRIM(SUBSTITUTE(SUBSTITUTE(SUBSTITUTE(SUBSTITUTE(TRIM(Raw_Data!I309),"PKR",""),"Rs.",""),"Rs",""),",",""))),"")</f>
        <v>6200</v>
      </c>
      <c r="J309" s="21" t="n">
        <f aca="false">IFERROR(IF(TRIM(Raw_Data!J309)="",0,IF(VALUE(TRIM(Raw_Data!J309))&gt;1,VALUE(TRIM(Raw_Data!J309))/100,VALUE(TRIM(Raw_Data!J309)))),0)</f>
        <v>0.1</v>
      </c>
      <c r="K309" s="17" t="str">
        <f aca="false">IF(TRIM(Raw_Data!K309)="","Unassigned",PROPER(TRIM(Raw_Data!K309)))</f>
        <v>Nimra Aslam</v>
      </c>
      <c r="L309" s="17" t="str">
        <f aca="false">IFERROR(INDEX({"Credit Card","Credit Card","Debit Card","Debit Card","Cash","PayPal"},MATCH(UPPER(LEFT(TRIM(Raw_Data!L309),2)),{"CR","CC","DE","DC","CA","PA"},0)),"Other")</f>
        <v>Debit Card</v>
      </c>
      <c r="M309" s="17" t="str">
        <f aca="false">IFERROR(INDEX({"Completed","Returned","Cancelled","Pending"},MATCH(UPPER(LEFT(TRIM(Raw_Data!M309),3)),{"COM","RET","CAN","PEN"},0)),"Unknown")</f>
        <v>Completed</v>
      </c>
      <c r="N309" s="20" t="n">
        <f aca="false">IF(OR(H309="",I309=""),"",H309*I309)</f>
        <v>6200</v>
      </c>
      <c r="O309" s="20" t="n">
        <f aca="false">IF(N309="","",N309*J309)</f>
        <v>620</v>
      </c>
      <c r="P309" s="20" t="n">
        <f aca="false">IF(N309="","",N309-O309)</f>
        <v>5580</v>
      </c>
      <c r="Q309" s="22" t="n">
        <f aca="false">IF(B309="","",DATE(YEAR(B309),MONTH(B309),1))</f>
        <v>45839</v>
      </c>
      <c r="R309" s="17" t="str">
        <f aca="false">IF(A309="","Invalid - Exclude",IF(COUNTIF($A$2:A309,A309)&gt;1,"Duplicate - Exclude",IF(OR(B309="",H309="",I309=""),"Invalid - Exclude","Valid")))</f>
        <v>Valid</v>
      </c>
      <c r="S309" s="17" t="str">
        <f aca="false">IF(R309="Valid","",IF(R309="Duplicate - Exclude","Repeat of an earlier Order ID",IF(B309="","Date missing or unreadable",IF(H309="","Quantity missing or unreadable",IF(I309="","Unit price missing or unreadable","Order ID missing")))))</f>
        <v/>
      </c>
    </row>
    <row r="310" customFormat="false" ht="15" hidden="false" customHeight="true" outlineLevel="0" collapsed="false">
      <c r="A310" s="9" t="str">
        <f aca="false">UPPER(TRIM(Raw_Data!A310))</f>
        <v>ORD-1293</v>
      </c>
      <c r="B310" s="10" t="n">
        <f aca="false">IFERROR(IF(ISNUMBER(Raw_Data!B310),Raw_Data!B310,IF(ISNUMBER(FIND("/",Raw_Data!B310)),DATE(VALUE(RIGHT(TRIM(Raw_Data!B310),4)),VALUE(MID(TRIM(Raw_Data!B310),4,2)),VALUE(LEFT(TRIM(Raw_Data!B310),2))),IF(MID(TRIM(Raw_Data!B310),5,1)="-",DATE(VALUE(LEFT(TRIM(Raw_Data!B310),4)),VALUE(MID(TRIM(Raw_Data!B310),6,2)),VALUE(RIGHT(TRIM(Raw_Data!B310),2))),DATE(VALUE(RIGHT(TRIM(Raw_Data!B310),4)),MATCH(MID(TRIM(Raw_Data!B310),4,3),{"Jan","Feb","Mar","Apr","May","Jun","Jul","Aug","Sep","Oct","Nov","Dec"},0),VALUE(LEFT(TRIM(Raw_Data!B310),2)))))),"")</f>
        <v>45925</v>
      </c>
      <c r="C310" s="9" t="str">
        <f aca="false">IF(TRIM(Raw_Data!C310)="","Unknown",PROPER(TRIM(Raw_Data!C310)))</f>
        <v>Kashif Raza</v>
      </c>
      <c r="D310" s="9" t="str">
        <f aca="false">IFERROR(INDEX({"Punjab","Sindh","KPK","Balochistan"},MATCH(UPPER(LEFT(TRIM(Raw_Data!D310),1)),{"P","S","K","B"},0)),IFERROR(INDEX(Data_Dictionary!$G$4:$G$16,MATCH(E310,Data_Dictionary!$F$4:$F$16,0)),"Unassigned"))</f>
        <v>Punjab</v>
      </c>
      <c r="E310" s="9" t="str">
        <f aca="false">IF(TRIM(Raw_Data!E310)="","Unknown",PROPER(TRIM(Raw_Data!E310)))</f>
        <v>Lahore</v>
      </c>
      <c r="F310" s="9" t="str">
        <f aca="false">IFERROR(INDEX({"Electronics","Home &amp; Kitchen","Clothing","Groceries","Beauty"},MATCH(UPPER(LEFT(TRIM(Raw_Data!F310),3)),{"ELE","HOM","CLO","GRO","BEA"},0)),"Uncategorised")</f>
        <v>Electronics</v>
      </c>
      <c r="G310" s="9" t="str">
        <f aca="false">IF(TRIM(Raw_Data!G310)="","Unknown",PROPER(TRIM(Raw_Data!G310)))</f>
        <v>Smart Watch</v>
      </c>
      <c r="H310" s="11" t="str">
        <f aca="false">IFERROR(ABS(VALUE(TRIM(Raw_Data!H310))),"")</f>
        <v/>
      </c>
      <c r="I310" s="12" t="n">
        <f aca="false">IFERROR(VALUE(TRIM(SUBSTITUTE(SUBSTITUTE(SUBSTITUTE(SUBSTITUTE(TRIM(Raw_Data!I310),"PKR",""),"Rs.",""),"Rs",""),",",""))),"")</f>
        <v>9200</v>
      </c>
      <c r="J310" s="13" t="n">
        <f aca="false">IFERROR(IF(TRIM(Raw_Data!J310)="",0,IF(VALUE(TRIM(Raw_Data!J310))&gt;1,VALUE(TRIM(Raw_Data!J310))/100,VALUE(TRIM(Raw_Data!J310)))),0)</f>
        <v>0.05</v>
      </c>
      <c r="K310" s="9" t="str">
        <f aca="false">IF(TRIM(Raw_Data!K310)="","Unassigned",PROPER(TRIM(Raw_Data!K310)))</f>
        <v>Zoya Tariq</v>
      </c>
      <c r="L310" s="9" t="str">
        <f aca="false">IFERROR(INDEX({"Credit Card","Credit Card","Debit Card","Debit Card","Cash","PayPal"},MATCH(UPPER(LEFT(TRIM(Raw_Data!L310),2)),{"CR","CC","DE","DC","CA","PA"},0)),"Other")</f>
        <v>Credit Card</v>
      </c>
      <c r="M310" s="9" t="str">
        <f aca="false">IFERROR(INDEX({"Completed","Returned","Cancelled","Pending"},MATCH(UPPER(LEFT(TRIM(Raw_Data!M310),3)),{"COM","RET","CAN","PEN"},0)),"Unknown")</f>
        <v>Pending</v>
      </c>
      <c r="N310" s="14" t="str">
        <f aca="false">IF(OR(H310="",I310=""),"",H310*I310)</f>
        <v/>
      </c>
      <c r="O310" s="14" t="str">
        <f aca="false">IF(N310="","",N310*J310)</f>
        <v/>
      </c>
      <c r="P310" s="14" t="str">
        <f aca="false">IF(N310="","",N310-O310)</f>
        <v/>
      </c>
      <c r="Q310" s="15" t="n">
        <f aca="false">IF(B310="","",DATE(YEAR(B310),MONTH(B310),1))</f>
        <v>45901</v>
      </c>
      <c r="R310" s="16" t="str">
        <f aca="false">IF(A310="","Invalid - Exclude",IF(COUNTIF($A$2:A310,A310)&gt;1,"Duplicate - Exclude",IF(OR(B310="",H310="",I310=""),"Invalid - Exclude","Valid")))</f>
        <v>Invalid - Exclude</v>
      </c>
      <c r="S310" s="16" t="str">
        <f aca="false">IF(R310="Valid","",IF(R310="Duplicate - Exclude","Repeat of an earlier Order ID",IF(B310="","Date missing or unreadable",IF(H310="","Quantity missing or unreadable",IF(I310="","Unit price missing or unreadable","Order ID missing")))))</f>
        <v>Quantity missing or unreadable</v>
      </c>
    </row>
    <row r="311" customFormat="false" ht="15" hidden="false" customHeight="true" outlineLevel="0" collapsed="false">
      <c r="A311" s="17" t="str">
        <f aca="false">UPPER(TRIM(Raw_Data!A311))</f>
        <v>ORD-1294</v>
      </c>
      <c r="B311" s="18" t="n">
        <f aca="false">IFERROR(IF(ISNUMBER(Raw_Data!B311),Raw_Data!B311,IF(ISNUMBER(FIND("/",Raw_Data!B311)),DATE(VALUE(RIGHT(TRIM(Raw_Data!B311),4)),VALUE(MID(TRIM(Raw_Data!B311),4,2)),VALUE(LEFT(TRIM(Raw_Data!B311),2))),IF(MID(TRIM(Raw_Data!B311),5,1)="-",DATE(VALUE(LEFT(TRIM(Raw_Data!B311),4)),VALUE(MID(TRIM(Raw_Data!B311),6,2)),VALUE(RIGHT(TRIM(Raw_Data!B311),2))),DATE(VALUE(RIGHT(TRIM(Raw_Data!B311),4)),MATCH(MID(TRIM(Raw_Data!B311),4,3),{"Jan","Feb","Mar","Apr","May","Jun","Jul","Aug","Sep","Oct","Nov","Dec"},0),VALUE(LEFT(TRIM(Raw_Data!B311),2)))))),"")</f>
        <v>45700</v>
      </c>
      <c r="C311" s="17" t="str">
        <f aca="false">IF(TRIM(Raw_Data!C311)="","Unknown",PROPER(TRIM(Raw_Data!C311)))</f>
        <v>Kashif Ansari</v>
      </c>
      <c r="D311" s="17" t="str">
        <f aca="false">IFERROR(INDEX({"Punjab","Sindh","KPK","Balochistan"},MATCH(UPPER(LEFT(TRIM(Raw_Data!D311),1)),{"P","S","K","B"},0)),IFERROR(INDEX(Data_Dictionary!$G$4:$G$16,MATCH(E311,Data_Dictionary!$F$4:$F$16,0)),"Unassigned"))</f>
        <v>Punjab</v>
      </c>
      <c r="E311" s="17" t="str">
        <f aca="false">IF(TRIM(Raw_Data!E311)="","Unknown",PROPER(TRIM(Raw_Data!E311)))</f>
        <v>Rawalpindi</v>
      </c>
      <c r="F311" s="17" t="str">
        <f aca="false">IFERROR(INDEX({"Electronics","Home &amp; Kitchen","Clothing","Groceries","Beauty"},MATCH(UPPER(LEFT(TRIM(Raw_Data!F311),3)),{"ELE","HOM","CLO","GRO","BEA"},0)),"Uncategorised")</f>
        <v>Electronics</v>
      </c>
      <c r="G311" s="17" t="str">
        <f aca="false">IF(TRIM(Raw_Data!G311)="","Unknown",PROPER(TRIM(Raw_Data!G311)))</f>
        <v>Smart Television 43 Inch</v>
      </c>
      <c r="H311" s="19" t="n">
        <f aca="false">IFERROR(ABS(VALUE(TRIM(Raw_Data!H311))),"")</f>
        <v>1</v>
      </c>
      <c r="I311" s="20" t="n">
        <f aca="false">IFERROR(VALUE(TRIM(SUBSTITUTE(SUBSTITUTE(SUBSTITUTE(SUBSTITUTE(TRIM(Raw_Data!I311),"PKR",""),"Rs.",""),"Rs",""),",",""))),"")</f>
        <v>50300</v>
      </c>
      <c r="J311" s="21" t="n">
        <f aca="false">IFERROR(IF(TRIM(Raw_Data!J311)="",0,IF(VALUE(TRIM(Raw_Data!J311))&gt;1,VALUE(TRIM(Raw_Data!J311))/100,VALUE(TRIM(Raw_Data!J311)))),0)</f>
        <v>0.2</v>
      </c>
      <c r="K311" s="17" t="str">
        <f aca="false">IF(TRIM(Raw_Data!K311)="","Unassigned",PROPER(TRIM(Raw_Data!K311)))</f>
        <v>Waqar Ahmed</v>
      </c>
      <c r="L311" s="17" t="str">
        <f aca="false">IFERROR(INDEX({"Credit Card","Credit Card","Debit Card","Debit Card","Cash","PayPal"},MATCH(UPPER(LEFT(TRIM(Raw_Data!L311),2)),{"CR","CC","DE","DC","CA","PA"},0)),"Other")</f>
        <v>Debit Card</v>
      </c>
      <c r="M311" s="17" t="str">
        <f aca="false">IFERROR(INDEX({"Completed","Returned","Cancelled","Pending"},MATCH(UPPER(LEFT(TRIM(Raw_Data!M311),3)),{"COM","RET","CAN","PEN"},0)),"Unknown")</f>
        <v>Completed</v>
      </c>
      <c r="N311" s="20" t="n">
        <f aca="false">IF(OR(H311="",I311=""),"",H311*I311)</f>
        <v>50300</v>
      </c>
      <c r="O311" s="20" t="n">
        <f aca="false">IF(N311="","",N311*J311)</f>
        <v>10060</v>
      </c>
      <c r="P311" s="20" t="n">
        <f aca="false">IF(N311="","",N311-O311)</f>
        <v>40240</v>
      </c>
      <c r="Q311" s="22" t="n">
        <f aca="false">IF(B311="","",DATE(YEAR(B311),MONTH(B311),1))</f>
        <v>45689</v>
      </c>
      <c r="R311" s="17" t="str">
        <f aca="false">IF(A311="","Invalid - Exclude",IF(COUNTIF($A$2:A311,A311)&gt;1,"Duplicate - Exclude",IF(OR(B311="",H311="",I311=""),"Invalid - Exclude","Valid")))</f>
        <v>Valid</v>
      </c>
      <c r="S311" s="17" t="str">
        <f aca="false">IF(R311="Valid","",IF(R311="Duplicate - Exclude","Repeat of an earlier Order ID",IF(B311="","Date missing or unreadable",IF(H311="","Quantity missing or unreadable",IF(I311="","Unit price missing or unreadable","Order ID missing")))))</f>
        <v/>
      </c>
    </row>
    <row r="312" customFormat="false" ht="15" hidden="false" customHeight="true" outlineLevel="0" collapsed="false">
      <c r="A312" s="9" t="str">
        <f aca="false">UPPER(TRIM(Raw_Data!A312))</f>
        <v>ORD-1295</v>
      </c>
      <c r="B312" s="10" t="n">
        <f aca="false">IFERROR(IF(ISNUMBER(Raw_Data!B312),Raw_Data!B312,IF(ISNUMBER(FIND("/",Raw_Data!B312)),DATE(VALUE(RIGHT(TRIM(Raw_Data!B312),4)),VALUE(MID(TRIM(Raw_Data!B312),4,2)),VALUE(LEFT(TRIM(Raw_Data!B312),2))),IF(MID(TRIM(Raw_Data!B312),5,1)="-",DATE(VALUE(LEFT(TRIM(Raw_Data!B312),4)),VALUE(MID(TRIM(Raw_Data!B312),6,2)),VALUE(RIGHT(TRIM(Raw_Data!B312),2))),DATE(VALUE(RIGHT(TRIM(Raw_Data!B312),4)),MATCH(MID(TRIM(Raw_Data!B312),4,3),{"Jan","Feb","Mar","Apr","May","Jun","Jul","Aug","Sep","Oct","Nov","Dec"},0),VALUE(LEFT(TRIM(Raw_Data!B312),2)))))),"")</f>
        <v>45945</v>
      </c>
      <c r="C312" s="9" t="str">
        <f aca="false">IF(TRIM(Raw_Data!C312)="","Unknown",PROPER(TRIM(Raw_Data!C312)))</f>
        <v>Rabia Butt</v>
      </c>
      <c r="D312" s="9" t="str">
        <f aca="false">IFERROR(INDEX({"Punjab","Sindh","KPK","Balochistan"},MATCH(UPPER(LEFT(TRIM(Raw_Data!D312),1)),{"P","S","K","B"},0)),IFERROR(INDEX(Data_Dictionary!$G$4:$G$16,MATCH(E312,Data_Dictionary!$F$4:$F$16,0)),"Unassigned"))</f>
        <v>Sindh</v>
      </c>
      <c r="E312" s="9" t="str">
        <f aca="false">IF(TRIM(Raw_Data!E312)="","Unknown",PROPER(TRIM(Raw_Data!E312)))</f>
        <v>Sukkur</v>
      </c>
      <c r="F312" s="9" t="str">
        <f aca="false">IFERROR(INDEX({"Electronics","Home &amp; Kitchen","Clothing","Groceries","Beauty"},MATCH(UPPER(LEFT(TRIM(Raw_Data!F312),3)),{"ELE","HOM","CLO","GRO","BEA"},0)),"Uncategorised")</f>
        <v>Electronics</v>
      </c>
      <c r="G312" s="9" t="str">
        <f aca="false">IF(TRIM(Raw_Data!G312)="","Unknown",PROPER(TRIM(Raw_Data!G312)))</f>
        <v>Wireless Earbuds</v>
      </c>
      <c r="H312" s="11" t="n">
        <f aca="false">IFERROR(ABS(VALUE(TRIM(Raw_Data!H312))),"")</f>
        <v>1</v>
      </c>
      <c r="I312" s="12" t="n">
        <f aca="false">IFERROR(VALUE(TRIM(SUBSTITUTE(SUBSTITUTE(SUBSTITUTE(SUBSTITUTE(TRIM(Raw_Data!I312),"PKR",""),"Rs.",""),"Rs",""),",",""))),"")</f>
        <v>6200</v>
      </c>
      <c r="J312" s="13" t="n">
        <f aca="false">IFERROR(IF(TRIM(Raw_Data!J312)="",0,IF(VALUE(TRIM(Raw_Data!J312))&gt;1,VALUE(TRIM(Raw_Data!J312))/100,VALUE(TRIM(Raw_Data!J312)))),0)</f>
        <v>0.1</v>
      </c>
      <c r="K312" s="9" t="str">
        <f aca="false">IF(TRIM(Raw_Data!K312)="","Unassigned",PROPER(TRIM(Raw_Data!K312)))</f>
        <v>Waqar Ahmed</v>
      </c>
      <c r="L312" s="9" t="str">
        <f aca="false">IFERROR(INDEX({"Credit Card","Credit Card","Debit Card","Debit Card","Cash","PayPal"},MATCH(UPPER(LEFT(TRIM(Raw_Data!L312),2)),{"CR","CC","DE","DC","CA","PA"},0)),"Other")</f>
        <v>Debit Card</v>
      </c>
      <c r="M312" s="9" t="str">
        <f aca="false">IFERROR(INDEX({"Completed","Returned","Cancelled","Pending"},MATCH(UPPER(LEFT(TRIM(Raw_Data!M312),3)),{"COM","RET","CAN","PEN"},0)),"Unknown")</f>
        <v>Returned</v>
      </c>
      <c r="N312" s="14" t="n">
        <f aca="false">IF(OR(H312="",I312=""),"",H312*I312)</f>
        <v>6200</v>
      </c>
      <c r="O312" s="14" t="n">
        <f aca="false">IF(N312="","",N312*J312)</f>
        <v>620</v>
      </c>
      <c r="P312" s="14" t="n">
        <f aca="false">IF(N312="","",N312-O312)</f>
        <v>5580</v>
      </c>
      <c r="Q312" s="15" t="n">
        <f aca="false">IF(B312="","",DATE(YEAR(B312),MONTH(B312),1))</f>
        <v>45931</v>
      </c>
      <c r="R312" s="16" t="str">
        <f aca="false">IF(A312="","Invalid - Exclude",IF(COUNTIF($A$2:A312,A312)&gt;1,"Duplicate - Exclude",IF(OR(B312="",H312="",I312=""),"Invalid - Exclude","Valid")))</f>
        <v>Valid</v>
      </c>
      <c r="S312" s="16" t="str">
        <f aca="false">IF(R312="Valid","",IF(R312="Duplicate - Exclude","Repeat of an earlier Order ID",IF(B312="","Date missing or unreadable",IF(H312="","Quantity missing or unreadable",IF(I312="","Unit price missing or unreadable","Order ID missing")))))</f>
        <v/>
      </c>
    </row>
    <row r="313" customFormat="false" ht="15" hidden="false" customHeight="true" outlineLevel="0" collapsed="false">
      <c r="A313" s="17" t="str">
        <f aca="false">UPPER(TRIM(Raw_Data!A313))</f>
        <v>ORD-1296</v>
      </c>
      <c r="B313" s="18" t="n">
        <f aca="false">IFERROR(IF(ISNUMBER(Raw_Data!B313),Raw_Data!B313,IF(ISNUMBER(FIND("/",Raw_Data!B313)),DATE(VALUE(RIGHT(TRIM(Raw_Data!B313),4)),VALUE(MID(TRIM(Raw_Data!B313),4,2)),VALUE(LEFT(TRIM(Raw_Data!B313),2))),IF(MID(TRIM(Raw_Data!B313),5,1)="-",DATE(VALUE(LEFT(TRIM(Raw_Data!B313),4)),VALUE(MID(TRIM(Raw_Data!B313),6,2)),VALUE(RIGHT(TRIM(Raw_Data!B313),2))),DATE(VALUE(RIGHT(TRIM(Raw_Data!B313),4)),MATCH(MID(TRIM(Raw_Data!B313),4,3),{"Jan","Feb","Mar","Apr","May","Jun","Jul","Aug","Sep","Oct","Nov","Dec"},0),VALUE(LEFT(TRIM(Raw_Data!B313),2)))))),"")</f>
        <v>45871</v>
      </c>
      <c r="C313" s="17" t="str">
        <f aca="false">IF(TRIM(Raw_Data!C313)="","Unknown",PROPER(TRIM(Raw_Data!C313)))</f>
        <v>Zain Iqbal</v>
      </c>
      <c r="D313" s="17" t="str">
        <f aca="false">IFERROR(INDEX({"Punjab","Sindh","KPK","Balochistan"},MATCH(UPPER(LEFT(TRIM(Raw_Data!D313),1)),{"P","S","K","B"},0)),IFERROR(INDEX(Data_Dictionary!$G$4:$G$16,MATCH(E313,Data_Dictionary!$F$4:$F$16,0)),"Unassigned"))</f>
        <v>Punjab</v>
      </c>
      <c r="E313" s="17" t="str">
        <f aca="false">IF(TRIM(Raw_Data!E313)="","Unknown",PROPER(TRIM(Raw_Data!E313)))</f>
        <v>Lahore</v>
      </c>
      <c r="F313" s="17" t="str">
        <f aca="false">IFERROR(INDEX({"Electronics","Home &amp; Kitchen","Clothing","Groceries","Beauty"},MATCH(UPPER(LEFT(TRIM(Raw_Data!F313),3)),{"ELE","HOM","CLO","GRO","BEA"},0)),"Uncategorised")</f>
        <v>Groceries</v>
      </c>
      <c r="G313" s="17" t="str">
        <f aca="false">IF(TRIM(Raw_Data!G313)="","Unknown",PROPER(TRIM(Raw_Data!G313)))</f>
        <v>Black Tea Pack</v>
      </c>
      <c r="H313" s="19" t="n">
        <f aca="false">IFERROR(ABS(VALUE(TRIM(Raw_Data!H313))),"")</f>
        <v>3</v>
      </c>
      <c r="I313" s="20" t="n">
        <f aca="false">IFERROR(VALUE(TRIM(SUBSTITUTE(SUBSTITUTE(SUBSTITUTE(SUBSTITUTE(TRIM(Raw_Data!I313),"PKR",""),"Rs.",""),"Rs",""),",",""))),"")</f>
        <v>1450</v>
      </c>
      <c r="J313" s="21" t="n">
        <f aca="false">IFERROR(IF(TRIM(Raw_Data!J313)="",0,IF(VALUE(TRIM(Raw_Data!J313))&gt;1,VALUE(TRIM(Raw_Data!J313))/100,VALUE(TRIM(Raw_Data!J313)))),0)</f>
        <v>0</v>
      </c>
      <c r="K313" s="17" t="str">
        <f aca="false">IF(TRIM(Raw_Data!K313)="","Unassigned",PROPER(TRIM(Raw_Data!K313)))</f>
        <v>Imran Shah</v>
      </c>
      <c r="L313" s="17" t="str">
        <f aca="false">IFERROR(INDEX({"Credit Card","Credit Card","Debit Card","Debit Card","Cash","PayPal"},MATCH(UPPER(LEFT(TRIM(Raw_Data!L313),2)),{"CR","CC","DE","DC","CA","PA"},0)),"Other")</f>
        <v>PayPal</v>
      </c>
      <c r="M313" s="17" t="str">
        <f aca="false">IFERROR(INDEX({"Completed","Returned","Cancelled","Pending"},MATCH(UPPER(LEFT(TRIM(Raw_Data!M313),3)),{"COM","RET","CAN","PEN"},0)),"Unknown")</f>
        <v>Completed</v>
      </c>
      <c r="N313" s="20" t="n">
        <f aca="false">IF(OR(H313="",I313=""),"",H313*I313)</f>
        <v>4350</v>
      </c>
      <c r="O313" s="20" t="n">
        <f aca="false">IF(N313="","",N313*J313)</f>
        <v>0</v>
      </c>
      <c r="P313" s="20" t="n">
        <f aca="false">IF(N313="","",N313-O313)</f>
        <v>4350</v>
      </c>
      <c r="Q313" s="22" t="n">
        <f aca="false">IF(B313="","",DATE(YEAR(B313),MONTH(B313),1))</f>
        <v>45870</v>
      </c>
      <c r="R313" s="17" t="str">
        <f aca="false">IF(A313="","Invalid - Exclude",IF(COUNTIF($A$2:A313,A313)&gt;1,"Duplicate - Exclude",IF(OR(B313="",H313="",I313=""),"Invalid - Exclude","Valid")))</f>
        <v>Valid</v>
      </c>
      <c r="S313" s="17" t="str">
        <f aca="false">IF(R313="Valid","",IF(R313="Duplicate - Exclude","Repeat of an earlier Order ID",IF(B313="","Date missing or unreadable",IF(H313="","Quantity missing or unreadable",IF(I313="","Unit price missing or unreadable","Order ID missing")))))</f>
        <v/>
      </c>
    </row>
    <row r="314" customFormat="false" ht="15" hidden="false" customHeight="true" outlineLevel="0" collapsed="false">
      <c r="A314" s="9" t="str">
        <f aca="false">UPPER(TRIM(Raw_Data!A314))</f>
        <v>ORD-1297</v>
      </c>
      <c r="B314" s="10" t="n">
        <f aca="false">IFERROR(IF(ISNUMBER(Raw_Data!B314),Raw_Data!B314,IF(ISNUMBER(FIND("/",Raw_Data!B314)),DATE(VALUE(RIGHT(TRIM(Raw_Data!B314),4)),VALUE(MID(TRIM(Raw_Data!B314),4,2)),VALUE(LEFT(TRIM(Raw_Data!B314),2))),IF(MID(TRIM(Raw_Data!B314),5,1)="-",DATE(VALUE(LEFT(TRIM(Raw_Data!B314),4)),VALUE(MID(TRIM(Raw_Data!B314),6,2)),VALUE(RIGHT(TRIM(Raw_Data!B314),2))),DATE(VALUE(RIGHT(TRIM(Raw_Data!B314),4)),MATCH(MID(TRIM(Raw_Data!B314),4,3),{"Jan","Feb","Mar","Apr","May","Jun","Jul","Aug","Sep","Oct","Nov","Dec"},0),VALUE(LEFT(TRIM(Raw_Data!B314),2)))))),"")</f>
        <v>45980</v>
      </c>
      <c r="C314" s="9" t="str">
        <f aca="false">IF(TRIM(Raw_Data!C314)="","Unknown",PROPER(TRIM(Raw_Data!C314)))</f>
        <v>Unknown</v>
      </c>
      <c r="D314" s="9" t="str">
        <f aca="false">IFERROR(INDEX({"Punjab","Sindh","KPK","Balochistan"},MATCH(UPPER(LEFT(TRIM(Raw_Data!D314),1)),{"P","S","K","B"},0)),IFERROR(INDEX(Data_Dictionary!$G$4:$G$16,MATCH(E314,Data_Dictionary!$F$4:$F$16,0)),"Unassigned"))</f>
        <v>KPK</v>
      </c>
      <c r="E314" s="9" t="str">
        <f aca="false">IF(TRIM(Raw_Data!E314)="","Unknown",PROPER(TRIM(Raw_Data!E314)))</f>
        <v>Mardan</v>
      </c>
      <c r="F314" s="9" t="str">
        <f aca="false">IFERROR(INDEX({"Electronics","Home &amp; Kitchen","Clothing","Groceries","Beauty"},MATCH(UPPER(LEFT(TRIM(Raw_Data!F314),3)),{"ELE","HOM","CLO","GRO","BEA"},0)),"Uncategorised")</f>
        <v>Home &amp; Kitchen</v>
      </c>
      <c r="G314" s="9" t="str">
        <f aca="false">IF(TRIM(Raw_Data!G314)="","Unknown",PROPER(TRIM(Raw_Data!G314)))</f>
        <v>Bedsheet Set</v>
      </c>
      <c r="H314" s="11" t="n">
        <f aca="false">IFERROR(ABS(VALUE(TRIM(Raw_Data!H314))),"")</f>
        <v>2</v>
      </c>
      <c r="I314" s="12" t="n">
        <f aca="false">IFERROR(VALUE(TRIM(SUBSTITUTE(SUBSTITUTE(SUBSTITUTE(SUBSTITUTE(TRIM(Raw_Data!I314),"PKR",""),"Rs.",""),"Rs",""),",",""))),"")</f>
        <v>5400</v>
      </c>
      <c r="J314" s="13" t="n">
        <f aca="false">IFERROR(IF(TRIM(Raw_Data!J314)="",0,IF(VALUE(TRIM(Raw_Data!J314))&gt;1,VALUE(TRIM(Raw_Data!J314))/100,VALUE(TRIM(Raw_Data!J314)))),0)</f>
        <v>0</v>
      </c>
      <c r="K314" s="9" t="str">
        <f aca="false">IF(TRIM(Raw_Data!K314)="","Unassigned",PROPER(TRIM(Raw_Data!K314)))</f>
        <v>Waqar Ahmed</v>
      </c>
      <c r="L314" s="9" t="str">
        <f aca="false">IFERROR(INDEX({"Credit Card","Credit Card","Debit Card","Debit Card","Cash","PayPal"},MATCH(UPPER(LEFT(TRIM(Raw_Data!L314),2)),{"CR","CC","DE","DC","CA","PA"},0)),"Other")</f>
        <v>Debit Card</v>
      </c>
      <c r="M314" s="9" t="str">
        <f aca="false">IFERROR(INDEX({"Completed","Returned","Cancelled","Pending"},MATCH(UPPER(LEFT(TRIM(Raw_Data!M314),3)),{"COM","RET","CAN","PEN"},0)),"Unknown")</f>
        <v>Completed</v>
      </c>
      <c r="N314" s="14" t="n">
        <f aca="false">IF(OR(H314="",I314=""),"",H314*I314)</f>
        <v>10800</v>
      </c>
      <c r="O314" s="14" t="n">
        <f aca="false">IF(N314="","",N314*J314)</f>
        <v>0</v>
      </c>
      <c r="P314" s="14" t="n">
        <f aca="false">IF(N314="","",N314-O314)</f>
        <v>10800</v>
      </c>
      <c r="Q314" s="15" t="n">
        <f aca="false">IF(B314="","",DATE(YEAR(B314),MONTH(B314),1))</f>
        <v>45962</v>
      </c>
      <c r="R314" s="16" t="str">
        <f aca="false">IF(A314="","Invalid - Exclude",IF(COUNTIF($A$2:A314,A314)&gt;1,"Duplicate - Exclude",IF(OR(B314="",H314="",I314=""),"Invalid - Exclude","Valid")))</f>
        <v>Duplicate - Exclude</v>
      </c>
      <c r="S314" s="16" t="str">
        <f aca="false">IF(R314="Valid","",IF(R314="Duplicate - Exclude","Repeat of an earlier Order ID",IF(B314="","Date missing or unreadable",IF(H314="","Quantity missing or unreadable",IF(I314="","Unit price missing or unreadable","Order ID missing")))))</f>
        <v>Repeat of an earlier Order ID</v>
      </c>
    </row>
    <row r="315" customFormat="false" ht="15" hidden="false" customHeight="true" outlineLevel="0" collapsed="false">
      <c r="A315" s="17" t="str">
        <f aca="false">UPPER(TRIM(Raw_Data!A315))</f>
        <v>ORD-1298</v>
      </c>
      <c r="B315" s="18" t="n">
        <f aca="false">IFERROR(IF(ISNUMBER(Raw_Data!B315),Raw_Data!B315,IF(ISNUMBER(FIND("/",Raw_Data!B315)),DATE(VALUE(RIGHT(TRIM(Raw_Data!B315),4)),VALUE(MID(TRIM(Raw_Data!B315),4,2)),VALUE(LEFT(TRIM(Raw_Data!B315),2))),IF(MID(TRIM(Raw_Data!B315),5,1)="-",DATE(VALUE(LEFT(TRIM(Raw_Data!B315),4)),VALUE(MID(TRIM(Raw_Data!B315),6,2)),VALUE(RIGHT(TRIM(Raw_Data!B315),2))),DATE(VALUE(RIGHT(TRIM(Raw_Data!B315),4)),MATCH(MID(TRIM(Raw_Data!B315),4,3),{"Jan","Feb","Mar","Apr","May","Jun","Jul","Aug","Sep","Oct","Nov","Dec"},0),VALUE(LEFT(TRIM(Raw_Data!B315),2)))))),"")</f>
        <v>45823</v>
      </c>
      <c r="C315" s="17" t="str">
        <f aca="false">IF(TRIM(Raw_Data!C315)="","Unknown",PROPER(TRIM(Raw_Data!C315)))</f>
        <v>Hassan Butt</v>
      </c>
      <c r="D315" s="17" t="str">
        <f aca="false">IFERROR(INDEX({"Punjab","Sindh","KPK","Balochistan"},MATCH(UPPER(LEFT(TRIM(Raw_Data!D315),1)),{"P","S","K","B"},0)),IFERROR(INDEX(Data_Dictionary!$G$4:$G$16,MATCH(E315,Data_Dictionary!$F$4:$F$16,0)),"Unassigned"))</f>
        <v>Punjab</v>
      </c>
      <c r="E315" s="17" t="str">
        <f aca="false">IF(TRIM(Raw_Data!E315)="","Unknown",PROPER(TRIM(Raw_Data!E315)))</f>
        <v>Gujranwala</v>
      </c>
      <c r="F315" s="17" t="str">
        <f aca="false">IFERROR(INDEX({"Electronics","Home &amp; Kitchen","Clothing","Groceries","Beauty"},MATCH(UPPER(LEFT(TRIM(Raw_Data!F315),3)),{"ELE","HOM","CLO","GRO","BEA"},0)),"Uncategorised")</f>
        <v>Clothing</v>
      </c>
      <c r="G315" s="17" t="str">
        <f aca="false">IF(TRIM(Raw_Data!G315)="","Unknown",PROPER(TRIM(Raw_Data!G315)))</f>
        <v>Lawn Suit 3 Piece</v>
      </c>
      <c r="H315" s="19" t="n">
        <f aca="false">IFERROR(ABS(VALUE(TRIM(Raw_Data!H315))),"")</f>
        <v>3</v>
      </c>
      <c r="I315" s="20" t="n">
        <f aca="false">IFERROR(VALUE(TRIM(SUBSTITUTE(SUBSTITUTE(SUBSTITUTE(SUBSTITUTE(TRIM(Raw_Data!I315),"PKR",""),"Rs.",""),"Rs",""),",",""))),"")</f>
        <v>6900</v>
      </c>
      <c r="J315" s="21" t="n">
        <f aca="false">IFERROR(IF(TRIM(Raw_Data!J315)="",0,IF(VALUE(TRIM(Raw_Data!J315))&gt;1,VALUE(TRIM(Raw_Data!J315))/100,VALUE(TRIM(Raw_Data!J315)))),0)</f>
        <v>0.1</v>
      </c>
      <c r="K315" s="17" t="str">
        <f aca="false">IF(TRIM(Raw_Data!K315)="","Unassigned",PROPER(TRIM(Raw_Data!K315)))</f>
        <v>Faisal Mehmood</v>
      </c>
      <c r="L315" s="17" t="str">
        <f aca="false">IFERROR(INDEX({"Credit Card","Credit Card","Debit Card","Debit Card","Cash","PayPal"},MATCH(UPPER(LEFT(TRIM(Raw_Data!L315),2)),{"CR","CC","DE","DC","CA","PA"},0)),"Other")</f>
        <v>Debit Card</v>
      </c>
      <c r="M315" s="17" t="str">
        <f aca="false">IFERROR(INDEX({"Completed","Returned","Cancelled","Pending"},MATCH(UPPER(LEFT(TRIM(Raw_Data!M315),3)),{"COM","RET","CAN","PEN"},0)),"Unknown")</f>
        <v>Completed</v>
      </c>
      <c r="N315" s="20" t="n">
        <f aca="false">IF(OR(H315="",I315=""),"",H315*I315)</f>
        <v>20700</v>
      </c>
      <c r="O315" s="20" t="n">
        <f aca="false">IF(N315="","",N315*J315)</f>
        <v>2070</v>
      </c>
      <c r="P315" s="20" t="n">
        <f aca="false">IF(N315="","",N315-O315)</f>
        <v>18630</v>
      </c>
      <c r="Q315" s="22" t="n">
        <f aca="false">IF(B315="","",DATE(YEAR(B315),MONTH(B315),1))</f>
        <v>45809</v>
      </c>
      <c r="R315" s="17" t="str">
        <f aca="false">IF(A315="","Invalid - Exclude",IF(COUNTIF($A$2:A315,A315)&gt;1,"Duplicate - Exclude",IF(OR(B315="",H315="",I315=""),"Invalid - Exclude","Valid")))</f>
        <v>Valid</v>
      </c>
      <c r="S315" s="17" t="str">
        <f aca="false">IF(R315="Valid","",IF(R315="Duplicate - Exclude","Repeat of an earlier Order ID",IF(B315="","Date missing or unreadable",IF(H315="","Quantity missing or unreadable",IF(I315="","Unit price missing or unreadable","Order ID missing")))))</f>
        <v/>
      </c>
    </row>
    <row r="316" customFormat="false" ht="15" hidden="false" customHeight="true" outlineLevel="0" collapsed="false">
      <c r="A316" s="9" t="str">
        <f aca="false">UPPER(TRIM(Raw_Data!A316))</f>
        <v>ORD-1299</v>
      </c>
      <c r="B316" s="10" t="n">
        <f aca="false">IFERROR(IF(ISNUMBER(Raw_Data!B316),Raw_Data!B316,IF(ISNUMBER(FIND("/",Raw_Data!B316)),DATE(VALUE(RIGHT(TRIM(Raw_Data!B316),4)),VALUE(MID(TRIM(Raw_Data!B316),4,2)),VALUE(LEFT(TRIM(Raw_Data!B316),2))),IF(MID(TRIM(Raw_Data!B316),5,1)="-",DATE(VALUE(LEFT(TRIM(Raw_Data!B316),4)),VALUE(MID(TRIM(Raw_Data!B316),6,2)),VALUE(RIGHT(TRIM(Raw_Data!B316),2))),DATE(VALUE(RIGHT(TRIM(Raw_Data!B316),4)),MATCH(MID(TRIM(Raw_Data!B316),4,3),{"Jan","Feb","Mar","Apr","May","Jun","Jul","Aug","Sep","Oct","Nov","Dec"},0),VALUE(LEFT(TRIM(Raw_Data!B316),2)))))),"")</f>
        <v>45891</v>
      </c>
      <c r="C316" s="9" t="str">
        <f aca="false">IF(TRIM(Raw_Data!C316)="","Unknown",PROPER(TRIM(Raw_Data!C316)))</f>
        <v>Tariq Ansari</v>
      </c>
      <c r="D316" s="9" t="str">
        <f aca="false">IFERROR(INDEX({"Punjab","Sindh","KPK","Balochistan"},MATCH(UPPER(LEFT(TRIM(Raw_Data!D316),1)),{"P","S","K","B"},0)),IFERROR(INDEX(Data_Dictionary!$G$4:$G$16,MATCH(E316,Data_Dictionary!$F$4:$F$16,0)),"Unassigned"))</f>
        <v>Punjab</v>
      </c>
      <c r="E316" s="9" t="str">
        <f aca="false">IF(TRIM(Raw_Data!E316)="","Unknown",PROPER(TRIM(Raw_Data!E316)))</f>
        <v>Faisalabad</v>
      </c>
      <c r="F316" s="9" t="str">
        <f aca="false">IFERROR(INDEX({"Electronics","Home &amp; Kitchen","Clothing","Groceries","Beauty"},MATCH(UPPER(LEFT(TRIM(Raw_Data!F316),3)),{"ELE","HOM","CLO","GRO","BEA"},0)),"Uncategorised")</f>
        <v>Electronics</v>
      </c>
      <c r="G316" s="9" t="str">
        <f aca="false">IF(TRIM(Raw_Data!G316)="","Unknown",PROPER(TRIM(Raw_Data!G316)))</f>
        <v>Wireless Earbuds</v>
      </c>
      <c r="H316" s="11" t="n">
        <f aca="false">IFERROR(ABS(VALUE(TRIM(Raw_Data!H316))),"")</f>
        <v>8</v>
      </c>
      <c r="I316" s="12" t="n">
        <f aca="false">IFERROR(VALUE(TRIM(SUBSTITUTE(SUBSTITUTE(SUBSTITUTE(SUBSTITUTE(TRIM(Raw_Data!I316),"PKR",""),"Rs.",""),"Rs",""),",",""))),"")</f>
        <v>6450</v>
      </c>
      <c r="J316" s="13" t="n">
        <f aca="false">IFERROR(IF(TRIM(Raw_Data!J316)="",0,IF(VALUE(TRIM(Raw_Data!J316))&gt;1,VALUE(TRIM(Raw_Data!J316))/100,VALUE(TRIM(Raw_Data!J316)))),0)</f>
        <v>0.2</v>
      </c>
      <c r="K316" s="9" t="str">
        <f aca="false">IF(TRIM(Raw_Data!K316)="","Unassigned",PROPER(TRIM(Raw_Data!K316)))</f>
        <v>Sadia Noor</v>
      </c>
      <c r="L316" s="9" t="str">
        <f aca="false">IFERROR(INDEX({"Credit Card","Credit Card","Debit Card","Debit Card","Cash","PayPal"},MATCH(UPPER(LEFT(TRIM(Raw_Data!L316),2)),{"CR","CC","DE","DC","CA","PA"},0)),"Other")</f>
        <v>Credit Card</v>
      </c>
      <c r="M316" s="9" t="str">
        <f aca="false">IFERROR(INDEX({"Completed","Returned","Cancelled","Pending"},MATCH(UPPER(LEFT(TRIM(Raw_Data!M316),3)),{"COM","RET","CAN","PEN"},0)),"Unknown")</f>
        <v>Completed</v>
      </c>
      <c r="N316" s="14" t="n">
        <f aca="false">IF(OR(H316="",I316=""),"",H316*I316)</f>
        <v>51600</v>
      </c>
      <c r="O316" s="14" t="n">
        <f aca="false">IF(N316="","",N316*J316)</f>
        <v>10320</v>
      </c>
      <c r="P316" s="14" t="n">
        <f aca="false">IF(N316="","",N316-O316)</f>
        <v>41280</v>
      </c>
      <c r="Q316" s="15" t="n">
        <f aca="false">IF(B316="","",DATE(YEAR(B316),MONTH(B316),1))</f>
        <v>45870</v>
      </c>
      <c r="R316" s="16" t="str">
        <f aca="false">IF(A316="","Invalid - Exclude",IF(COUNTIF($A$2:A316,A316)&gt;1,"Duplicate - Exclude",IF(OR(B316="",H316="",I316=""),"Invalid - Exclude","Valid")))</f>
        <v>Valid</v>
      </c>
      <c r="S316" s="16" t="str">
        <f aca="false">IF(R316="Valid","",IF(R316="Duplicate - Exclude","Repeat of an earlier Order ID",IF(B316="","Date missing or unreadable",IF(H316="","Quantity missing or unreadable",IF(I316="","Unit price missing or unreadable","Order ID missing")))))</f>
        <v/>
      </c>
    </row>
    <row r="317" customFormat="false" ht="15" hidden="false" customHeight="true" outlineLevel="0" collapsed="false">
      <c r="A317" s="17" t="str">
        <f aca="false">UPPER(TRIM(Raw_Data!A317))</f>
        <v>ORD-1300</v>
      </c>
      <c r="B317" s="18" t="n">
        <f aca="false">IFERROR(IF(ISNUMBER(Raw_Data!B317),Raw_Data!B317,IF(ISNUMBER(FIND("/",Raw_Data!B317)),DATE(VALUE(RIGHT(TRIM(Raw_Data!B317),4)),VALUE(MID(TRIM(Raw_Data!B317),4,2)),VALUE(LEFT(TRIM(Raw_Data!B317),2))),IF(MID(TRIM(Raw_Data!B317),5,1)="-",DATE(VALUE(LEFT(TRIM(Raw_Data!B317),4)),VALUE(MID(TRIM(Raw_Data!B317),6,2)),VALUE(RIGHT(TRIM(Raw_Data!B317),2))),DATE(VALUE(RIGHT(TRIM(Raw_Data!B317),4)),MATCH(MID(TRIM(Raw_Data!B317),4,3),{"Jan","Feb","Mar","Apr","May","Jun","Jul","Aug","Sep","Oct","Nov","Dec"},0),VALUE(LEFT(TRIM(Raw_Data!B317),2)))))),"")</f>
        <v>45920</v>
      </c>
      <c r="C317" s="17" t="str">
        <f aca="false">IF(TRIM(Raw_Data!C317)="","Unknown",PROPER(TRIM(Raw_Data!C317)))</f>
        <v>Ahmed Qureshi</v>
      </c>
      <c r="D317" s="17" t="str">
        <f aca="false">IFERROR(INDEX({"Punjab","Sindh","KPK","Balochistan"},MATCH(UPPER(LEFT(TRIM(Raw_Data!D317),1)),{"P","S","K","B"},0)),IFERROR(INDEX(Data_Dictionary!$G$4:$G$16,MATCH(E317,Data_Dictionary!$F$4:$F$16,0)),"Unassigned"))</f>
        <v>Sindh</v>
      </c>
      <c r="E317" s="17" t="str">
        <f aca="false">IF(TRIM(Raw_Data!E317)="","Unknown",PROPER(TRIM(Raw_Data!E317)))</f>
        <v>Karachi</v>
      </c>
      <c r="F317" s="17" t="str">
        <f aca="false">IFERROR(INDEX({"Electronics","Home &amp; Kitchen","Clothing","Groceries","Beauty"},MATCH(UPPER(LEFT(TRIM(Raw_Data!F317),3)),{"ELE","HOM","CLO","GRO","BEA"},0)),"Uncategorised")</f>
        <v>Home &amp; Kitchen</v>
      </c>
      <c r="G317" s="17" t="str">
        <f aca="false">IF(TRIM(Raw_Data!G317)="","Unknown",PROPER(TRIM(Raw_Data!G317)))</f>
        <v>Rice Cooker</v>
      </c>
      <c r="H317" s="19" t="n">
        <f aca="false">IFERROR(ABS(VALUE(TRIM(Raw_Data!H317))),"")</f>
        <v>7</v>
      </c>
      <c r="I317" s="20" t="n">
        <f aca="false">IFERROR(VALUE(TRIM(SUBSTITUTE(SUBSTITUTE(SUBSTITUTE(SUBSTITUTE(TRIM(Raw_Data!I317),"PKR",""),"Rs.",""),"Rs",""),",",""))),"")</f>
        <v>7450</v>
      </c>
      <c r="J317" s="21" t="n">
        <f aca="false">IFERROR(IF(TRIM(Raw_Data!J317)="",0,IF(VALUE(TRIM(Raw_Data!J317))&gt;1,VALUE(TRIM(Raw_Data!J317))/100,VALUE(TRIM(Raw_Data!J317)))),0)</f>
        <v>0</v>
      </c>
      <c r="K317" s="17" t="str">
        <f aca="false">IF(TRIM(Raw_Data!K317)="","Unassigned",PROPER(TRIM(Raw_Data!K317)))</f>
        <v>Nimra Aslam</v>
      </c>
      <c r="L317" s="17" t="str">
        <f aca="false">IFERROR(INDEX({"Credit Card","Credit Card","Debit Card","Debit Card","Cash","PayPal"},MATCH(UPPER(LEFT(TRIM(Raw_Data!L317),2)),{"CR","CC","DE","DC","CA","PA"},0)),"Other")</f>
        <v>PayPal</v>
      </c>
      <c r="M317" s="17" t="str">
        <f aca="false">IFERROR(INDEX({"Completed","Returned","Cancelled","Pending"},MATCH(UPPER(LEFT(TRIM(Raw_Data!M317),3)),{"COM","RET","CAN","PEN"},0)),"Unknown")</f>
        <v>Completed</v>
      </c>
      <c r="N317" s="20" t="n">
        <f aca="false">IF(OR(H317="",I317=""),"",H317*I317)</f>
        <v>52150</v>
      </c>
      <c r="O317" s="20" t="n">
        <f aca="false">IF(N317="","",N317*J317)</f>
        <v>0</v>
      </c>
      <c r="P317" s="20" t="n">
        <f aca="false">IF(N317="","",N317-O317)</f>
        <v>52150</v>
      </c>
      <c r="Q317" s="22" t="n">
        <f aca="false">IF(B317="","",DATE(YEAR(B317),MONTH(B317),1))</f>
        <v>45901</v>
      </c>
      <c r="R317" s="17" t="str">
        <f aca="false">IF(A317="","Invalid - Exclude",IF(COUNTIF($A$2:A317,A317)&gt;1,"Duplicate - Exclude",IF(OR(B317="",H317="",I317=""),"Invalid - Exclude","Valid")))</f>
        <v>Valid</v>
      </c>
      <c r="S317" s="17" t="str">
        <f aca="false">IF(R317="Valid","",IF(R317="Duplicate - Exclude","Repeat of an earlier Order ID",IF(B317="","Date missing or unreadable",IF(H317="","Quantity missing or unreadable",IF(I317="","Unit price missing or unreadable","Order ID missing")))))</f>
        <v/>
      </c>
    </row>
    <row r="318" customFormat="false" ht="15" hidden="false" customHeight="true" outlineLevel="0" collapsed="false">
      <c r="A318" s="9" t="str">
        <f aca="false">UPPER(TRIM(Raw_Data!A318))</f>
        <v>ORD-1301</v>
      </c>
      <c r="B318" s="10" t="n">
        <f aca="false">IFERROR(IF(ISNUMBER(Raw_Data!B318),Raw_Data!B318,IF(ISNUMBER(FIND("/",Raw_Data!B318)),DATE(VALUE(RIGHT(TRIM(Raw_Data!B318),4)),VALUE(MID(TRIM(Raw_Data!B318),4,2)),VALUE(LEFT(TRIM(Raw_Data!B318),2))),IF(MID(TRIM(Raw_Data!B318),5,1)="-",DATE(VALUE(LEFT(TRIM(Raw_Data!B318),4)),VALUE(MID(TRIM(Raw_Data!B318),6,2)),VALUE(RIGHT(TRIM(Raw_Data!B318),2))),DATE(VALUE(RIGHT(TRIM(Raw_Data!B318),4)),MATCH(MID(TRIM(Raw_Data!B318),4,3),{"Jan","Feb","Mar","Apr","May","Jun","Jul","Aug","Sep","Oct","Nov","Dec"},0),VALUE(LEFT(TRIM(Raw_Data!B318),2)))))),"")</f>
        <v>45962</v>
      </c>
      <c r="C318" s="9" t="str">
        <f aca="false">IF(TRIM(Raw_Data!C318)="","Unknown",PROPER(TRIM(Raw_Data!C318)))</f>
        <v>Ayesha Qureshi</v>
      </c>
      <c r="D318" s="9" t="str">
        <f aca="false">IFERROR(INDEX({"Punjab","Sindh","KPK","Balochistan"},MATCH(UPPER(LEFT(TRIM(Raw_Data!D318),1)),{"P","S","K","B"},0)),IFERROR(INDEX(Data_Dictionary!$G$4:$G$16,MATCH(E318,Data_Dictionary!$F$4:$F$16,0)),"Unassigned"))</f>
        <v>Punjab</v>
      </c>
      <c r="E318" s="9" t="str">
        <f aca="false">IF(TRIM(Raw_Data!E318)="","Unknown",PROPER(TRIM(Raw_Data!E318)))</f>
        <v>Gujranwala</v>
      </c>
      <c r="F318" s="9" t="str">
        <f aca="false">IFERROR(INDEX({"Electronics","Home &amp; Kitchen","Clothing","Groceries","Beauty"},MATCH(UPPER(LEFT(TRIM(Raw_Data!F318),3)),{"ELE","HOM","CLO","GRO","BEA"},0)),"Uncategorised")</f>
        <v>Groceries</v>
      </c>
      <c r="G318" s="9" t="str">
        <f aca="false">IF(TRIM(Raw_Data!G318)="","Unknown",PROPER(TRIM(Raw_Data!G318)))</f>
        <v>Black Tea Pack</v>
      </c>
      <c r="H318" s="11" t="n">
        <f aca="false">IFERROR(ABS(VALUE(TRIM(Raw_Data!H318))),"")</f>
        <v>6</v>
      </c>
      <c r="I318" s="12" t="n">
        <f aca="false">IFERROR(VALUE(TRIM(SUBSTITUTE(SUBSTITUTE(SUBSTITUTE(SUBSTITUTE(TRIM(Raw_Data!I318),"PKR",""),"Rs.",""),"Rs",""),",",""))),"")</f>
        <v>1500</v>
      </c>
      <c r="J318" s="13" t="n">
        <f aca="false">IFERROR(IF(TRIM(Raw_Data!J318)="",0,IF(VALUE(TRIM(Raw_Data!J318))&gt;1,VALUE(TRIM(Raw_Data!J318))/100,VALUE(TRIM(Raw_Data!J318)))),0)</f>
        <v>0.05</v>
      </c>
      <c r="K318" s="9" t="str">
        <f aca="false">IF(TRIM(Raw_Data!K318)="","Unassigned",PROPER(TRIM(Raw_Data!K318)))</f>
        <v>Faisal Mehmood</v>
      </c>
      <c r="L318" s="9" t="str">
        <f aca="false">IFERROR(INDEX({"Credit Card","Credit Card","Debit Card","Debit Card","Cash","PayPal"},MATCH(UPPER(LEFT(TRIM(Raw_Data!L318),2)),{"CR","CC","DE","DC","CA","PA"},0)),"Other")</f>
        <v>Credit Card</v>
      </c>
      <c r="M318" s="9" t="str">
        <f aca="false">IFERROR(INDEX({"Completed","Returned","Cancelled","Pending"},MATCH(UPPER(LEFT(TRIM(Raw_Data!M318),3)),{"COM","RET","CAN","PEN"},0)),"Unknown")</f>
        <v>Completed</v>
      </c>
      <c r="N318" s="14" t="n">
        <f aca="false">IF(OR(H318="",I318=""),"",H318*I318)</f>
        <v>9000</v>
      </c>
      <c r="O318" s="14" t="n">
        <f aca="false">IF(N318="","",N318*J318)</f>
        <v>450</v>
      </c>
      <c r="P318" s="14" t="n">
        <f aca="false">IF(N318="","",N318-O318)</f>
        <v>8550</v>
      </c>
      <c r="Q318" s="15" t="n">
        <f aca="false">IF(B318="","",DATE(YEAR(B318),MONTH(B318),1))</f>
        <v>45962</v>
      </c>
      <c r="R318" s="16" t="str">
        <f aca="false">IF(A318="","Invalid - Exclude",IF(COUNTIF($A$2:A318,A318)&gt;1,"Duplicate - Exclude",IF(OR(B318="",H318="",I318=""),"Invalid - Exclude","Valid")))</f>
        <v>Valid</v>
      </c>
      <c r="S318" s="16" t="str">
        <f aca="false">IF(R318="Valid","",IF(R318="Duplicate - Exclude","Repeat of an earlier Order ID",IF(B318="","Date missing or unreadable",IF(H318="","Quantity missing or unreadable",IF(I318="","Unit price missing or unreadable","Order ID missing")))))</f>
        <v/>
      </c>
    </row>
    <row r="319" customFormat="false" ht="15" hidden="false" customHeight="true" outlineLevel="0" collapsed="false">
      <c r="A319" s="17" t="str">
        <f aca="false">UPPER(TRIM(Raw_Data!A319))</f>
        <v>ORD-1302</v>
      </c>
      <c r="B319" s="18" t="n">
        <f aca="false">IFERROR(IF(ISNUMBER(Raw_Data!B319),Raw_Data!B319,IF(ISNUMBER(FIND("/",Raw_Data!B319)),DATE(VALUE(RIGHT(TRIM(Raw_Data!B319),4)),VALUE(MID(TRIM(Raw_Data!B319),4,2)),VALUE(LEFT(TRIM(Raw_Data!B319),2))),IF(MID(TRIM(Raw_Data!B319),5,1)="-",DATE(VALUE(LEFT(TRIM(Raw_Data!B319),4)),VALUE(MID(TRIM(Raw_Data!B319),6,2)),VALUE(RIGHT(TRIM(Raw_Data!B319),2))),DATE(VALUE(RIGHT(TRIM(Raw_Data!B319),4)),MATCH(MID(TRIM(Raw_Data!B319),4,3),{"Jan","Feb","Mar","Apr","May","Jun","Jul","Aug","Sep","Oct","Nov","Dec"},0),VALUE(LEFT(TRIM(Raw_Data!B319),2)))))),"")</f>
        <v>45870</v>
      </c>
      <c r="C319" s="17" t="str">
        <f aca="false">IF(TRIM(Raw_Data!C319)="","Unknown",PROPER(TRIM(Raw_Data!C319)))</f>
        <v>Iqra Sheikh</v>
      </c>
      <c r="D319" s="17" t="str">
        <f aca="false">IFERROR(INDEX({"Punjab","Sindh","KPK","Balochistan"},MATCH(UPPER(LEFT(TRIM(Raw_Data!D319),1)),{"P","S","K","B"},0)),IFERROR(INDEX(Data_Dictionary!$G$4:$G$16,MATCH(E319,Data_Dictionary!$F$4:$F$16,0)),"Unassigned"))</f>
        <v>KPK</v>
      </c>
      <c r="E319" s="17" t="str">
        <f aca="false">IF(TRIM(Raw_Data!E319)="","Unknown",PROPER(TRIM(Raw_Data!E319)))</f>
        <v>Abbottabad</v>
      </c>
      <c r="F319" s="17" t="str">
        <f aca="false">IFERROR(INDEX({"Electronics","Home &amp; Kitchen","Clothing","Groceries","Beauty"},MATCH(UPPER(LEFT(TRIM(Raw_Data!F319),3)),{"ELE","HOM","CLO","GRO","BEA"},0)),"Uncategorised")</f>
        <v>Home &amp; Kitchen</v>
      </c>
      <c r="G319" s="17" t="str">
        <f aca="false">IF(TRIM(Raw_Data!G319)="","Unknown",PROPER(TRIM(Raw_Data!G319)))</f>
        <v>Hand Blender</v>
      </c>
      <c r="H319" s="19" t="n">
        <f aca="false">IFERROR(ABS(VALUE(TRIM(Raw_Data!H319))),"")</f>
        <v>2</v>
      </c>
      <c r="I319" s="20" t="n">
        <f aca="false">IFERROR(VALUE(TRIM(SUBSTITUTE(SUBSTITUTE(SUBSTITUTE(SUBSTITUTE(TRIM(Raw_Data!I319),"PKR",""),"Rs.",""),"Rs",""),",",""))),"")</f>
        <v>3750</v>
      </c>
      <c r="J319" s="21" t="n">
        <f aca="false">IFERROR(IF(TRIM(Raw_Data!J319)="",0,IF(VALUE(TRIM(Raw_Data!J319))&gt;1,VALUE(TRIM(Raw_Data!J319))/100,VALUE(TRIM(Raw_Data!J319)))),0)</f>
        <v>0</v>
      </c>
      <c r="K319" s="17" t="str">
        <f aca="false">IF(TRIM(Raw_Data!K319)="","Unassigned",PROPER(TRIM(Raw_Data!K319)))</f>
        <v>Zoya Tariq</v>
      </c>
      <c r="L319" s="17" t="str">
        <f aca="false">IFERROR(INDEX({"Credit Card","Credit Card","Debit Card","Debit Card","Cash","PayPal"},MATCH(UPPER(LEFT(TRIM(Raw_Data!L319),2)),{"CR","CC","DE","DC","CA","PA"},0)),"Other")</f>
        <v>Debit Card</v>
      </c>
      <c r="M319" s="17" t="str">
        <f aca="false">IFERROR(INDEX({"Completed","Returned","Cancelled","Pending"},MATCH(UPPER(LEFT(TRIM(Raw_Data!M319),3)),{"COM","RET","CAN","PEN"},0)),"Unknown")</f>
        <v>Pending</v>
      </c>
      <c r="N319" s="20" t="n">
        <f aca="false">IF(OR(H319="",I319=""),"",H319*I319)</f>
        <v>7500</v>
      </c>
      <c r="O319" s="20" t="n">
        <f aca="false">IF(N319="","",N319*J319)</f>
        <v>0</v>
      </c>
      <c r="P319" s="20" t="n">
        <f aca="false">IF(N319="","",N319-O319)</f>
        <v>7500</v>
      </c>
      <c r="Q319" s="22" t="n">
        <f aca="false">IF(B319="","",DATE(YEAR(B319),MONTH(B319),1))</f>
        <v>45870</v>
      </c>
      <c r="R319" s="17" t="str">
        <f aca="false">IF(A319="","Invalid - Exclude",IF(COUNTIF($A$2:A319,A319)&gt;1,"Duplicate - Exclude",IF(OR(B319="",H319="",I319=""),"Invalid - Exclude","Valid")))</f>
        <v>Valid</v>
      </c>
      <c r="S319" s="17" t="str">
        <f aca="false">IF(R319="Valid","",IF(R319="Duplicate - Exclude","Repeat of an earlier Order ID",IF(B319="","Date missing or unreadable",IF(H319="","Quantity missing or unreadable",IF(I319="","Unit price missing or unreadable","Order ID missing")))))</f>
        <v/>
      </c>
    </row>
    <row r="320" customFormat="false" ht="15" hidden="false" customHeight="true" outlineLevel="0" collapsed="false">
      <c r="A320" s="9" t="str">
        <f aca="false">UPPER(TRIM(Raw_Data!A320))</f>
        <v>ORD-1303</v>
      </c>
      <c r="B320" s="10" t="n">
        <f aca="false">IFERROR(IF(ISNUMBER(Raw_Data!B320),Raw_Data!B320,IF(ISNUMBER(FIND("/",Raw_Data!B320)),DATE(VALUE(RIGHT(TRIM(Raw_Data!B320),4)),VALUE(MID(TRIM(Raw_Data!B320),4,2)),VALUE(LEFT(TRIM(Raw_Data!B320),2))),IF(MID(TRIM(Raw_Data!B320),5,1)="-",DATE(VALUE(LEFT(TRIM(Raw_Data!B320),4)),VALUE(MID(TRIM(Raw_Data!B320),6,2)),VALUE(RIGHT(TRIM(Raw_Data!B320),2))),DATE(VALUE(RIGHT(TRIM(Raw_Data!B320),4)),MATCH(MID(TRIM(Raw_Data!B320),4,3),{"Jan","Feb","Mar","Apr","May","Jun","Jul","Aug","Sep","Oct","Nov","Dec"},0),VALUE(LEFT(TRIM(Raw_Data!B320),2)))))),"")</f>
        <v>45903</v>
      </c>
      <c r="C320" s="9" t="str">
        <f aca="false">IF(TRIM(Raw_Data!C320)="","Unknown",PROPER(TRIM(Raw_Data!C320)))</f>
        <v>Noor Sheikh</v>
      </c>
      <c r="D320" s="9" t="str">
        <f aca="false">IFERROR(INDEX({"Punjab","Sindh","KPK","Balochistan"},MATCH(UPPER(LEFT(TRIM(Raw_Data!D320),1)),{"P","S","K","B"},0)),IFERROR(INDEX(Data_Dictionary!$G$4:$G$16,MATCH(E320,Data_Dictionary!$F$4:$F$16,0)),"Unassigned"))</f>
        <v>Punjab</v>
      </c>
      <c r="E320" s="9" t="str">
        <f aca="false">IF(TRIM(Raw_Data!E320)="","Unknown",PROPER(TRIM(Raw_Data!E320)))</f>
        <v>Lahore</v>
      </c>
      <c r="F320" s="9" t="str">
        <f aca="false">IFERROR(INDEX({"Electronics","Home &amp; Kitchen","Clothing","Groceries","Beauty"},MATCH(UPPER(LEFT(TRIM(Raw_Data!F320),3)),{"ELE","HOM","CLO","GRO","BEA"},0)),"Uncategorised")</f>
        <v>Electronics</v>
      </c>
      <c r="G320" s="9" t="str">
        <f aca="false">IF(TRIM(Raw_Data!G320)="","Unknown",PROPER(TRIM(Raw_Data!G320)))</f>
        <v>Smart Watch</v>
      </c>
      <c r="H320" s="11" t="n">
        <f aca="false">IFERROR(ABS(VALUE(TRIM(Raw_Data!H320))),"")</f>
        <v>5</v>
      </c>
      <c r="I320" s="12" t="n">
        <f aca="false">IFERROR(VALUE(TRIM(SUBSTITUTE(SUBSTITUTE(SUBSTITUTE(SUBSTITUTE(TRIM(Raw_Data!I320),"PKR",""),"Rs.",""),"Rs",""),",",""))),"")</f>
        <v>9300</v>
      </c>
      <c r="J320" s="13" t="n">
        <f aca="false">IFERROR(IF(TRIM(Raw_Data!J320)="",0,IF(VALUE(TRIM(Raw_Data!J320))&gt;1,VALUE(TRIM(Raw_Data!J320))/100,VALUE(TRIM(Raw_Data!J320)))),0)</f>
        <v>0.1</v>
      </c>
      <c r="K320" s="9" t="str">
        <f aca="false">IF(TRIM(Raw_Data!K320)="","Unassigned",PROPER(TRIM(Raw_Data!K320)))</f>
        <v>Zoya Tariq</v>
      </c>
      <c r="L320" s="9" t="str">
        <f aca="false">IFERROR(INDEX({"Credit Card","Credit Card","Debit Card","Debit Card","Cash","PayPal"},MATCH(UPPER(LEFT(TRIM(Raw_Data!L320),2)),{"CR","CC","DE","DC","CA","PA"},0)),"Other")</f>
        <v>Debit Card</v>
      </c>
      <c r="M320" s="9" t="str">
        <f aca="false">IFERROR(INDEX({"Completed","Returned","Cancelled","Pending"},MATCH(UPPER(LEFT(TRIM(Raw_Data!M320),3)),{"COM","RET","CAN","PEN"},0)),"Unknown")</f>
        <v>Completed</v>
      </c>
      <c r="N320" s="14" t="n">
        <f aca="false">IF(OR(H320="",I320=""),"",H320*I320)</f>
        <v>46500</v>
      </c>
      <c r="O320" s="14" t="n">
        <f aca="false">IF(N320="","",N320*J320)</f>
        <v>4650</v>
      </c>
      <c r="P320" s="14" t="n">
        <f aca="false">IF(N320="","",N320-O320)</f>
        <v>41850</v>
      </c>
      <c r="Q320" s="15" t="n">
        <f aca="false">IF(B320="","",DATE(YEAR(B320),MONTH(B320),1))</f>
        <v>45901</v>
      </c>
      <c r="R320" s="16" t="str">
        <f aca="false">IF(A320="","Invalid - Exclude",IF(COUNTIF($A$2:A320,A320)&gt;1,"Duplicate - Exclude",IF(OR(B320="",H320="",I320=""),"Invalid - Exclude","Valid")))</f>
        <v>Valid</v>
      </c>
      <c r="S320" s="16" t="str">
        <f aca="false">IF(R320="Valid","",IF(R320="Duplicate - Exclude","Repeat of an earlier Order ID",IF(B320="","Date missing or unreadable",IF(H320="","Quantity missing or unreadable",IF(I320="","Unit price missing or unreadable","Order ID missing")))))</f>
        <v/>
      </c>
    </row>
    <row r="321" customFormat="false" ht="15" hidden="false" customHeight="true" outlineLevel="0" collapsed="false">
      <c r="A321" s="17" t="str">
        <f aca="false">UPPER(TRIM(Raw_Data!A321))</f>
        <v>ORD-1304</v>
      </c>
      <c r="B321" s="18" t="n">
        <f aca="false">IFERROR(IF(ISNUMBER(Raw_Data!B321),Raw_Data!B321,IF(ISNUMBER(FIND("/",Raw_Data!B321)),DATE(VALUE(RIGHT(TRIM(Raw_Data!B321),4)),VALUE(MID(TRIM(Raw_Data!B321),4,2)),VALUE(LEFT(TRIM(Raw_Data!B321),2))),IF(MID(TRIM(Raw_Data!B321),5,1)="-",DATE(VALUE(LEFT(TRIM(Raw_Data!B321),4)),VALUE(MID(TRIM(Raw_Data!B321),6,2)),VALUE(RIGHT(TRIM(Raw_Data!B321),2))),DATE(VALUE(RIGHT(TRIM(Raw_Data!B321),4)),MATCH(MID(TRIM(Raw_Data!B321),4,3),{"Jan","Feb","Mar","Apr","May","Jun","Jul","Aug","Sep","Oct","Nov","Dec"},0),VALUE(LEFT(TRIM(Raw_Data!B321),2)))))),"")</f>
        <v>45771</v>
      </c>
      <c r="C321" s="17" t="str">
        <f aca="false">IF(TRIM(Raw_Data!C321)="","Unknown",PROPER(TRIM(Raw_Data!C321)))</f>
        <v>Zain Iqbal</v>
      </c>
      <c r="D321" s="17" t="str">
        <f aca="false">IFERROR(INDEX({"Punjab","Sindh","KPK","Balochistan"},MATCH(UPPER(LEFT(TRIM(Raw_Data!D321),1)),{"P","S","K","B"},0)),IFERROR(INDEX(Data_Dictionary!$G$4:$G$16,MATCH(E321,Data_Dictionary!$F$4:$F$16,0)),"Unassigned"))</f>
        <v>Sindh</v>
      </c>
      <c r="E321" s="17" t="str">
        <f aca="false">IF(TRIM(Raw_Data!E321)="","Unknown",PROPER(TRIM(Raw_Data!E321)))</f>
        <v>Hyderabad</v>
      </c>
      <c r="F321" s="17" t="str">
        <f aca="false">IFERROR(INDEX({"Electronics","Home &amp; Kitchen","Clothing","Groceries","Beauty"},MATCH(UPPER(LEFT(TRIM(Raw_Data!F321),3)),{"ELE","HOM","CLO","GRO","BEA"},0)),"Uncategorised")</f>
        <v>Clothing</v>
      </c>
      <c r="G321" s="17" t="str">
        <f aca="false">IF(TRIM(Raw_Data!G321)="","Unknown",PROPER(TRIM(Raw_Data!G321)))</f>
        <v>Mens Kurta</v>
      </c>
      <c r="H321" s="19" t="n">
        <f aca="false">IFERROR(ABS(VALUE(TRIM(Raw_Data!H321))),"")</f>
        <v>5</v>
      </c>
      <c r="I321" s="20" t="n">
        <f aca="false">IFERROR(VALUE(TRIM(SUBSTITUTE(SUBSTITUTE(SUBSTITUTE(SUBSTITUTE(TRIM(Raw_Data!I321),"PKR",""),"Rs.",""),"Rs",""),",",""))),"")</f>
        <v>3250</v>
      </c>
      <c r="J321" s="21" t="n">
        <f aca="false">IFERROR(IF(TRIM(Raw_Data!J321)="",0,IF(VALUE(TRIM(Raw_Data!J321))&gt;1,VALUE(TRIM(Raw_Data!J321))/100,VALUE(TRIM(Raw_Data!J321)))),0)</f>
        <v>0</v>
      </c>
      <c r="K321" s="17" t="str">
        <f aca="false">IF(TRIM(Raw_Data!K321)="","Unassigned",PROPER(TRIM(Raw_Data!K321)))</f>
        <v>Sadia Noor</v>
      </c>
      <c r="L321" s="17" t="str">
        <f aca="false">IFERROR(INDEX({"Credit Card","Credit Card","Debit Card","Debit Card","Cash","PayPal"},MATCH(UPPER(LEFT(TRIM(Raw_Data!L321),2)),{"CR","CC","DE","DC","CA","PA"},0)),"Other")</f>
        <v>Credit Card</v>
      </c>
      <c r="M321" s="17" t="str">
        <f aca="false">IFERROR(INDEX({"Completed","Returned","Cancelled","Pending"},MATCH(UPPER(LEFT(TRIM(Raw_Data!M321),3)),{"COM","RET","CAN","PEN"},0)),"Unknown")</f>
        <v>Completed</v>
      </c>
      <c r="N321" s="20" t="n">
        <f aca="false">IF(OR(H321="",I321=""),"",H321*I321)</f>
        <v>16250</v>
      </c>
      <c r="O321" s="20" t="n">
        <f aca="false">IF(N321="","",N321*J321)</f>
        <v>0</v>
      </c>
      <c r="P321" s="20" t="n">
        <f aca="false">IF(N321="","",N321-O321)</f>
        <v>16250</v>
      </c>
      <c r="Q321" s="22" t="n">
        <f aca="false">IF(B321="","",DATE(YEAR(B321),MONTH(B321),1))</f>
        <v>45748</v>
      </c>
      <c r="R321" s="17" t="str">
        <f aca="false">IF(A321="","Invalid - Exclude",IF(COUNTIF($A$2:A321,A321)&gt;1,"Duplicate - Exclude",IF(OR(B321="",H321="",I321=""),"Invalid - Exclude","Valid")))</f>
        <v>Duplicate - Exclude</v>
      </c>
      <c r="S321" s="17" t="str">
        <f aca="false">IF(R321="Valid","",IF(R321="Duplicate - Exclude","Repeat of an earlier Order ID",IF(B321="","Date missing or unreadable",IF(H321="","Quantity missing or unreadable",IF(I321="","Unit price missing or unreadable","Order ID missing")))))</f>
        <v>Repeat of an earlier Order ID</v>
      </c>
    </row>
    <row r="322" customFormat="false" ht="15" hidden="false" customHeight="true" outlineLevel="0" collapsed="false">
      <c r="A322" s="9" t="str">
        <f aca="false">UPPER(TRIM(Raw_Data!A322))</f>
        <v>ORD-1305</v>
      </c>
      <c r="B322" s="10" t="n">
        <f aca="false">IFERROR(IF(ISNUMBER(Raw_Data!B322),Raw_Data!B322,IF(ISNUMBER(FIND("/",Raw_Data!B322)),DATE(VALUE(RIGHT(TRIM(Raw_Data!B322),4)),VALUE(MID(TRIM(Raw_Data!B322),4,2)),VALUE(LEFT(TRIM(Raw_Data!B322),2))),IF(MID(TRIM(Raw_Data!B322),5,1)="-",DATE(VALUE(LEFT(TRIM(Raw_Data!B322),4)),VALUE(MID(TRIM(Raw_Data!B322),6,2)),VALUE(RIGHT(TRIM(Raw_Data!B322),2))),DATE(VALUE(RIGHT(TRIM(Raw_Data!B322),4)),MATCH(MID(TRIM(Raw_Data!B322),4,3),{"Jan","Feb","Mar","Apr","May","Jun","Jul","Aug","Sep","Oct","Nov","Dec"},0),VALUE(LEFT(TRIM(Raw_Data!B322),2)))))),"")</f>
        <v>45891</v>
      </c>
      <c r="C322" s="9" t="str">
        <f aca="false">IF(TRIM(Raw_Data!C322)="","Unknown",PROPER(TRIM(Raw_Data!C322)))</f>
        <v>Noor Sheikh</v>
      </c>
      <c r="D322" s="9" t="str">
        <f aca="false">IFERROR(INDEX({"Punjab","Sindh","KPK","Balochistan"},MATCH(UPPER(LEFT(TRIM(Raw_Data!D322),1)),{"P","S","K","B"},0)),IFERROR(INDEX(Data_Dictionary!$G$4:$G$16,MATCH(E322,Data_Dictionary!$F$4:$F$16,0)),"Unassigned"))</f>
        <v>Punjab</v>
      </c>
      <c r="E322" s="9" t="str">
        <f aca="false">IF(TRIM(Raw_Data!E322)="","Unknown",PROPER(TRIM(Raw_Data!E322)))</f>
        <v>Gujranwala</v>
      </c>
      <c r="F322" s="9" t="str">
        <f aca="false">IFERROR(INDEX({"Electronics","Home &amp; Kitchen","Clothing","Groceries","Beauty"},MATCH(UPPER(LEFT(TRIM(Raw_Data!F322),3)),{"ELE","HOM","CLO","GRO","BEA"},0)),"Uncategorised")</f>
        <v>Home &amp; Kitchen</v>
      </c>
      <c r="G322" s="9" t="str">
        <f aca="false">IF(TRIM(Raw_Data!G322)="","Unknown",PROPER(TRIM(Raw_Data!G322)))</f>
        <v>Air Fryer</v>
      </c>
      <c r="H322" s="11" t="n">
        <f aca="false">IFERROR(ABS(VALUE(TRIM(Raw_Data!H322))),"")</f>
        <v>4</v>
      </c>
      <c r="I322" s="12" t="n">
        <f aca="false">IFERROR(VALUE(TRIM(SUBSTITUTE(SUBSTITUTE(SUBSTITUTE(SUBSTITUTE(TRIM(Raw_Data!I322),"PKR",""),"Rs.",""),"Rs",""),",",""))),"")</f>
        <v>17850</v>
      </c>
      <c r="J322" s="13" t="n">
        <f aca="false">IFERROR(IF(TRIM(Raw_Data!J322)="",0,IF(VALUE(TRIM(Raw_Data!J322))&gt;1,VALUE(TRIM(Raw_Data!J322))/100,VALUE(TRIM(Raw_Data!J322)))),0)</f>
        <v>0</v>
      </c>
      <c r="K322" s="9" t="str">
        <f aca="false">IF(TRIM(Raw_Data!K322)="","Unassigned",PROPER(TRIM(Raw_Data!K322)))</f>
        <v>Zoya Tariq</v>
      </c>
      <c r="L322" s="9" t="str">
        <f aca="false">IFERROR(INDEX({"Credit Card","Credit Card","Debit Card","Debit Card","Cash","PayPal"},MATCH(UPPER(LEFT(TRIM(Raw_Data!L322),2)),{"CR","CC","DE","DC","CA","PA"},0)),"Other")</f>
        <v>Cash</v>
      </c>
      <c r="M322" s="9" t="str">
        <f aca="false">IFERROR(INDEX({"Completed","Returned","Cancelled","Pending"},MATCH(UPPER(LEFT(TRIM(Raw_Data!M322),3)),{"COM","RET","CAN","PEN"},0)),"Unknown")</f>
        <v>Completed</v>
      </c>
      <c r="N322" s="14" t="n">
        <f aca="false">IF(OR(H322="",I322=""),"",H322*I322)</f>
        <v>71400</v>
      </c>
      <c r="O322" s="14" t="n">
        <f aca="false">IF(N322="","",N322*J322)</f>
        <v>0</v>
      </c>
      <c r="P322" s="14" t="n">
        <f aca="false">IF(N322="","",N322-O322)</f>
        <v>71400</v>
      </c>
      <c r="Q322" s="15" t="n">
        <f aca="false">IF(B322="","",DATE(YEAR(B322),MONTH(B322),1))</f>
        <v>45870</v>
      </c>
      <c r="R322" s="16" t="str">
        <f aca="false">IF(A322="","Invalid - Exclude",IF(COUNTIF($A$2:A322,A322)&gt;1,"Duplicate - Exclude",IF(OR(B322="",H322="",I322=""),"Invalid - Exclude","Valid")))</f>
        <v>Valid</v>
      </c>
      <c r="S322" s="16" t="str">
        <f aca="false">IF(R322="Valid","",IF(R322="Duplicate - Exclude","Repeat of an earlier Order ID",IF(B322="","Date missing or unreadable",IF(H322="","Quantity missing or unreadable",IF(I322="","Unit price missing or unreadable","Order ID missing")))))</f>
        <v/>
      </c>
    </row>
    <row r="323" customFormat="false" ht="15" hidden="false" customHeight="true" outlineLevel="0" collapsed="false">
      <c r="A323" s="17" t="str">
        <f aca="false">UPPER(TRIM(Raw_Data!A323))</f>
        <v>ORD-1306</v>
      </c>
      <c r="B323" s="18" t="n">
        <f aca="false">IFERROR(IF(ISNUMBER(Raw_Data!B323),Raw_Data!B323,IF(ISNUMBER(FIND("/",Raw_Data!B323)),DATE(VALUE(RIGHT(TRIM(Raw_Data!B323),4)),VALUE(MID(TRIM(Raw_Data!B323),4,2)),VALUE(LEFT(TRIM(Raw_Data!B323),2))),IF(MID(TRIM(Raw_Data!B323),5,1)="-",DATE(VALUE(LEFT(TRIM(Raw_Data!B323),4)),VALUE(MID(TRIM(Raw_Data!B323),6,2)),VALUE(RIGHT(TRIM(Raw_Data!B323),2))),DATE(VALUE(RIGHT(TRIM(Raw_Data!B323),4)),MATCH(MID(TRIM(Raw_Data!B323),4,3),{"Jan","Feb","Mar","Apr","May","Jun","Jul","Aug","Sep","Oct","Nov","Dec"},0),VALUE(LEFT(TRIM(Raw_Data!B323),2)))))),"")</f>
        <v>45903</v>
      </c>
      <c r="C323" s="17" t="str">
        <f aca="false">IF(TRIM(Raw_Data!C323)="","Unknown",PROPER(TRIM(Raw_Data!C323)))</f>
        <v>Omar Sheikh</v>
      </c>
      <c r="D323" s="17" t="str">
        <f aca="false">IFERROR(INDEX({"Punjab","Sindh","KPK","Balochistan"},MATCH(UPPER(LEFT(TRIM(Raw_Data!D323),1)),{"P","S","K","B"},0)),IFERROR(INDEX(Data_Dictionary!$G$4:$G$16,MATCH(E323,Data_Dictionary!$F$4:$F$16,0)),"Unassigned"))</f>
        <v>KPK</v>
      </c>
      <c r="E323" s="17" t="str">
        <f aca="false">IF(TRIM(Raw_Data!E323)="","Unknown",PROPER(TRIM(Raw_Data!E323)))</f>
        <v>Abbottabad</v>
      </c>
      <c r="F323" s="17" t="str">
        <f aca="false">IFERROR(INDEX({"Electronics","Home &amp; Kitchen","Clothing","Groceries","Beauty"},MATCH(UPPER(LEFT(TRIM(Raw_Data!F323),3)),{"ELE","HOM","CLO","GRO","BEA"},0)),"Uncategorised")</f>
        <v>Groceries</v>
      </c>
      <c r="G323" s="17" t="str">
        <f aca="false">IF(TRIM(Raw_Data!G323)="","Unknown",PROPER(TRIM(Raw_Data!G323)))</f>
        <v>Cooking Oil 5 Litre</v>
      </c>
      <c r="H323" s="19" t="n">
        <f aca="false">IFERROR(ABS(VALUE(TRIM(Raw_Data!H323))),"")</f>
        <v>1</v>
      </c>
      <c r="I323" s="20" t="n">
        <f aca="false">IFERROR(VALUE(TRIM(SUBSTITUTE(SUBSTITUTE(SUBSTITUTE(SUBSTITUTE(TRIM(Raw_Data!I323),"PKR",""),"Rs.",""),"Rs",""),",",""))),"")</f>
        <v>2400</v>
      </c>
      <c r="J323" s="21" t="n">
        <f aca="false">IFERROR(IF(TRIM(Raw_Data!J323)="",0,IF(VALUE(TRIM(Raw_Data!J323))&gt;1,VALUE(TRIM(Raw_Data!J323))/100,VALUE(TRIM(Raw_Data!J323)))),0)</f>
        <v>0.1</v>
      </c>
      <c r="K323" s="17" t="str">
        <f aca="false">IF(TRIM(Raw_Data!K323)="","Unassigned",PROPER(TRIM(Raw_Data!K323)))</f>
        <v>Nimra Aslam</v>
      </c>
      <c r="L323" s="17" t="str">
        <f aca="false">IFERROR(INDEX({"Credit Card","Credit Card","Debit Card","Debit Card","Cash","PayPal"},MATCH(UPPER(LEFT(TRIM(Raw_Data!L323),2)),{"CR","CC","DE","DC","CA","PA"},0)),"Other")</f>
        <v>Debit Card</v>
      </c>
      <c r="M323" s="17" t="str">
        <f aca="false">IFERROR(INDEX({"Completed","Returned","Cancelled","Pending"},MATCH(UPPER(LEFT(TRIM(Raw_Data!M323),3)),{"COM","RET","CAN","PEN"},0)),"Unknown")</f>
        <v>Completed</v>
      </c>
      <c r="N323" s="20" t="n">
        <f aca="false">IF(OR(H323="",I323=""),"",H323*I323)</f>
        <v>2400</v>
      </c>
      <c r="O323" s="20" t="n">
        <f aca="false">IF(N323="","",N323*J323)</f>
        <v>240</v>
      </c>
      <c r="P323" s="20" t="n">
        <f aca="false">IF(N323="","",N323-O323)</f>
        <v>2160</v>
      </c>
      <c r="Q323" s="22" t="n">
        <f aca="false">IF(B323="","",DATE(YEAR(B323),MONTH(B323),1))</f>
        <v>45901</v>
      </c>
      <c r="R323" s="17" t="str">
        <f aca="false">IF(A323="","Invalid - Exclude",IF(COUNTIF($A$2:A323,A323)&gt;1,"Duplicate - Exclude",IF(OR(B323="",H323="",I323=""),"Invalid - Exclude","Valid")))</f>
        <v>Valid</v>
      </c>
      <c r="S323" s="17" t="str">
        <f aca="false">IF(R323="Valid","",IF(R323="Duplicate - Exclude","Repeat of an earlier Order ID",IF(B323="","Date missing or unreadable",IF(H323="","Quantity missing or unreadable",IF(I323="","Unit price missing or unreadable","Order ID missing")))))</f>
        <v/>
      </c>
    </row>
    <row r="324" customFormat="false" ht="15" hidden="false" customHeight="true" outlineLevel="0" collapsed="false">
      <c r="A324" s="9" t="str">
        <f aca="false">UPPER(TRIM(Raw_Data!A324))</f>
        <v>ORD-1307</v>
      </c>
      <c r="B324" s="10" t="n">
        <f aca="false">IFERROR(IF(ISNUMBER(Raw_Data!B324),Raw_Data!B324,IF(ISNUMBER(FIND("/",Raw_Data!B324)),DATE(VALUE(RIGHT(TRIM(Raw_Data!B324),4)),VALUE(MID(TRIM(Raw_Data!B324),4,2)),VALUE(LEFT(TRIM(Raw_Data!B324),2))),IF(MID(TRIM(Raw_Data!B324),5,1)="-",DATE(VALUE(LEFT(TRIM(Raw_Data!B324),4)),VALUE(MID(TRIM(Raw_Data!B324),6,2)),VALUE(RIGHT(TRIM(Raw_Data!B324),2))),DATE(VALUE(RIGHT(TRIM(Raw_Data!B324),4)),MATCH(MID(TRIM(Raw_Data!B324),4,3),{"Jan","Feb","Mar","Apr","May","Jun","Jul","Aug","Sep","Oct","Nov","Dec"},0),VALUE(LEFT(TRIM(Raw_Data!B324),2)))))),"")</f>
        <v>45998</v>
      </c>
      <c r="C324" s="9" t="str">
        <f aca="false">IF(TRIM(Raw_Data!C324)="","Unknown",PROPER(TRIM(Raw_Data!C324)))</f>
        <v>Maryam Qureshi</v>
      </c>
      <c r="D324" s="9" t="str">
        <f aca="false">IFERROR(INDEX({"Punjab","Sindh","KPK","Balochistan"},MATCH(UPPER(LEFT(TRIM(Raw_Data!D324),1)),{"P","S","K","B"},0)),IFERROR(INDEX(Data_Dictionary!$G$4:$G$16,MATCH(E324,Data_Dictionary!$F$4:$F$16,0)),"Unassigned"))</f>
        <v>Sindh</v>
      </c>
      <c r="E324" s="9" t="str">
        <f aca="false">IF(TRIM(Raw_Data!E324)="","Unknown",PROPER(TRIM(Raw_Data!E324)))</f>
        <v>Sukkur</v>
      </c>
      <c r="F324" s="9" t="str">
        <f aca="false">IFERROR(INDEX({"Electronics","Home &amp; Kitchen","Clothing","Groceries","Beauty"},MATCH(UPPER(LEFT(TRIM(Raw_Data!F324),3)),{"ELE","HOM","CLO","GRO","BEA"},0)),"Uncategorised")</f>
        <v>Groceries</v>
      </c>
      <c r="G324" s="9" t="str">
        <f aca="false">IF(TRIM(Raw_Data!G324)="","Unknown",PROPER(TRIM(Raw_Data!G324)))</f>
        <v>Cooking Oil 5 Litre</v>
      </c>
      <c r="H324" s="11" t="n">
        <f aca="false">IFERROR(ABS(VALUE(TRIM(Raw_Data!H324))),"")</f>
        <v>1</v>
      </c>
      <c r="I324" s="12" t="n">
        <f aca="false">IFERROR(VALUE(TRIM(SUBSTITUTE(SUBSTITUTE(SUBSTITUTE(SUBSTITUTE(TRIM(Raw_Data!I324),"PKR",""),"Rs.",""),"Rs",""),",",""))),"")</f>
        <v>2350</v>
      </c>
      <c r="J324" s="13" t="n">
        <f aca="false">IFERROR(IF(TRIM(Raw_Data!J324)="",0,IF(VALUE(TRIM(Raw_Data!J324))&gt;1,VALUE(TRIM(Raw_Data!J324))/100,VALUE(TRIM(Raw_Data!J324)))),0)</f>
        <v>0</v>
      </c>
      <c r="K324" s="9" t="str">
        <f aca="false">IF(TRIM(Raw_Data!K324)="","Unassigned",PROPER(TRIM(Raw_Data!K324)))</f>
        <v>Waqar Ahmed</v>
      </c>
      <c r="L324" s="9" t="str">
        <f aca="false">IFERROR(INDEX({"Credit Card","Credit Card","Debit Card","Debit Card","Cash","PayPal"},MATCH(UPPER(LEFT(TRIM(Raw_Data!L324),2)),{"CR","CC","DE","DC","CA","PA"},0)),"Other")</f>
        <v>Cash</v>
      </c>
      <c r="M324" s="9" t="str">
        <f aca="false">IFERROR(INDEX({"Completed","Returned","Cancelled","Pending"},MATCH(UPPER(LEFT(TRIM(Raw_Data!M324),3)),{"COM","RET","CAN","PEN"},0)),"Unknown")</f>
        <v>Completed</v>
      </c>
      <c r="N324" s="14" t="n">
        <f aca="false">IF(OR(H324="",I324=""),"",H324*I324)</f>
        <v>2350</v>
      </c>
      <c r="O324" s="14" t="n">
        <f aca="false">IF(N324="","",N324*J324)</f>
        <v>0</v>
      </c>
      <c r="P324" s="14" t="n">
        <f aca="false">IF(N324="","",N324-O324)</f>
        <v>2350</v>
      </c>
      <c r="Q324" s="15" t="n">
        <f aca="false">IF(B324="","",DATE(YEAR(B324),MONTH(B324),1))</f>
        <v>45992</v>
      </c>
      <c r="R324" s="16" t="str">
        <f aca="false">IF(A324="","Invalid - Exclude",IF(COUNTIF($A$2:A324,A324)&gt;1,"Duplicate - Exclude",IF(OR(B324="",H324="",I324=""),"Invalid - Exclude","Valid")))</f>
        <v>Valid</v>
      </c>
      <c r="S324" s="16" t="str">
        <f aca="false">IF(R324="Valid","",IF(R324="Duplicate - Exclude","Repeat of an earlier Order ID",IF(B324="","Date missing or unreadable",IF(H324="","Quantity missing or unreadable",IF(I324="","Unit price missing or unreadable","Order ID missing")))))</f>
        <v/>
      </c>
    </row>
    <row r="325" customFormat="false" ht="15" hidden="false" customHeight="true" outlineLevel="0" collapsed="false">
      <c r="A325" s="17" t="str">
        <f aca="false">UPPER(TRIM(Raw_Data!A325))</f>
        <v>ORD-1308</v>
      </c>
      <c r="B325" s="18" t="n">
        <f aca="false">IFERROR(IF(ISNUMBER(Raw_Data!B325),Raw_Data!B325,IF(ISNUMBER(FIND("/",Raw_Data!B325)),DATE(VALUE(RIGHT(TRIM(Raw_Data!B325),4)),VALUE(MID(TRIM(Raw_Data!B325),4,2)),VALUE(LEFT(TRIM(Raw_Data!B325),2))),IF(MID(TRIM(Raw_Data!B325),5,1)="-",DATE(VALUE(LEFT(TRIM(Raw_Data!B325),4)),VALUE(MID(TRIM(Raw_Data!B325),6,2)),VALUE(RIGHT(TRIM(Raw_Data!B325),2))),DATE(VALUE(RIGHT(TRIM(Raw_Data!B325),4)),MATCH(MID(TRIM(Raw_Data!B325),4,3),{"Jan","Feb","Mar","Apr","May","Jun","Jul","Aug","Sep","Oct","Nov","Dec"},0),VALUE(LEFT(TRIM(Raw_Data!B325),2)))))),"")</f>
        <v>45770</v>
      </c>
      <c r="C325" s="17" t="str">
        <f aca="false">IF(TRIM(Raw_Data!C325)="","Unknown",PROPER(TRIM(Raw_Data!C325)))</f>
        <v>Iqra Ansari</v>
      </c>
      <c r="D325" s="17" t="str">
        <f aca="false">IFERROR(INDEX({"Punjab","Sindh","KPK","Balochistan"},MATCH(UPPER(LEFT(TRIM(Raw_Data!D325),1)),{"P","S","K","B"},0)),IFERROR(INDEX(Data_Dictionary!$G$4:$G$16,MATCH(E325,Data_Dictionary!$F$4:$F$16,0)),"Unassigned"))</f>
        <v>Punjab</v>
      </c>
      <c r="E325" s="17" t="str">
        <f aca="false">IF(TRIM(Raw_Data!E325)="","Unknown",PROPER(TRIM(Raw_Data!E325)))</f>
        <v>Faisalabad</v>
      </c>
      <c r="F325" s="17" t="str">
        <f aca="false">IFERROR(INDEX({"Electronics","Home &amp; Kitchen","Clothing","Groceries","Beauty"},MATCH(UPPER(LEFT(TRIM(Raw_Data!F325),3)),{"ELE","HOM","CLO","GRO","BEA"},0)),"Uncategorised")</f>
        <v>Clothing</v>
      </c>
      <c r="G325" s="17" t="str">
        <f aca="false">IF(TRIM(Raw_Data!G325)="","Unknown",PROPER(TRIM(Raw_Data!G325)))</f>
        <v>Lawn Suit 3 Piece</v>
      </c>
      <c r="H325" s="19" t="n">
        <f aca="false">IFERROR(ABS(VALUE(TRIM(Raw_Data!H325))),"")</f>
        <v>3</v>
      </c>
      <c r="I325" s="20" t="n">
        <f aca="false">IFERROR(VALUE(TRIM(SUBSTITUTE(SUBSTITUTE(SUBSTITUTE(SUBSTITUTE(TRIM(Raw_Data!I325),"PKR",""),"Rs.",""),"Rs",""),",",""))),"")</f>
        <v>7100</v>
      </c>
      <c r="J325" s="21" t="n">
        <f aca="false">IFERROR(IF(TRIM(Raw_Data!J325)="",0,IF(VALUE(TRIM(Raw_Data!J325))&gt;1,VALUE(TRIM(Raw_Data!J325))/100,VALUE(TRIM(Raw_Data!J325)))),0)</f>
        <v>0.2</v>
      </c>
      <c r="K325" s="17" t="str">
        <f aca="false">IF(TRIM(Raw_Data!K325)="","Unassigned",PROPER(TRIM(Raw_Data!K325)))</f>
        <v>Faisal Mehmood</v>
      </c>
      <c r="L325" s="17" t="str">
        <f aca="false">IFERROR(INDEX({"Credit Card","Credit Card","Debit Card","Debit Card","Cash","PayPal"},MATCH(UPPER(LEFT(TRIM(Raw_Data!L325),2)),{"CR","CC","DE","DC","CA","PA"},0)),"Other")</f>
        <v>Cash</v>
      </c>
      <c r="M325" s="17" t="str">
        <f aca="false">IFERROR(INDEX({"Completed","Returned","Cancelled","Pending"},MATCH(UPPER(LEFT(TRIM(Raw_Data!M325),3)),{"COM","RET","CAN","PEN"},0)),"Unknown")</f>
        <v>Completed</v>
      </c>
      <c r="N325" s="20" t="n">
        <f aca="false">IF(OR(H325="",I325=""),"",H325*I325)</f>
        <v>21300</v>
      </c>
      <c r="O325" s="20" t="n">
        <f aca="false">IF(N325="","",N325*J325)</f>
        <v>4260</v>
      </c>
      <c r="P325" s="20" t="n">
        <f aca="false">IF(N325="","",N325-O325)</f>
        <v>17040</v>
      </c>
      <c r="Q325" s="22" t="n">
        <f aca="false">IF(B325="","",DATE(YEAR(B325),MONTH(B325),1))</f>
        <v>45748</v>
      </c>
      <c r="R325" s="17" t="str">
        <f aca="false">IF(A325="","Invalid - Exclude",IF(COUNTIF($A$2:A325,A325)&gt;1,"Duplicate - Exclude",IF(OR(B325="",H325="",I325=""),"Invalid - Exclude","Valid")))</f>
        <v>Valid</v>
      </c>
      <c r="S325" s="17" t="str">
        <f aca="false">IF(R325="Valid","",IF(R325="Duplicate - Exclude","Repeat of an earlier Order ID",IF(B325="","Date missing or unreadable",IF(H325="","Quantity missing or unreadable",IF(I325="","Unit price missing or unreadable","Order ID missing")))))</f>
        <v/>
      </c>
    </row>
    <row r="326" customFormat="false" ht="15" hidden="false" customHeight="true" outlineLevel="0" collapsed="false">
      <c r="A326" s="9" t="str">
        <f aca="false">UPPER(TRIM(Raw_Data!A326))</f>
        <v>ORD-1309</v>
      </c>
      <c r="B326" s="10" t="n">
        <f aca="false">IFERROR(IF(ISNUMBER(Raw_Data!B326),Raw_Data!B326,IF(ISNUMBER(FIND("/",Raw_Data!B326)),DATE(VALUE(RIGHT(TRIM(Raw_Data!B326),4)),VALUE(MID(TRIM(Raw_Data!B326),4,2)),VALUE(LEFT(TRIM(Raw_Data!B326),2))),IF(MID(TRIM(Raw_Data!B326),5,1)="-",DATE(VALUE(LEFT(TRIM(Raw_Data!B326),4)),VALUE(MID(TRIM(Raw_Data!B326),6,2)),VALUE(RIGHT(TRIM(Raw_Data!B326),2))),DATE(VALUE(RIGHT(TRIM(Raw_Data!B326),4)),MATCH(MID(TRIM(Raw_Data!B326),4,3),{"Jan","Feb","Mar","Apr","May","Jun","Jul","Aug","Sep","Oct","Nov","Dec"},0),VALUE(LEFT(TRIM(Raw_Data!B326),2)))))),"")</f>
        <v>45944</v>
      </c>
      <c r="C326" s="9" t="str">
        <f aca="false">IF(TRIM(Raw_Data!C326)="","Unknown",PROPER(TRIM(Raw_Data!C326)))</f>
        <v>Kashif Malik</v>
      </c>
      <c r="D326" s="9" t="str">
        <f aca="false">IFERROR(INDEX({"Punjab","Sindh","KPK","Balochistan"},MATCH(UPPER(LEFT(TRIM(Raw_Data!D326),1)),{"P","S","K","B"},0)),IFERROR(INDEX(Data_Dictionary!$G$4:$G$16,MATCH(E326,Data_Dictionary!$F$4:$F$16,0)),"Unassigned"))</f>
        <v>Punjab</v>
      </c>
      <c r="E326" s="9" t="str">
        <f aca="false">IF(TRIM(Raw_Data!E326)="","Unknown",PROPER(TRIM(Raw_Data!E326)))</f>
        <v>Multan</v>
      </c>
      <c r="F326" s="9" t="str">
        <f aca="false">IFERROR(INDEX({"Electronics","Home &amp; Kitchen","Clothing","Groceries","Beauty"},MATCH(UPPER(LEFT(TRIM(Raw_Data!F326),3)),{"ELE","HOM","CLO","GRO","BEA"},0)),"Uncategorised")</f>
        <v>Groceries</v>
      </c>
      <c r="G326" s="9" t="str">
        <f aca="false">IF(TRIM(Raw_Data!G326)="","Unknown",PROPER(TRIM(Raw_Data!G326)))</f>
        <v>Black Tea Pack</v>
      </c>
      <c r="H326" s="11" t="n">
        <f aca="false">IFERROR(ABS(VALUE(TRIM(Raw_Data!H326))),"")</f>
        <v>7</v>
      </c>
      <c r="I326" s="12" t="n">
        <f aca="false">IFERROR(VALUE(TRIM(SUBSTITUTE(SUBSTITUTE(SUBSTITUTE(SUBSTITUTE(TRIM(Raw_Data!I326),"PKR",""),"Rs.",""),"Rs",""),",",""))),"")</f>
        <v>1450</v>
      </c>
      <c r="J326" s="13" t="n">
        <f aca="false">IFERROR(IF(TRIM(Raw_Data!J326)="",0,IF(VALUE(TRIM(Raw_Data!J326))&gt;1,VALUE(TRIM(Raw_Data!J326))/100,VALUE(TRIM(Raw_Data!J326)))),0)</f>
        <v>0</v>
      </c>
      <c r="K326" s="9" t="str">
        <f aca="false">IF(TRIM(Raw_Data!K326)="","Unassigned",PROPER(TRIM(Raw_Data!K326)))</f>
        <v>Sadia Noor</v>
      </c>
      <c r="L326" s="9" t="str">
        <f aca="false">IFERROR(INDEX({"Credit Card","Credit Card","Debit Card","Debit Card","Cash","PayPal"},MATCH(UPPER(LEFT(TRIM(Raw_Data!L326),2)),{"CR","CC","DE","DC","CA","PA"},0)),"Other")</f>
        <v>Credit Card</v>
      </c>
      <c r="M326" s="9" t="str">
        <f aca="false">IFERROR(INDEX({"Completed","Returned","Cancelled","Pending"},MATCH(UPPER(LEFT(TRIM(Raw_Data!M326),3)),{"COM","RET","CAN","PEN"},0)),"Unknown")</f>
        <v>Completed</v>
      </c>
      <c r="N326" s="14" t="n">
        <f aca="false">IF(OR(H326="",I326=""),"",H326*I326)</f>
        <v>10150</v>
      </c>
      <c r="O326" s="14" t="n">
        <f aca="false">IF(N326="","",N326*J326)</f>
        <v>0</v>
      </c>
      <c r="P326" s="14" t="n">
        <f aca="false">IF(N326="","",N326-O326)</f>
        <v>10150</v>
      </c>
      <c r="Q326" s="15" t="n">
        <f aca="false">IF(B326="","",DATE(YEAR(B326),MONTH(B326),1))</f>
        <v>45931</v>
      </c>
      <c r="R326" s="16" t="str">
        <f aca="false">IF(A326="","Invalid - Exclude",IF(COUNTIF($A$2:A326,A326)&gt;1,"Duplicate - Exclude",IF(OR(B326="",H326="",I326=""),"Invalid - Exclude","Valid")))</f>
        <v>Valid</v>
      </c>
      <c r="S326" s="16" t="str">
        <f aca="false">IF(R326="Valid","",IF(R326="Duplicate - Exclude","Repeat of an earlier Order ID",IF(B326="","Date missing or unreadable",IF(H326="","Quantity missing or unreadable",IF(I326="","Unit price missing or unreadable","Order ID missing")))))</f>
        <v/>
      </c>
    </row>
    <row r="327" customFormat="false" ht="15" hidden="false" customHeight="true" outlineLevel="0" collapsed="false">
      <c r="A327" s="17" t="str">
        <f aca="false">UPPER(TRIM(Raw_Data!A327))</f>
        <v>ORD-1310</v>
      </c>
      <c r="B327" s="18" t="n">
        <f aca="false">IFERROR(IF(ISNUMBER(Raw_Data!B327),Raw_Data!B327,IF(ISNUMBER(FIND("/",Raw_Data!B327)),DATE(VALUE(RIGHT(TRIM(Raw_Data!B327),4)),VALUE(MID(TRIM(Raw_Data!B327),4,2)),VALUE(LEFT(TRIM(Raw_Data!B327),2))),IF(MID(TRIM(Raw_Data!B327),5,1)="-",DATE(VALUE(LEFT(TRIM(Raw_Data!B327),4)),VALUE(MID(TRIM(Raw_Data!B327),6,2)),VALUE(RIGHT(TRIM(Raw_Data!B327),2))),DATE(VALUE(RIGHT(TRIM(Raw_Data!B327),4)),MATCH(MID(TRIM(Raw_Data!B327),4,3),{"Jan","Feb","Mar","Apr","May","Jun","Jul","Aug","Sep","Oct","Nov","Dec"},0),VALUE(LEFT(TRIM(Raw_Data!B327),2)))))),"")</f>
        <v>45979</v>
      </c>
      <c r="C327" s="17" t="str">
        <f aca="false">IF(TRIM(Raw_Data!C327)="","Unknown",PROPER(TRIM(Raw_Data!C327)))</f>
        <v>Omar Sheikh</v>
      </c>
      <c r="D327" s="17" t="str">
        <f aca="false">IFERROR(INDEX({"Punjab","Sindh","KPK","Balochistan"},MATCH(UPPER(LEFT(TRIM(Raw_Data!D327),1)),{"P","S","K","B"},0)),IFERROR(INDEX(Data_Dictionary!$G$4:$G$16,MATCH(E327,Data_Dictionary!$F$4:$F$16,0)),"Unassigned"))</f>
        <v>Balochistan</v>
      </c>
      <c r="E327" s="17" t="str">
        <f aca="false">IF(TRIM(Raw_Data!E327)="","Unknown",PROPER(TRIM(Raw_Data!E327)))</f>
        <v>Quetta</v>
      </c>
      <c r="F327" s="17" t="str">
        <f aca="false">IFERROR(INDEX({"Electronics","Home &amp; Kitchen","Clothing","Groceries","Beauty"},MATCH(UPPER(LEFT(TRIM(Raw_Data!F327),3)),{"ELE","HOM","CLO","GRO","BEA"},0)),"Uncategorised")</f>
        <v>Electronics</v>
      </c>
      <c r="G327" s="17" t="str">
        <f aca="false">IF(TRIM(Raw_Data!G327)="","Unknown",PROPER(TRIM(Raw_Data!G327)))</f>
        <v>Smart Television 43 Inch</v>
      </c>
      <c r="H327" s="19" t="n">
        <f aca="false">IFERROR(ABS(VALUE(TRIM(Raw_Data!H327))),"")</f>
        <v>2</v>
      </c>
      <c r="I327" s="20" t="n">
        <f aca="false">IFERROR(VALUE(TRIM(SUBSTITUTE(SUBSTITUTE(SUBSTITUTE(SUBSTITUTE(TRIM(Raw_Data!I327),"PKR",""),"Rs.",""),"Rs",""),",",""))),"")</f>
        <v>53750</v>
      </c>
      <c r="J327" s="21" t="n">
        <f aca="false">IFERROR(IF(TRIM(Raw_Data!J327)="",0,IF(VALUE(TRIM(Raw_Data!J327))&gt;1,VALUE(TRIM(Raw_Data!J327))/100,VALUE(TRIM(Raw_Data!J327)))),0)</f>
        <v>0</v>
      </c>
      <c r="K327" s="17" t="str">
        <f aca="false">IF(TRIM(Raw_Data!K327)="","Unassigned",PROPER(TRIM(Raw_Data!K327)))</f>
        <v>Sadia Noor</v>
      </c>
      <c r="L327" s="17" t="str">
        <f aca="false">IFERROR(INDEX({"Credit Card","Credit Card","Debit Card","Debit Card","Cash","PayPal"},MATCH(UPPER(LEFT(TRIM(Raw_Data!L327),2)),{"CR","CC","DE","DC","CA","PA"},0)),"Other")</f>
        <v>Debit Card</v>
      </c>
      <c r="M327" s="17" t="str">
        <f aca="false">IFERROR(INDEX({"Completed","Returned","Cancelled","Pending"},MATCH(UPPER(LEFT(TRIM(Raw_Data!M327),3)),{"COM","RET","CAN","PEN"},0)),"Unknown")</f>
        <v>Completed</v>
      </c>
      <c r="N327" s="20" t="n">
        <f aca="false">IF(OR(H327="",I327=""),"",H327*I327)</f>
        <v>107500</v>
      </c>
      <c r="O327" s="20" t="n">
        <f aca="false">IF(N327="","",N327*J327)</f>
        <v>0</v>
      </c>
      <c r="P327" s="20" t="n">
        <f aca="false">IF(N327="","",N327-O327)</f>
        <v>107500</v>
      </c>
      <c r="Q327" s="22" t="n">
        <f aca="false">IF(B327="","",DATE(YEAR(B327),MONTH(B327),1))</f>
        <v>45962</v>
      </c>
      <c r="R327" s="17" t="str">
        <f aca="false">IF(A327="","Invalid - Exclude",IF(COUNTIF($A$2:A327,A327)&gt;1,"Duplicate - Exclude",IF(OR(B327="",H327="",I327=""),"Invalid - Exclude","Valid")))</f>
        <v>Valid</v>
      </c>
      <c r="S327" s="17" t="str">
        <f aca="false">IF(R327="Valid","",IF(R327="Duplicate - Exclude","Repeat of an earlier Order ID",IF(B327="","Date missing or unreadable",IF(H327="","Quantity missing or unreadable",IF(I327="","Unit price missing or unreadable","Order ID missing")))))</f>
        <v/>
      </c>
    </row>
    <row r="328" customFormat="false" ht="15" hidden="false" customHeight="true" outlineLevel="0" collapsed="false">
      <c r="A328" s="9" t="str">
        <f aca="false">UPPER(TRIM(Raw_Data!A328))</f>
        <v>ORD-1311</v>
      </c>
      <c r="B328" s="10" t="n">
        <f aca="false">IFERROR(IF(ISNUMBER(Raw_Data!B328),Raw_Data!B328,IF(ISNUMBER(FIND("/",Raw_Data!B328)),DATE(VALUE(RIGHT(TRIM(Raw_Data!B328),4)),VALUE(MID(TRIM(Raw_Data!B328),4,2)),VALUE(LEFT(TRIM(Raw_Data!B328),2))),IF(MID(TRIM(Raw_Data!B328),5,1)="-",DATE(VALUE(LEFT(TRIM(Raw_Data!B328),4)),VALUE(MID(TRIM(Raw_Data!B328),6,2)),VALUE(RIGHT(TRIM(Raw_Data!B328),2))),DATE(VALUE(RIGHT(TRIM(Raw_Data!B328),4)),MATCH(MID(TRIM(Raw_Data!B328),4,3),{"Jan","Feb","Mar","Apr","May","Jun","Jul","Aug","Sep","Oct","Nov","Dec"},0),VALUE(LEFT(TRIM(Raw_Data!B328),2)))))),"")</f>
        <v>45682</v>
      </c>
      <c r="C328" s="9" t="str">
        <f aca="false">IF(TRIM(Raw_Data!C328)="","Unknown",PROPER(TRIM(Raw_Data!C328)))</f>
        <v>Nida Siddiqui</v>
      </c>
      <c r="D328" s="9" t="str">
        <f aca="false">IFERROR(INDEX({"Punjab","Sindh","KPK","Balochistan"},MATCH(UPPER(LEFT(TRIM(Raw_Data!D328),1)),{"P","S","K","B"},0)),IFERROR(INDEX(Data_Dictionary!$G$4:$G$16,MATCH(E328,Data_Dictionary!$F$4:$F$16,0)),"Unassigned"))</f>
        <v>KPK</v>
      </c>
      <c r="E328" s="9" t="str">
        <f aca="false">IF(TRIM(Raw_Data!E328)="","Unknown",PROPER(TRIM(Raw_Data!E328)))</f>
        <v>Abbottabad</v>
      </c>
      <c r="F328" s="9" t="str">
        <f aca="false">IFERROR(INDEX({"Electronics","Home &amp; Kitchen","Clothing","Groceries","Beauty"},MATCH(UPPER(LEFT(TRIM(Raw_Data!F328),3)),{"ELE","HOM","CLO","GRO","BEA"},0)),"Uncategorised")</f>
        <v>Clothing</v>
      </c>
      <c r="G328" s="9" t="str">
        <f aca="false">IF(TRIM(Raw_Data!G328)="","Unknown",PROPER(TRIM(Raw_Data!G328)))</f>
        <v>Mens Kurta</v>
      </c>
      <c r="H328" s="11" t="n">
        <f aca="false">IFERROR(ABS(VALUE(TRIM(Raw_Data!H328))),"")</f>
        <v>3</v>
      </c>
      <c r="I328" s="12" t="n">
        <f aca="false">IFERROR(VALUE(TRIM(SUBSTITUTE(SUBSTITUTE(SUBSTITUTE(SUBSTITUTE(TRIM(Raw_Data!I328),"PKR",""),"Rs.",""),"Rs",""),",",""))),"")</f>
        <v>3200</v>
      </c>
      <c r="J328" s="13" t="n">
        <f aca="false">IFERROR(IF(TRIM(Raw_Data!J328)="",0,IF(VALUE(TRIM(Raw_Data!J328))&gt;1,VALUE(TRIM(Raw_Data!J328))/100,VALUE(TRIM(Raw_Data!J328)))),0)</f>
        <v>0.1</v>
      </c>
      <c r="K328" s="9" t="str">
        <f aca="false">IF(TRIM(Raw_Data!K328)="","Unassigned",PROPER(TRIM(Raw_Data!K328)))</f>
        <v>Nimra Aslam</v>
      </c>
      <c r="L328" s="9" t="str">
        <f aca="false">IFERROR(INDEX({"Credit Card","Credit Card","Debit Card","Debit Card","Cash","PayPal"},MATCH(UPPER(LEFT(TRIM(Raw_Data!L328),2)),{"CR","CC","DE","DC","CA","PA"},0)),"Other")</f>
        <v>PayPal</v>
      </c>
      <c r="M328" s="9" t="str">
        <f aca="false">IFERROR(INDEX({"Completed","Returned","Cancelled","Pending"},MATCH(UPPER(LEFT(TRIM(Raw_Data!M328),3)),{"COM","RET","CAN","PEN"},0)),"Unknown")</f>
        <v>Returned</v>
      </c>
      <c r="N328" s="14" t="n">
        <f aca="false">IF(OR(H328="",I328=""),"",H328*I328)</f>
        <v>9600</v>
      </c>
      <c r="O328" s="14" t="n">
        <f aca="false">IF(N328="","",N328*J328)</f>
        <v>960</v>
      </c>
      <c r="P328" s="14" t="n">
        <f aca="false">IF(N328="","",N328-O328)</f>
        <v>8640</v>
      </c>
      <c r="Q328" s="15" t="n">
        <f aca="false">IF(B328="","",DATE(YEAR(B328),MONTH(B328),1))</f>
        <v>45658</v>
      </c>
      <c r="R328" s="16" t="str">
        <f aca="false">IF(A328="","Invalid - Exclude",IF(COUNTIF($A$2:A328,A328)&gt;1,"Duplicate - Exclude",IF(OR(B328="",H328="",I328=""),"Invalid - Exclude","Valid")))</f>
        <v>Valid</v>
      </c>
      <c r="S328" s="16" t="str">
        <f aca="false">IF(R328="Valid","",IF(R328="Duplicate - Exclude","Repeat of an earlier Order ID",IF(B328="","Date missing or unreadable",IF(H328="","Quantity missing or unreadable",IF(I328="","Unit price missing or unreadable","Order ID missing")))))</f>
        <v/>
      </c>
    </row>
    <row r="329" customFormat="false" ht="15" hidden="false" customHeight="true" outlineLevel="0" collapsed="false">
      <c r="A329" s="17" t="str">
        <f aca="false">UPPER(TRIM(Raw_Data!A329))</f>
        <v>ORD-1312</v>
      </c>
      <c r="B329" s="18" t="n">
        <f aca="false">IFERROR(IF(ISNUMBER(Raw_Data!B329),Raw_Data!B329,IF(ISNUMBER(FIND("/",Raw_Data!B329)),DATE(VALUE(RIGHT(TRIM(Raw_Data!B329),4)),VALUE(MID(TRIM(Raw_Data!B329),4,2)),VALUE(LEFT(TRIM(Raw_Data!B329),2))),IF(MID(TRIM(Raw_Data!B329),5,1)="-",DATE(VALUE(LEFT(TRIM(Raw_Data!B329),4)),VALUE(MID(TRIM(Raw_Data!B329),6,2)),VALUE(RIGHT(TRIM(Raw_Data!B329),2))),DATE(VALUE(RIGHT(TRIM(Raw_Data!B329),4)),MATCH(MID(TRIM(Raw_Data!B329),4,3),{"Jan","Feb","Mar","Apr","May","Jun","Jul","Aug","Sep","Oct","Nov","Dec"},0),VALUE(LEFT(TRIM(Raw_Data!B329),2)))))),"")</f>
        <v>45826</v>
      </c>
      <c r="C329" s="17" t="str">
        <f aca="false">IF(TRIM(Raw_Data!C329)="","Unknown",PROPER(TRIM(Raw_Data!C329)))</f>
        <v>Hina Chaudhry</v>
      </c>
      <c r="D329" s="17" t="str">
        <f aca="false">IFERROR(INDEX({"Punjab","Sindh","KPK","Balochistan"},MATCH(UPPER(LEFT(TRIM(Raw_Data!D329),1)),{"P","S","K","B"},0)),IFERROR(INDEX(Data_Dictionary!$G$4:$G$16,MATCH(E329,Data_Dictionary!$F$4:$F$16,0)),"Unassigned"))</f>
        <v>Punjab</v>
      </c>
      <c r="E329" s="17" t="str">
        <f aca="false">IF(TRIM(Raw_Data!E329)="","Unknown",PROPER(TRIM(Raw_Data!E329)))</f>
        <v>Rawalpindi</v>
      </c>
      <c r="F329" s="17" t="str">
        <f aca="false">IFERROR(INDEX({"Electronics","Home &amp; Kitchen","Clothing","Groceries","Beauty"},MATCH(UPPER(LEFT(TRIM(Raw_Data!F329),3)),{"ELE","HOM","CLO","GRO","BEA"},0)),"Uncategorised")</f>
        <v>Electronics</v>
      </c>
      <c r="G329" s="17" t="str">
        <f aca="false">IF(TRIM(Raw_Data!G329)="","Unknown",PROPER(TRIM(Raw_Data!G329)))</f>
        <v>Bluetooth Speaker</v>
      </c>
      <c r="H329" s="19" t="n">
        <f aca="false">IFERROR(ABS(VALUE(TRIM(Raw_Data!H329))),"")</f>
        <v>1</v>
      </c>
      <c r="I329" s="20" t="n">
        <f aca="false">IFERROR(VALUE(TRIM(SUBSTITUTE(SUBSTITUTE(SUBSTITUTE(SUBSTITUTE(TRIM(Raw_Data!I329),"PKR",""),"Rs.",""),"Rs",""),",",""))),"")</f>
        <v>4300</v>
      </c>
      <c r="J329" s="21" t="n">
        <f aca="false">IFERROR(IF(TRIM(Raw_Data!J329)="",0,IF(VALUE(TRIM(Raw_Data!J329))&gt;1,VALUE(TRIM(Raw_Data!J329))/100,VALUE(TRIM(Raw_Data!J329)))),0)</f>
        <v>0</v>
      </c>
      <c r="K329" s="17" t="str">
        <f aca="false">IF(TRIM(Raw_Data!K329)="","Unassigned",PROPER(TRIM(Raw_Data!K329)))</f>
        <v>Zoya Tariq</v>
      </c>
      <c r="L329" s="17" t="str">
        <f aca="false">IFERROR(INDEX({"Credit Card","Credit Card","Debit Card","Debit Card","Cash","PayPal"},MATCH(UPPER(LEFT(TRIM(Raw_Data!L329),2)),{"CR","CC","DE","DC","CA","PA"},0)),"Other")</f>
        <v>Debit Card</v>
      </c>
      <c r="M329" s="17" t="str">
        <f aca="false">IFERROR(INDEX({"Completed","Returned","Cancelled","Pending"},MATCH(UPPER(LEFT(TRIM(Raw_Data!M329),3)),{"COM","RET","CAN","PEN"},0)),"Unknown")</f>
        <v>Completed</v>
      </c>
      <c r="N329" s="20" t="n">
        <f aca="false">IF(OR(H329="",I329=""),"",H329*I329)</f>
        <v>4300</v>
      </c>
      <c r="O329" s="20" t="n">
        <f aca="false">IF(N329="","",N329*J329)</f>
        <v>0</v>
      </c>
      <c r="P329" s="20" t="n">
        <f aca="false">IF(N329="","",N329-O329)</f>
        <v>4300</v>
      </c>
      <c r="Q329" s="22" t="n">
        <f aca="false">IF(B329="","",DATE(YEAR(B329),MONTH(B329),1))</f>
        <v>45809</v>
      </c>
      <c r="R329" s="17" t="str">
        <f aca="false">IF(A329="","Invalid - Exclude",IF(COUNTIF($A$2:A329,A329)&gt;1,"Duplicate - Exclude",IF(OR(B329="",H329="",I329=""),"Invalid - Exclude","Valid")))</f>
        <v>Valid</v>
      </c>
      <c r="S329" s="17" t="str">
        <f aca="false">IF(R329="Valid","",IF(R329="Duplicate - Exclude","Repeat of an earlier Order ID",IF(B329="","Date missing or unreadable",IF(H329="","Quantity missing or unreadable",IF(I329="","Unit price missing or unreadable","Order ID missing")))))</f>
        <v/>
      </c>
    </row>
    <row r="330" customFormat="false" ht="15" hidden="false" customHeight="true" outlineLevel="0" collapsed="false">
      <c r="A330" s="9" t="str">
        <f aca="false">UPPER(TRIM(Raw_Data!A330))</f>
        <v>ORD-1313</v>
      </c>
      <c r="B330" s="10" t="n">
        <f aca="false">IFERROR(IF(ISNUMBER(Raw_Data!B330),Raw_Data!B330,IF(ISNUMBER(FIND("/",Raw_Data!B330)),DATE(VALUE(RIGHT(TRIM(Raw_Data!B330),4)),VALUE(MID(TRIM(Raw_Data!B330),4,2)),VALUE(LEFT(TRIM(Raw_Data!B330),2))),IF(MID(TRIM(Raw_Data!B330),5,1)="-",DATE(VALUE(LEFT(TRIM(Raw_Data!B330),4)),VALUE(MID(TRIM(Raw_Data!B330),6,2)),VALUE(RIGHT(TRIM(Raw_Data!B330),2))),DATE(VALUE(RIGHT(TRIM(Raw_Data!B330),4)),MATCH(MID(TRIM(Raw_Data!B330),4,3),{"Jan","Feb","Mar","Apr","May","Jun","Jul","Aug","Sep","Oct","Nov","Dec"},0),VALUE(LEFT(TRIM(Raw_Data!B330),2)))))),"")</f>
        <v>45669</v>
      </c>
      <c r="C330" s="9" t="str">
        <f aca="false">IF(TRIM(Raw_Data!C330)="","Unknown",PROPER(TRIM(Raw_Data!C330)))</f>
        <v>Hina Malik</v>
      </c>
      <c r="D330" s="9" t="str">
        <f aca="false">IFERROR(INDEX({"Punjab","Sindh","KPK","Balochistan"},MATCH(UPPER(LEFT(TRIM(Raw_Data!D330),1)),{"P","S","K","B"},0)),IFERROR(INDEX(Data_Dictionary!$G$4:$G$16,MATCH(E330,Data_Dictionary!$F$4:$F$16,0)),"Unassigned"))</f>
        <v>Punjab</v>
      </c>
      <c r="E330" s="9" t="str">
        <f aca="false">IF(TRIM(Raw_Data!E330)="","Unknown",PROPER(TRIM(Raw_Data!E330)))</f>
        <v>Gujranwala</v>
      </c>
      <c r="F330" s="9" t="str">
        <f aca="false">IFERROR(INDEX({"Electronics","Home &amp; Kitchen","Clothing","Groceries","Beauty"},MATCH(UPPER(LEFT(TRIM(Raw_Data!F330),3)),{"ELE","HOM","CLO","GRO","BEA"},0)),"Uncategorised")</f>
        <v>Electronics</v>
      </c>
      <c r="G330" s="9" t="str">
        <f aca="false">IF(TRIM(Raw_Data!G330)="","Unknown",PROPER(TRIM(Raw_Data!G330)))</f>
        <v>Phone Charger</v>
      </c>
      <c r="H330" s="11" t="n">
        <f aca="false">IFERROR(ABS(VALUE(TRIM(Raw_Data!H330))),"")</f>
        <v>2</v>
      </c>
      <c r="I330" s="12" t="n">
        <f aca="false">IFERROR(VALUE(TRIM(SUBSTITUTE(SUBSTITUTE(SUBSTITUTE(SUBSTITUTE(TRIM(Raw_Data!I330),"PKR",""),"Rs.",""),"Rs",""),",",""))),"")</f>
        <v>1200</v>
      </c>
      <c r="J330" s="13" t="n">
        <f aca="false">IFERROR(IF(TRIM(Raw_Data!J330)="",0,IF(VALUE(TRIM(Raw_Data!J330))&gt;1,VALUE(TRIM(Raw_Data!J330))/100,VALUE(TRIM(Raw_Data!J330)))),0)</f>
        <v>0</v>
      </c>
      <c r="K330" s="9" t="str">
        <f aca="false">IF(TRIM(Raw_Data!K330)="","Unassigned",PROPER(TRIM(Raw_Data!K330)))</f>
        <v>Faisal Mehmood</v>
      </c>
      <c r="L330" s="9" t="str">
        <f aca="false">IFERROR(INDEX({"Credit Card","Credit Card","Debit Card","Debit Card","Cash","PayPal"},MATCH(UPPER(LEFT(TRIM(Raw_Data!L330),2)),{"CR","CC","DE","DC","CA","PA"},0)),"Other")</f>
        <v>Credit Card</v>
      </c>
      <c r="M330" s="9" t="str">
        <f aca="false">IFERROR(INDEX({"Completed","Returned","Cancelled","Pending"},MATCH(UPPER(LEFT(TRIM(Raw_Data!M330),3)),{"COM","RET","CAN","PEN"},0)),"Unknown")</f>
        <v>Completed</v>
      </c>
      <c r="N330" s="14" t="n">
        <f aca="false">IF(OR(H330="",I330=""),"",H330*I330)</f>
        <v>2400</v>
      </c>
      <c r="O330" s="14" t="n">
        <f aca="false">IF(N330="","",N330*J330)</f>
        <v>0</v>
      </c>
      <c r="P330" s="14" t="n">
        <f aca="false">IF(N330="","",N330-O330)</f>
        <v>2400</v>
      </c>
      <c r="Q330" s="15" t="n">
        <f aca="false">IF(B330="","",DATE(YEAR(B330),MONTH(B330),1))</f>
        <v>45658</v>
      </c>
      <c r="R330" s="16" t="str">
        <f aca="false">IF(A330="","Invalid - Exclude",IF(COUNTIF($A$2:A330,A330)&gt;1,"Duplicate - Exclude",IF(OR(B330="",H330="",I330=""),"Invalid - Exclude","Valid")))</f>
        <v>Valid</v>
      </c>
      <c r="S330" s="16" t="str">
        <f aca="false">IF(R330="Valid","",IF(R330="Duplicate - Exclude","Repeat of an earlier Order ID",IF(B330="","Date missing or unreadable",IF(H330="","Quantity missing or unreadable",IF(I330="","Unit price missing or unreadable","Order ID missing")))))</f>
        <v/>
      </c>
    </row>
    <row r="331" customFormat="false" ht="15" hidden="false" customHeight="true" outlineLevel="0" collapsed="false">
      <c r="A331" s="17" t="str">
        <f aca="false">UPPER(TRIM(Raw_Data!A331))</f>
        <v>ORD-1314</v>
      </c>
      <c r="B331" s="18" t="n">
        <f aca="false">IFERROR(IF(ISNUMBER(Raw_Data!B331),Raw_Data!B331,IF(ISNUMBER(FIND("/",Raw_Data!B331)),DATE(VALUE(RIGHT(TRIM(Raw_Data!B331),4)),VALUE(MID(TRIM(Raw_Data!B331),4,2)),VALUE(LEFT(TRIM(Raw_Data!B331),2))),IF(MID(TRIM(Raw_Data!B331),5,1)="-",DATE(VALUE(LEFT(TRIM(Raw_Data!B331),4)),VALUE(MID(TRIM(Raw_Data!B331),6,2)),VALUE(RIGHT(TRIM(Raw_Data!B331),2))),DATE(VALUE(RIGHT(TRIM(Raw_Data!B331),4)),MATCH(MID(TRIM(Raw_Data!B331),4,3),{"Jan","Feb","Mar","Apr","May","Jun","Jul","Aug","Sep","Oct","Nov","Dec"},0),VALUE(LEFT(TRIM(Raw_Data!B331),2)))))),"")</f>
        <v>45739</v>
      </c>
      <c r="C331" s="17" t="str">
        <f aca="false">IF(TRIM(Raw_Data!C331)="","Unknown",PROPER(TRIM(Raw_Data!C331)))</f>
        <v>Tariq Khan</v>
      </c>
      <c r="D331" s="17" t="str">
        <f aca="false">IFERROR(INDEX({"Punjab","Sindh","KPK","Balochistan"},MATCH(UPPER(LEFT(TRIM(Raw_Data!D331),1)),{"P","S","K","B"},0)),IFERROR(INDEX(Data_Dictionary!$G$4:$G$16,MATCH(E331,Data_Dictionary!$F$4:$F$16,0)),"Unassigned"))</f>
        <v>Punjab</v>
      </c>
      <c r="E331" s="17" t="str">
        <f aca="false">IF(TRIM(Raw_Data!E331)="","Unknown",PROPER(TRIM(Raw_Data!E331)))</f>
        <v>Rawalpindi</v>
      </c>
      <c r="F331" s="17" t="str">
        <f aca="false">IFERROR(INDEX({"Electronics","Home &amp; Kitchen","Clothing","Groceries","Beauty"},MATCH(UPPER(LEFT(TRIM(Raw_Data!F331),3)),{"ELE","HOM","CLO","GRO","BEA"},0)),"Uncategorised")</f>
        <v>Groceries</v>
      </c>
      <c r="G331" s="17" t="str">
        <f aca="false">IF(TRIM(Raw_Data!G331)="","Unknown",PROPER(TRIM(Raw_Data!G331)))</f>
        <v>Basmati Rice 5 Kg</v>
      </c>
      <c r="H331" s="19" t="n">
        <f aca="false">IFERROR(ABS(VALUE(TRIM(Raw_Data!H331))),"")</f>
        <v>1</v>
      </c>
      <c r="I331" s="20" t="n">
        <f aca="false">IFERROR(VALUE(TRIM(SUBSTITUTE(SUBSTITUTE(SUBSTITUTE(SUBSTITUTE(TRIM(Raw_Data!I331),"PKR",""),"Rs.",""),"Rs",""),",",""))),"")</f>
        <v>2650</v>
      </c>
      <c r="J331" s="21" t="n">
        <f aca="false">IFERROR(IF(TRIM(Raw_Data!J331)="",0,IF(VALUE(TRIM(Raw_Data!J331))&gt;1,VALUE(TRIM(Raw_Data!J331))/100,VALUE(TRIM(Raw_Data!J331)))),0)</f>
        <v>0.2</v>
      </c>
      <c r="K331" s="17" t="str">
        <f aca="false">IF(TRIM(Raw_Data!K331)="","Unassigned",PROPER(TRIM(Raw_Data!K331)))</f>
        <v>Imran Shah</v>
      </c>
      <c r="L331" s="17" t="str">
        <f aca="false">IFERROR(INDEX({"Credit Card","Credit Card","Debit Card","Debit Card","Cash","PayPal"},MATCH(UPPER(LEFT(TRIM(Raw_Data!L331),2)),{"CR","CC","DE","DC","CA","PA"},0)),"Other")</f>
        <v>Debit Card</v>
      </c>
      <c r="M331" s="17" t="str">
        <f aca="false">IFERROR(INDEX({"Completed","Returned","Cancelled","Pending"},MATCH(UPPER(LEFT(TRIM(Raw_Data!M331),3)),{"COM","RET","CAN","PEN"},0)),"Unknown")</f>
        <v>Completed</v>
      </c>
      <c r="N331" s="20" t="n">
        <f aca="false">IF(OR(H331="",I331=""),"",H331*I331)</f>
        <v>2650</v>
      </c>
      <c r="O331" s="20" t="n">
        <f aca="false">IF(N331="","",N331*J331)</f>
        <v>530</v>
      </c>
      <c r="P331" s="20" t="n">
        <f aca="false">IF(N331="","",N331-O331)</f>
        <v>2120</v>
      </c>
      <c r="Q331" s="22" t="n">
        <f aca="false">IF(B331="","",DATE(YEAR(B331),MONTH(B331),1))</f>
        <v>45717</v>
      </c>
      <c r="R331" s="17" t="str">
        <f aca="false">IF(A331="","Invalid - Exclude",IF(COUNTIF($A$2:A331,A331)&gt;1,"Duplicate - Exclude",IF(OR(B331="",H331="",I331=""),"Invalid - Exclude","Valid")))</f>
        <v>Valid</v>
      </c>
      <c r="S331" s="17" t="str">
        <f aca="false">IF(R331="Valid","",IF(R331="Duplicate - Exclude","Repeat of an earlier Order ID",IF(B331="","Date missing or unreadable",IF(H331="","Quantity missing or unreadable",IF(I331="","Unit price missing or unreadable","Order ID missing")))))</f>
        <v/>
      </c>
    </row>
    <row r="332" customFormat="false" ht="15" hidden="false" customHeight="true" outlineLevel="0" collapsed="false">
      <c r="A332" s="9" t="str">
        <f aca="false">UPPER(TRIM(Raw_Data!A332))</f>
        <v>ORD-1315</v>
      </c>
      <c r="B332" s="10" t="n">
        <f aca="false">IFERROR(IF(ISNUMBER(Raw_Data!B332),Raw_Data!B332,IF(ISNUMBER(FIND("/",Raw_Data!B332)),DATE(VALUE(RIGHT(TRIM(Raw_Data!B332),4)),VALUE(MID(TRIM(Raw_Data!B332),4,2)),VALUE(LEFT(TRIM(Raw_Data!B332),2))),IF(MID(TRIM(Raw_Data!B332),5,1)="-",DATE(VALUE(LEFT(TRIM(Raw_Data!B332),4)),VALUE(MID(TRIM(Raw_Data!B332),6,2)),VALUE(RIGHT(TRIM(Raw_Data!B332),2))),DATE(VALUE(RIGHT(TRIM(Raw_Data!B332),4)),MATCH(MID(TRIM(Raw_Data!B332),4,3),{"Jan","Feb","Mar","Apr","May","Jun","Jul","Aug","Sep","Oct","Nov","Dec"},0),VALUE(LEFT(TRIM(Raw_Data!B332),2)))))),"")</f>
        <v>45868</v>
      </c>
      <c r="C332" s="9" t="str">
        <f aca="false">IF(TRIM(Raw_Data!C332)="","Unknown",PROPER(TRIM(Raw_Data!C332)))</f>
        <v>Sana Raza</v>
      </c>
      <c r="D332" s="9" t="str">
        <f aca="false">IFERROR(INDEX({"Punjab","Sindh","KPK","Balochistan"},MATCH(UPPER(LEFT(TRIM(Raw_Data!D332),1)),{"P","S","K","B"},0)),IFERROR(INDEX(Data_Dictionary!$G$4:$G$16,MATCH(E332,Data_Dictionary!$F$4:$F$16,0)),"Unassigned"))</f>
        <v>KPK</v>
      </c>
      <c r="E332" s="9" t="str">
        <f aca="false">IF(TRIM(Raw_Data!E332)="","Unknown",PROPER(TRIM(Raw_Data!E332)))</f>
        <v>Abbottabad</v>
      </c>
      <c r="F332" s="9" t="str">
        <f aca="false">IFERROR(INDEX({"Electronics","Home &amp; Kitchen","Clothing","Groceries","Beauty"},MATCH(UPPER(LEFT(TRIM(Raw_Data!F332),3)),{"ELE","HOM","CLO","GRO","BEA"},0)),"Uncategorised")</f>
        <v>Groceries</v>
      </c>
      <c r="G332" s="9" t="str">
        <f aca="false">IF(TRIM(Raw_Data!G332)="","Unknown",PROPER(TRIM(Raw_Data!G332)))</f>
        <v>Refined Sugar 10 Kg</v>
      </c>
      <c r="H332" s="11" t="str">
        <f aca="false">IFERROR(ABS(VALUE(TRIM(Raw_Data!H332))),"")</f>
        <v/>
      </c>
      <c r="I332" s="12" t="n">
        <f aca="false">IFERROR(VALUE(TRIM(SUBSTITUTE(SUBSTITUTE(SUBSTITUTE(SUBSTITUTE(TRIM(Raw_Data!I332),"PKR",""),"Rs.",""),"Rs",""),",",""))),"")</f>
        <v>1650</v>
      </c>
      <c r="J332" s="13" t="n">
        <f aca="false">IFERROR(IF(TRIM(Raw_Data!J332)="",0,IF(VALUE(TRIM(Raw_Data!J332))&gt;1,VALUE(TRIM(Raw_Data!J332))/100,VALUE(TRIM(Raw_Data!J332)))),0)</f>
        <v>0</v>
      </c>
      <c r="K332" s="9" t="str">
        <f aca="false">IF(TRIM(Raw_Data!K332)="","Unassigned",PROPER(TRIM(Raw_Data!K332)))</f>
        <v>Sadia Noor</v>
      </c>
      <c r="L332" s="9" t="str">
        <f aca="false">IFERROR(INDEX({"Credit Card","Credit Card","Debit Card","Debit Card","Cash","PayPal"},MATCH(UPPER(LEFT(TRIM(Raw_Data!L332),2)),{"CR","CC","DE","DC","CA","PA"},0)),"Other")</f>
        <v>PayPal</v>
      </c>
      <c r="M332" s="9" t="str">
        <f aca="false">IFERROR(INDEX({"Completed","Returned","Cancelled","Pending"},MATCH(UPPER(LEFT(TRIM(Raw_Data!M332),3)),{"COM","RET","CAN","PEN"},0)),"Unknown")</f>
        <v>Completed</v>
      </c>
      <c r="N332" s="14" t="str">
        <f aca="false">IF(OR(H332="",I332=""),"",H332*I332)</f>
        <v/>
      </c>
      <c r="O332" s="14" t="str">
        <f aca="false">IF(N332="","",N332*J332)</f>
        <v/>
      </c>
      <c r="P332" s="14" t="str">
        <f aca="false">IF(N332="","",N332-O332)</f>
        <v/>
      </c>
      <c r="Q332" s="15" t="n">
        <f aca="false">IF(B332="","",DATE(YEAR(B332),MONTH(B332),1))</f>
        <v>45839</v>
      </c>
      <c r="R332" s="16" t="str">
        <f aca="false">IF(A332="","Invalid - Exclude",IF(COUNTIF($A$2:A332,A332)&gt;1,"Duplicate - Exclude",IF(OR(B332="",H332="",I332=""),"Invalid - Exclude","Valid")))</f>
        <v>Invalid - Exclude</v>
      </c>
      <c r="S332" s="16" t="str">
        <f aca="false">IF(R332="Valid","",IF(R332="Duplicate - Exclude","Repeat of an earlier Order ID",IF(B332="","Date missing or unreadable",IF(H332="","Quantity missing or unreadable",IF(I332="","Unit price missing or unreadable","Order ID missing")))))</f>
        <v>Quantity missing or unreadable</v>
      </c>
    </row>
    <row r="333" customFormat="false" ht="15" hidden="false" customHeight="true" outlineLevel="0" collapsed="false">
      <c r="A333" s="17" t="str">
        <f aca="false">UPPER(TRIM(Raw_Data!A333))</f>
        <v>ORD-1316</v>
      </c>
      <c r="B333" s="18" t="n">
        <f aca="false">IFERROR(IF(ISNUMBER(Raw_Data!B333),Raw_Data!B333,IF(ISNUMBER(FIND("/",Raw_Data!B333)),DATE(VALUE(RIGHT(TRIM(Raw_Data!B333),4)),VALUE(MID(TRIM(Raw_Data!B333),4,2)),VALUE(LEFT(TRIM(Raw_Data!B333),2))),IF(MID(TRIM(Raw_Data!B333),5,1)="-",DATE(VALUE(LEFT(TRIM(Raw_Data!B333),4)),VALUE(MID(TRIM(Raw_Data!B333),6,2)),VALUE(RIGHT(TRIM(Raw_Data!B333),2))),DATE(VALUE(RIGHT(TRIM(Raw_Data!B333),4)),MATCH(MID(TRIM(Raw_Data!B333),4,3),{"Jan","Feb","Mar","Apr","May","Jun","Jul","Aug","Sep","Oct","Nov","Dec"},0),VALUE(LEFT(TRIM(Raw_Data!B333),2)))))),"")</f>
        <v>45977</v>
      </c>
      <c r="C333" s="17" t="str">
        <f aca="false">IF(TRIM(Raw_Data!C333)="","Unknown",PROPER(TRIM(Raw_Data!C333)))</f>
        <v>Tariq Qureshi</v>
      </c>
      <c r="D333" s="17" t="str">
        <f aca="false">IFERROR(INDEX({"Punjab","Sindh","KPK","Balochistan"},MATCH(UPPER(LEFT(TRIM(Raw_Data!D333),1)),{"P","S","K","B"},0)),IFERROR(INDEX(Data_Dictionary!$G$4:$G$16,MATCH(E333,Data_Dictionary!$F$4:$F$16,0)),"Unassigned"))</f>
        <v>Punjab</v>
      </c>
      <c r="E333" s="17" t="str">
        <f aca="false">IF(TRIM(Raw_Data!E333)="","Unknown",PROPER(TRIM(Raw_Data!E333)))</f>
        <v>Gujranwala</v>
      </c>
      <c r="F333" s="17" t="str">
        <f aca="false">IFERROR(INDEX({"Electronics","Home &amp; Kitchen","Clothing","Groceries","Beauty"},MATCH(UPPER(LEFT(TRIM(Raw_Data!F333),3)),{"ELE","HOM","CLO","GRO","BEA"},0)),"Uncategorised")</f>
        <v>Groceries</v>
      </c>
      <c r="G333" s="17" t="str">
        <f aca="false">IF(TRIM(Raw_Data!G333)="","Unknown",PROPER(TRIM(Raw_Data!G333)))</f>
        <v>Basmati Rice 5 Kg</v>
      </c>
      <c r="H333" s="19" t="str">
        <f aca="false">IFERROR(ABS(VALUE(TRIM(Raw_Data!H333))),"")</f>
        <v/>
      </c>
      <c r="I333" s="20" t="n">
        <f aca="false">IFERROR(VALUE(TRIM(SUBSTITUTE(SUBSTITUTE(SUBSTITUTE(SUBSTITUTE(TRIM(Raw_Data!I333),"PKR",""),"Rs.",""),"Rs",""),",",""))),"")</f>
        <v>2500</v>
      </c>
      <c r="J333" s="21" t="n">
        <f aca="false">IFERROR(IF(TRIM(Raw_Data!J333)="",0,IF(VALUE(TRIM(Raw_Data!J333))&gt;1,VALUE(TRIM(Raw_Data!J333))/100,VALUE(TRIM(Raw_Data!J333)))),0)</f>
        <v>0</v>
      </c>
      <c r="K333" s="17" t="str">
        <f aca="false">IF(TRIM(Raw_Data!K333)="","Unassigned",PROPER(TRIM(Raw_Data!K333)))</f>
        <v>Imran Shah</v>
      </c>
      <c r="L333" s="17" t="str">
        <f aca="false">IFERROR(INDEX({"Credit Card","Credit Card","Debit Card","Debit Card","Cash","PayPal"},MATCH(UPPER(LEFT(TRIM(Raw_Data!L333),2)),{"CR","CC","DE","DC","CA","PA"},0)),"Other")</f>
        <v>Cash</v>
      </c>
      <c r="M333" s="17" t="str">
        <f aca="false">IFERROR(INDEX({"Completed","Returned","Cancelled","Pending"},MATCH(UPPER(LEFT(TRIM(Raw_Data!M333),3)),{"COM","RET","CAN","PEN"},0)),"Unknown")</f>
        <v>Completed</v>
      </c>
      <c r="N333" s="20" t="str">
        <f aca="false">IF(OR(H333="",I333=""),"",H333*I333)</f>
        <v/>
      </c>
      <c r="O333" s="20" t="str">
        <f aca="false">IF(N333="","",N333*J333)</f>
        <v/>
      </c>
      <c r="P333" s="20" t="str">
        <f aca="false">IF(N333="","",N333-O333)</f>
        <v/>
      </c>
      <c r="Q333" s="22" t="n">
        <f aca="false">IF(B333="","",DATE(YEAR(B333),MONTH(B333),1))</f>
        <v>45962</v>
      </c>
      <c r="R333" s="17" t="str">
        <f aca="false">IF(A333="","Invalid - Exclude",IF(COUNTIF($A$2:A333,A333)&gt;1,"Duplicate - Exclude",IF(OR(B333="",H333="",I333=""),"Invalid - Exclude","Valid")))</f>
        <v>Invalid - Exclude</v>
      </c>
      <c r="S333" s="17" t="str">
        <f aca="false">IF(R333="Valid","",IF(R333="Duplicate - Exclude","Repeat of an earlier Order ID",IF(B333="","Date missing or unreadable",IF(H333="","Quantity missing or unreadable",IF(I333="","Unit price missing or unreadable","Order ID missing")))))</f>
        <v>Quantity missing or unreadable</v>
      </c>
    </row>
    <row r="334" customFormat="false" ht="15" hidden="false" customHeight="true" outlineLevel="0" collapsed="false">
      <c r="A334" s="9" t="str">
        <f aca="false">UPPER(TRIM(Raw_Data!A334))</f>
        <v>ORD-1317</v>
      </c>
      <c r="B334" s="10" t="n">
        <f aca="false">IFERROR(IF(ISNUMBER(Raw_Data!B334),Raw_Data!B334,IF(ISNUMBER(FIND("/",Raw_Data!B334)),DATE(VALUE(RIGHT(TRIM(Raw_Data!B334),4)),VALUE(MID(TRIM(Raw_Data!B334),4,2)),VALUE(LEFT(TRIM(Raw_Data!B334),2))),IF(MID(TRIM(Raw_Data!B334),5,1)="-",DATE(VALUE(LEFT(TRIM(Raw_Data!B334),4)),VALUE(MID(TRIM(Raw_Data!B334),6,2)),VALUE(RIGHT(TRIM(Raw_Data!B334),2))),DATE(VALUE(RIGHT(TRIM(Raw_Data!B334),4)),MATCH(MID(TRIM(Raw_Data!B334),4,3),{"Jan","Feb","Mar","Apr","May","Jun","Jul","Aug","Sep","Oct","Nov","Dec"},0),VALUE(LEFT(TRIM(Raw_Data!B334),2)))))),"")</f>
        <v>45979</v>
      </c>
      <c r="C334" s="9" t="str">
        <f aca="false">IF(TRIM(Raw_Data!C334)="","Unknown",PROPER(TRIM(Raw_Data!C334)))</f>
        <v>Hamza Hussain</v>
      </c>
      <c r="D334" s="9" t="str">
        <f aca="false">IFERROR(INDEX({"Punjab","Sindh","KPK","Balochistan"},MATCH(UPPER(LEFT(TRIM(Raw_Data!D334),1)),{"P","S","K","B"},0)),IFERROR(INDEX(Data_Dictionary!$G$4:$G$16,MATCH(E334,Data_Dictionary!$F$4:$F$16,0)),"Unassigned"))</f>
        <v>Punjab</v>
      </c>
      <c r="E334" s="9" t="str">
        <f aca="false">IF(TRIM(Raw_Data!E334)="","Unknown",PROPER(TRIM(Raw_Data!E334)))</f>
        <v>Lahore</v>
      </c>
      <c r="F334" s="9" t="str">
        <f aca="false">IFERROR(INDEX({"Electronics","Home &amp; Kitchen","Clothing","Groceries","Beauty"},MATCH(UPPER(LEFT(TRIM(Raw_Data!F334),3)),{"ELE","HOM","CLO","GRO","BEA"},0)),"Uncategorised")</f>
        <v>Groceries</v>
      </c>
      <c r="G334" s="9" t="str">
        <f aca="false">IF(TRIM(Raw_Data!G334)="","Unknown",PROPER(TRIM(Raw_Data!G334)))</f>
        <v>Refined Sugar 10 Kg</v>
      </c>
      <c r="H334" s="11" t="n">
        <f aca="false">IFERROR(ABS(VALUE(TRIM(Raw_Data!H334))),"")</f>
        <v>7</v>
      </c>
      <c r="I334" s="12" t="n">
        <f aca="false">IFERROR(VALUE(TRIM(SUBSTITUTE(SUBSTITUTE(SUBSTITUTE(SUBSTITUTE(TRIM(Raw_Data!I334),"PKR",""),"Rs.",""),"Rs",""),",",""))),"")</f>
        <v>1700</v>
      </c>
      <c r="J334" s="13" t="n">
        <f aca="false">IFERROR(IF(TRIM(Raw_Data!J334)="",0,IF(VALUE(TRIM(Raw_Data!J334))&gt;1,VALUE(TRIM(Raw_Data!J334))/100,VALUE(TRIM(Raw_Data!J334)))),0)</f>
        <v>0.1</v>
      </c>
      <c r="K334" s="9" t="str">
        <f aca="false">IF(TRIM(Raw_Data!K334)="","Unassigned",PROPER(TRIM(Raw_Data!K334)))</f>
        <v>Zoya Tariq</v>
      </c>
      <c r="L334" s="9" t="str">
        <f aca="false">IFERROR(INDEX({"Credit Card","Credit Card","Debit Card","Debit Card","Cash","PayPal"},MATCH(UPPER(LEFT(TRIM(Raw_Data!L334),2)),{"CR","CC","DE","DC","CA","PA"},0)),"Other")</f>
        <v>Credit Card</v>
      </c>
      <c r="M334" s="9" t="str">
        <f aca="false">IFERROR(INDEX({"Completed","Returned","Cancelled","Pending"},MATCH(UPPER(LEFT(TRIM(Raw_Data!M334),3)),{"COM","RET","CAN","PEN"},0)),"Unknown")</f>
        <v>Completed</v>
      </c>
      <c r="N334" s="14" t="n">
        <f aca="false">IF(OR(H334="",I334=""),"",H334*I334)</f>
        <v>11900</v>
      </c>
      <c r="O334" s="14" t="n">
        <f aca="false">IF(N334="","",N334*J334)</f>
        <v>1190</v>
      </c>
      <c r="P334" s="14" t="n">
        <f aca="false">IF(N334="","",N334-O334)</f>
        <v>10710</v>
      </c>
      <c r="Q334" s="15" t="n">
        <f aca="false">IF(B334="","",DATE(YEAR(B334),MONTH(B334),1))</f>
        <v>45962</v>
      </c>
      <c r="R334" s="16" t="str">
        <f aca="false">IF(A334="","Invalid - Exclude",IF(COUNTIF($A$2:A334,A334)&gt;1,"Duplicate - Exclude",IF(OR(B334="",H334="",I334=""),"Invalid - Exclude","Valid")))</f>
        <v>Valid</v>
      </c>
      <c r="S334" s="16" t="str">
        <f aca="false">IF(R334="Valid","",IF(R334="Duplicate - Exclude","Repeat of an earlier Order ID",IF(B334="","Date missing or unreadable",IF(H334="","Quantity missing or unreadable",IF(I334="","Unit price missing or unreadable","Order ID missing")))))</f>
        <v/>
      </c>
    </row>
    <row r="335" customFormat="false" ht="15" hidden="false" customHeight="true" outlineLevel="0" collapsed="false">
      <c r="A335" s="17" t="str">
        <f aca="false">UPPER(TRIM(Raw_Data!A335))</f>
        <v>ORD-1318</v>
      </c>
      <c r="B335" s="18" t="n">
        <f aca="false">IFERROR(IF(ISNUMBER(Raw_Data!B335),Raw_Data!B335,IF(ISNUMBER(FIND("/",Raw_Data!B335)),DATE(VALUE(RIGHT(TRIM(Raw_Data!B335),4)),VALUE(MID(TRIM(Raw_Data!B335),4,2)),VALUE(LEFT(TRIM(Raw_Data!B335),2))),IF(MID(TRIM(Raw_Data!B335),5,1)="-",DATE(VALUE(LEFT(TRIM(Raw_Data!B335),4)),VALUE(MID(TRIM(Raw_Data!B335),6,2)),VALUE(RIGHT(TRIM(Raw_Data!B335),2))),DATE(VALUE(RIGHT(TRIM(Raw_Data!B335),4)),MATCH(MID(TRIM(Raw_Data!B335),4,3),{"Jan","Feb","Mar","Apr","May","Jun","Jul","Aug","Sep","Oct","Nov","Dec"},0),VALUE(LEFT(TRIM(Raw_Data!B335),2)))))),"")</f>
        <v>45712</v>
      </c>
      <c r="C335" s="17" t="str">
        <f aca="false">IF(TRIM(Raw_Data!C335)="","Unknown",PROPER(TRIM(Raw_Data!C335)))</f>
        <v>Usman Hussain</v>
      </c>
      <c r="D335" s="17" t="str">
        <f aca="false">IFERROR(INDEX({"Punjab","Sindh","KPK","Balochistan"},MATCH(UPPER(LEFT(TRIM(Raw_Data!D335),1)),{"P","S","K","B"},0)),IFERROR(INDEX(Data_Dictionary!$G$4:$G$16,MATCH(E335,Data_Dictionary!$F$4:$F$16,0)),"Unassigned"))</f>
        <v>Punjab</v>
      </c>
      <c r="E335" s="17" t="str">
        <f aca="false">IF(TRIM(Raw_Data!E335)="","Unknown",PROPER(TRIM(Raw_Data!E335)))</f>
        <v>Lahore</v>
      </c>
      <c r="F335" s="17" t="str">
        <f aca="false">IFERROR(INDEX({"Electronics","Home &amp; Kitchen","Clothing","Groceries","Beauty"},MATCH(UPPER(LEFT(TRIM(Raw_Data!F335),3)),{"ELE","HOM","CLO","GRO","BEA"},0)),"Uncategorised")</f>
        <v>Clothing</v>
      </c>
      <c r="G335" s="17" t="str">
        <f aca="false">IF(TRIM(Raw_Data!G335)="","Unknown",PROPER(TRIM(Raw_Data!G335)))</f>
        <v>Running Shoes</v>
      </c>
      <c r="H335" s="19" t="n">
        <f aca="false">IFERROR(ABS(VALUE(TRIM(Raw_Data!H335))),"")</f>
        <v>3</v>
      </c>
      <c r="I335" s="20" t="n">
        <f aca="false">IFERROR(VALUE(TRIM(SUBSTITUTE(SUBSTITUTE(SUBSTITUTE(SUBSTITUTE(TRIM(Raw_Data!I335),"PKR",""),"Rs.",""),"Rs",""),",",""))),"")</f>
        <v>7850</v>
      </c>
      <c r="J335" s="21" t="n">
        <f aca="false">IFERROR(IF(TRIM(Raw_Data!J335)="",0,IF(VALUE(TRIM(Raw_Data!J335))&gt;1,VALUE(TRIM(Raw_Data!J335))/100,VALUE(TRIM(Raw_Data!J335)))),0)</f>
        <v>0</v>
      </c>
      <c r="K335" s="17" t="str">
        <f aca="false">IF(TRIM(Raw_Data!K335)="","Unassigned",PROPER(TRIM(Raw_Data!K335)))</f>
        <v>Nimra Aslam</v>
      </c>
      <c r="L335" s="17" t="str">
        <f aca="false">IFERROR(INDEX({"Credit Card","Credit Card","Debit Card","Debit Card","Cash","PayPal"},MATCH(UPPER(LEFT(TRIM(Raw_Data!L335),2)),{"CR","CC","DE","DC","CA","PA"},0)),"Other")</f>
        <v>Debit Card</v>
      </c>
      <c r="M335" s="17" t="str">
        <f aca="false">IFERROR(INDEX({"Completed","Returned","Cancelled","Pending"},MATCH(UPPER(LEFT(TRIM(Raw_Data!M335),3)),{"COM","RET","CAN","PEN"},0)),"Unknown")</f>
        <v>Completed</v>
      </c>
      <c r="N335" s="20" t="n">
        <f aca="false">IF(OR(H335="",I335=""),"",H335*I335)</f>
        <v>23550</v>
      </c>
      <c r="O335" s="20" t="n">
        <f aca="false">IF(N335="","",N335*J335)</f>
        <v>0</v>
      </c>
      <c r="P335" s="20" t="n">
        <f aca="false">IF(N335="","",N335-O335)</f>
        <v>23550</v>
      </c>
      <c r="Q335" s="22" t="n">
        <f aca="false">IF(B335="","",DATE(YEAR(B335),MONTH(B335),1))</f>
        <v>45689</v>
      </c>
      <c r="R335" s="17" t="str">
        <f aca="false">IF(A335="","Invalid - Exclude",IF(COUNTIF($A$2:A335,A335)&gt;1,"Duplicate - Exclude",IF(OR(B335="",H335="",I335=""),"Invalid - Exclude","Valid")))</f>
        <v>Duplicate - Exclude</v>
      </c>
      <c r="S335" s="17" t="str">
        <f aca="false">IF(R335="Valid","",IF(R335="Duplicate - Exclude","Repeat of an earlier Order ID",IF(B335="","Date missing or unreadable",IF(H335="","Quantity missing or unreadable",IF(I335="","Unit price missing or unreadable","Order ID missing")))))</f>
        <v>Repeat of an earlier Order ID</v>
      </c>
    </row>
    <row r="336" customFormat="false" ht="15" hidden="false" customHeight="true" outlineLevel="0" collapsed="false">
      <c r="A336" s="9" t="str">
        <f aca="false">UPPER(TRIM(Raw_Data!A336))</f>
        <v>ORD-1319</v>
      </c>
      <c r="B336" s="10" t="n">
        <f aca="false">IFERROR(IF(ISNUMBER(Raw_Data!B336),Raw_Data!B336,IF(ISNUMBER(FIND("/",Raw_Data!B336)),DATE(VALUE(RIGHT(TRIM(Raw_Data!B336),4)),VALUE(MID(TRIM(Raw_Data!B336),4,2)),VALUE(LEFT(TRIM(Raw_Data!B336),2))),IF(MID(TRIM(Raw_Data!B336),5,1)="-",DATE(VALUE(LEFT(TRIM(Raw_Data!B336),4)),VALUE(MID(TRIM(Raw_Data!B336),6,2)),VALUE(RIGHT(TRIM(Raw_Data!B336),2))),DATE(VALUE(RIGHT(TRIM(Raw_Data!B336),4)),MATCH(MID(TRIM(Raw_Data!B336),4,3),{"Jan","Feb","Mar","Apr","May","Jun","Jul","Aug","Sep","Oct","Nov","Dec"},0),VALUE(LEFT(TRIM(Raw_Data!B336),2)))))),"")</f>
        <v>45884</v>
      </c>
      <c r="C336" s="9" t="str">
        <f aca="false">IF(TRIM(Raw_Data!C336)="","Unknown",PROPER(TRIM(Raw_Data!C336)))</f>
        <v>Unknown</v>
      </c>
      <c r="D336" s="9" t="str">
        <f aca="false">IFERROR(INDEX({"Punjab","Sindh","KPK","Balochistan"},MATCH(UPPER(LEFT(TRIM(Raw_Data!D336),1)),{"P","S","K","B"},0)),IFERROR(INDEX(Data_Dictionary!$G$4:$G$16,MATCH(E336,Data_Dictionary!$F$4:$F$16,0)),"Unassigned"))</f>
        <v>Punjab</v>
      </c>
      <c r="E336" s="9" t="str">
        <f aca="false">IF(TRIM(Raw_Data!E336)="","Unknown",PROPER(TRIM(Raw_Data!E336)))</f>
        <v>Multan</v>
      </c>
      <c r="F336" s="9" t="str">
        <f aca="false">IFERROR(INDEX({"Electronics","Home &amp; Kitchen","Clothing","Groceries","Beauty"},MATCH(UPPER(LEFT(TRIM(Raw_Data!F336),3)),{"ELE","HOM","CLO","GRO","BEA"},0)),"Uncategorised")</f>
        <v>Home &amp; Kitchen</v>
      </c>
      <c r="G336" s="9" t="str">
        <f aca="false">IF(TRIM(Raw_Data!G336)="","Unknown",PROPER(TRIM(Raw_Data!G336)))</f>
        <v>Bedsheet Set</v>
      </c>
      <c r="H336" s="11" t="n">
        <f aca="false">IFERROR(ABS(VALUE(TRIM(Raw_Data!H336))),"")</f>
        <v>5</v>
      </c>
      <c r="I336" s="12" t="n">
        <f aca="false">IFERROR(VALUE(TRIM(SUBSTITUTE(SUBSTITUTE(SUBSTITUTE(SUBSTITUTE(TRIM(Raw_Data!I336),"PKR",""),"Rs.",""),"Rs",""),",",""))),"")</f>
        <v>4950</v>
      </c>
      <c r="J336" s="13" t="n">
        <f aca="false">IFERROR(IF(TRIM(Raw_Data!J336)="",0,IF(VALUE(TRIM(Raw_Data!J336))&gt;1,VALUE(TRIM(Raw_Data!J336))/100,VALUE(TRIM(Raw_Data!J336)))),0)</f>
        <v>0.1</v>
      </c>
      <c r="K336" s="9" t="str">
        <f aca="false">IF(TRIM(Raw_Data!K336)="","Unassigned",PROPER(TRIM(Raw_Data!K336)))</f>
        <v>Waqar Ahmed</v>
      </c>
      <c r="L336" s="9" t="str">
        <f aca="false">IFERROR(INDEX({"Credit Card","Credit Card","Debit Card","Debit Card","Cash","PayPal"},MATCH(UPPER(LEFT(TRIM(Raw_Data!L336),2)),{"CR","CC","DE","DC","CA","PA"},0)),"Other")</f>
        <v>Credit Card</v>
      </c>
      <c r="M336" s="9" t="str">
        <f aca="false">IFERROR(INDEX({"Completed","Returned","Cancelled","Pending"},MATCH(UPPER(LEFT(TRIM(Raw_Data!M336),3)),{"COM","RET","CAN","PEN"},0)),"Unknown")</f>
        <v>Completed</v>
      </c>
      <c r="N336" s="14" t="n">
        <f aca="false">IF(OR(H336="",I336=""),"",H336*I336)</f>
        <v>24750</v>
      </c>
      <c r="O336" s="14" t="n">
        <f aca="false">IF(N336="","",N336*J336)</f>
        <v>2475</v>
      </c>
      <c r="P336" s="14" t="n">
        <f aca="false">IF(N336="","",N336-O336)</f>
        <v>22275</v>
      </c>
      <c r="Q336" s="15" t="n">
        <f aca="false">IF(B336="","",DATE(YEAR(B336),MONTH(B336),1))</f>
        <v>45870</v>
      </c>
      <c r="R336" s="16" t="str">
        <f aca="false">IF(A336="","Invalid - Exclude",IF(COUNTIF($A$2:A336,A336)&gt;1,"Duplicate - Exclude",IF(OR(B336="",H336="",I336=""),"Invalid - Exclude","Valid")))</f>
        <v>Valid</v>
      </c>
      <c r="S336" s="16" t="str">
        <f aca="false">IF(R336="Valid","",IF(R336="Duplicate - Exclude","Repeat of an earlier Order ID",IF(B336="","Date missing or unreadable",IF(H336="","Quantity missing or unreadable",IF(I336="","Unit price missing or unreadable","Order ID missing")))))</f>
        <v/>
      </c>
    </row>
    <row r="337" customFormat="false" ht="15" hidden="false" customHeight="true" outlineLevel="0" collapsed="false">
      <c r="A337" s="17" t="str">
        <f aca="false">UPPER(TRIM(Raw_Data!A337))</f>
        <v>ORD-1320</v>
      </c>
      <c r="B337" s="18" t="n">
        <f aca="false">IFERROR(IF(ISNUMBER(Raw_Data!B337),Raw_Data!B337,IF(ISNUMBER(FIND("/",Raw_Data!B337)),DATE(VALUE(RIGHT(TRIM(Raw_Data!B337),4)),VALUE(MID(TRIM(Raw_Data!B337),4,2)),VALUE(LEFT(TRIM(Raw_Data!B337),2))),IF(MID(TRIM(Raw_Data!B337),5,1)="-",DATE(VALUE(LEFT(TRIM(Raw_Data!B337),4)),VALUE(MID(TRIM(Raw_Data!B337),6,2)),VALUE(RIGHT(TRIM(Raw_Data!B337),2))),DATE(VALUE(RIGHT(TRIM(Raw_Data!B337),4)),MATCH(MID(TRIM(Raw_Data!B337),4,3),{"Jan","Feb","Mar","Apr","May","Jun","Jul","Aug","Sep","Oct","Nov","Dec"},0),VALUE(LEFT(TRIM(Raw_Data!B337),2)))))),"")</f>
        <v>45950</v>
      </c>
      <c r="C337" s="17" t="str">
        <f aca="false">IF(TRIM(Raw_Data!C337)="","Unknown",PROPER(TRIM(Raw_Data!C337)))</f>
        <v>Zain Iqbal</v>
      </c>
      <c r="D337" s="17" t="str">
        <f aca="false">IFERROR(INDEX({"Punjab","Sindh","KPK","Balochistan"},MATCH(UPPER(LEFT(TRIM(Raw_Data!D337),1)),{"P","S","K","B"},0)),IFERROR(INDEX(Data_Dictionary!$G$4:$G$16,MATCH(E337,Data_Dictionary!$F$4:$F$16,0)),"Unassigned"))</f>
        <v>Punjab</v>
      </c>
      <c r="E337" s="17" t="str">
        <f aca="false">IF(TRIM(Raw_Data!E337)="","Unknown",PROPER(TRIM(Raw_Data!E337)))</f>
        <v>Gujranwala</v>
      </c>
      <c r="F337" s="17" t="str">
        <f aca="false">IFERROR(INDEX({"Electronics","Home &amp; Kitchen","Clothing","Groceries","Beauty"},MATCH(UPPER(LEFT(TRIM(Raw_Data!F337),3)),{"ELE","HOM","CLO","GRO","BEA"},0)),"Uncategorised")</f>
        <v>Groceries</v>
      </c>
      <c r="G337" s="17" t="str">
        <f aca="false">IF(TRIM(Raw_Data!G337)="","Unknown",PROPER(TRIM(Raw_Data!G337)))</f>
        <v>Cooking Oil 5 Litre</v>
      </c>
      <c r="H337" s="19" t="n">
        <f aca="false">IFERROR(ABS(VALUE(TRIM(Raw_Data!H337))),"")</f>
        <v>1</v>
      </c>
      <c r="I337" s="20" t="n">
        <f aca="false">IFERROR(VALUE(TRIM(SUBSTITUTE(SUBSTITUTE(SUBSTITUTE(SUBSTITUTE(TRIM(Raw_Data!I337),"PKR",""),"Rs.",""),"Rs",""),",",""))),"")</f>
        <v>2350</v>
      </c>
      <c r="J337" s="21" t="n">
        <f aca="false">IFERROR(IF(TRIM(Raw_Data!J337)="",0,IF(VALUE(TRIM(Raw_Data!J337))&gt;1,VALUE(TRIM(Raw_Data!J337))/100,VALUE(TRIM(Raw_Data!J337)))),0)</f>
        <v>0</v>
      </c>
      <c r="K337" s="17" t="str">
        <f aca="false">IF(TRIM(Raw_Data!K337)="","Unassigned",PROPER(TRIM(Raw_Data!K337)))</f>
        <v>Imran Shah</v>
      </c>
      <c r="L337" s="17" t="str">
        <f aca="false">IFERROR(INDEX({"Credit Card","Credit Card","Debit Card","Debit Card","Cash","PayPal"},MATCH(UPPER(LEFT(TRIM(Raw_Data!L337),2)),{"CR","CC","DE","DC","CA","PA"},0)),"Other")</f>
        <v>Debit Card</v>
      </c>
      <c r="M337" s="17" t="str">
        <f aca="false">IFERROR(INDEX({"Completed","Returned","Cancelled","Pending"},MATCH(UPPER(LEFT(TRIM(Raw_Data!M337),3)),{"COM","RET","CAN","PEN"},0)),"Unknown")</f>
        <v>Completed</v>
      </c>
      <c r="N337" s="20" t="n">
        <f aca="false">IF(OR(H337="",I337=""),"",H337*I337)</f>
        <v>2350</v>
      </c>
      <c r="O337" s="20" t="n">
        <f aca="false">IF(N337="","",N337*J337)</f>
        <v>0</v>
      </c>
      <c r="P337" s="20" t="n">
        <f aca="false">IF(N337="","",N337-O337)</f>
        <v>2350</v>
      </c>
      <c r="Q337" s="22" t="n">
        <f aca="false">IF(B337="","",DATE(YEAR(B337),MONTH(B337),1))</f>
        <v>45931</v>
      </c>
      <c r="R337" s="17" t="str">
        <f aca="false">IF(A337="","Invalid - Exclude",IF(COUNTIF($A$2:A337,A337)&gt;1,"Duplicate - Exclude",IF(OR(B337="",H337="",I337=""),"Invalid - Exclude","Valid")))</f>
        <v>Duplicate - Exclude</v>
      </c>
      <c r="S337" s="17" t="str">
        <f aca="false">IF(R337="Valid","",IF(R337="Duplicate - Exclude","Repeat of an earlier Order ID",IF(B337="","Date missing or unreadable",IF(H337="","Quantity missing or unreadable",IF(I337="","Unit price missing or unreadable","Order ID missing")))))</f>
        <v>Repeat of an earlier Order ID</v>
      </c>
    </row>
    <row r="338" customFormat="false" ht="15" hidden="false" customHeight="true" outlineLevel="0" collapsed="false">
      <c r="A338" s="9" t="str">
        <f aca="false">UPPER(TRIM(Raw_Data!A338))</f>
        <v>ORD-1321</v>
      </c>
      <c r="B338" s="10" t="n">
        <f aca="false">IFERROR(IF(ISNUMBER(Raw_Data!B338),Raw_Data!B338,IF(ISNUMBER(FIND("/",Raw_Data!B338)),DATE(VALUE(RIGHT(TRIM(Raw_Data!B338),4)),VALUE(MID(TRIM(Raw_Data!B338),4,2)),VALUE(LEFT(TRIM(Raw_Data!B338),2))),IF(MID(TRIM(Raw_Data!B338),5,1)="-",DATE(VALUE(LEFT(TRIM(Raw_Data!B338),4)),VALUE(MID(TRIM(Raw_Data!B338),6,2)),VALUE(RIGHT(TRIM(Raw_Data!B338),2))),DATE(VALUE(RIGHT(TRIM(Raw_Data!B338),4)),MATCH(MID(TRIM(Raw_Data!B338),4,3),{"Jan","Feb","Mar","Apr","May","Jun","Jul","Aug","Sep","Oct","Nov","Dec"},0),VALUE(LEFT(TRIM(Raw_Data!B338),2)))))),"")</f>
        <v>45766</v>
      </c>
      <c r="C338" s="9" t="str">
        <f aca="false">IF(TRIM(Raw_Data!C338)="","Unknown",PROPER(TRIM(Raw_Data!C338)))</f>
        <v>Noor Butt</v>
      </c>
      <c r="D338" s="9" t="str">
        <f aca="false">IFERROR(INDEX({"Punjab","Sindh","KPK","Balochistan"},MATCH(UPPER(LEFT(TRIM(Raw_Data!D338),1)),{"P","S","K","B"},0)),IFERROR(INDEX(Data_Dictionary!$G$4:$G$16,MATCH(E338,Data_Dictionary!$F$4:$F$16,0)),"Unassigned"))</f>
        <v>KPK</v>
      </c>
      <c r="E338" s="9" t="str">
        <f aca="false">IF(TRIM(Raw_Data!E338)="","Unknown",PROPER(TRIM(Raw_Data!E338)))</f>
        <v>Abbottabad</v>
      </c>
      <c r="F338" s="9" t="str">
        <f aca="false">IFERROR(INDEX({"Electronics","Home &amp; Kitchen","Clothing","Groceries","Beauty"},MATCH(UPPER(LEFT(TRIM(Raw_Data!F338),3)),{"ELE","HOM","CLO","GRO","BEA"},0)),"Uncategorised")</f>
        <v>Electronics</v>
      </c>
      <c r="G338" s="9" t="str">
        <f aca="false">IF(TRIM(Raw_Data!G338)="","Unknown",PROPER(TRIM(Raw_Data!G338)))</f>
        <v>Smart Watch</v>
      </c>
      <c r="H338" s="11" t="n">
        <f aca="false">IFERROR(ABS(VALUE(TRIM(Raw_Data!H338))),"")</f>
        <v>3</v>
      </c>
      <c r="I338" s="12" t="n">
        <f aca="false">IFERROR(VALUE(TRIM(SUBSTITUTE(SUBSTITUTE(SUBSTITUTE(SUBSTITUTE(TRIM(Raw_Data!I338),"PKR",""),"Rs.",""),"Rs",""),",",""))),"")</f>
        <v>9900</v>
      </c>
      <c r="J338" s="13" t="n">
        <f aca="false">IFERROR(IF(TRIM(Raw_Data!J338)="",0,IF(VALUE(TRIM(Raw_Data!J338))&gt;1,VALUE(TRIM(Raw_Data!J338))/100,VALUE(TRIM(Raw_Data!J338)))),0)</f>
        <v>0.1</v>
      </c>
      <c r="K338" s="9" t="str">
        <f aca="false">IF(TRIM(Raw_Data!K338)="","Unassigned",PROPER(TRIM(Raw_Data!K338)))</f>
        <v>Zoya Tariq</v>
      </c>
      <c r="L338" s="9" t="str">
        <f aca="false">IFERROR(INDEX({"Credit Card","Credit Card","Debit Card","Debit Card","Cash","PayPal"},MATCH(UPPER(LEFT(TRIM(Raw_Data!L338),2)),{"CR","CC","DE","DC","CA","PA"},0)),"Other")</f>
        <v>Debit Card</v>
      </c>
      <c r="M338" s="9" t="str">
        <f aca="false">IFERROR(INDEX({"Completed","Returned","Cancelled","Pending"},MATCH(UPPER(LEFT(TRIM(Raw_Data!M338),3)),{"COM","RET","CAN","PEN"},0)),"Unknown")</f>
        <v>Completed</v>
      </c>
      <c r="N338" s="14" t="n">
        <f aca="false">IF(OR(H338="",I338=""),"",H338*I338)</f>
        <v>29700</v>
      </c>
      <c r="O338" s="14" t="n">
        <f aca="false">IF(N338="","",N338*J338)</f>
        <v>2970</v>
      </c>
      <c r="P338" s="14" t="n">
        <f aca="false">IF(N338="","",N338-O338)</f>
        <v>26730</v>
      </c>
      <c r="Q338" s="15" t="n">
        <f aca="false">IF(B338="","",DATE(YEAR(B338),MONTH(B338),1))</f>
        <v>45748</v>
      </c>
      <c r="R338" s="16" t="str">
        <f aca="false">IF(A338="","Invalid - Exclude",IF(COUNTIF($A$2:A338,A338)&gt;1,"Duplicate - Exclude",IF(OR(B338="",H338="",I338=""),"Invalid - Exclude","Valid")))</f>
        <v>Valid</v>
      </c>
      <c r="S338" s="16" t="str">
        <f aca="false">IF(R338="Valid","",IF(R338="Duplicate - Exclude","Repeat of an earlier Order ID",IF(B338="","Date missing or unreadable",IF(H338="","Quantity missing or unreadable",IF(I338="","Unit price missing or unreadable","Order ID missing")))))</f>
        <v/>
      </c>
    </row>
    <row r="339" customFormat="false" ht="15" hidden="false" customHeight="true" outlineLevel="0" collapsed="false">
      <c r="A339" s="17" t="str">
        <f aca="false">UPPER(TRIM(Raw_Data!A339))</f>
        <v>ORD-1322</v>
      </c>
      <c r="B339" s="18" t="n">
        <f aca="false">IFERROR(IF(ISNUMBER(Raw_Data!B339),Raw_Data!B339,IF(ISNUMBER(FIND("/",Raw_Data!B339)),DATE(VALUE(RIGHT(TRIM(Raw_Data!B339),4)),VALUE(MID(TRIM(Raw_Data!B339),4,2)),VALUE(LEFT(TRIM(Raw_Data!B339),2))),IF(MID(TRIM(Raw_Data!B339),5,1)="-",DATE(VALUE(LEFT(TRIM(Raw_Data!B339),4)),VALUE(MID(TRIM(Raw_Data!B339),6,2)),VALUE(RIGHT(TRIM(Raw_Data!B339),2))),DATE(VALUE(RIGHT(TRIM(Raw_Data!B339),4)),MATCH(MID(TRIM(Raw_Data!B339),4,3),{"Jan","Feb","Mar","Apr","May","Jun","Jul","Aug","Sep","Oct","Nov","Dec"},0),VALUE(LEFT(TRIM(Raw_Data!B339),2)))))),"")</f>
        <v>45677</v>
      </c>
      <c r="C339" s="17" t="str">
        <f aca="false">IF(TRIM(Raw_Data!C339)="","Unknown",PROPER(TRIM(Raw_Data!C339)))</f>
        <v>Fatima Mirza</v>
      </c>
      <c r="D339" s="17" t="str">
        <f aca="false">IFERROR(INDEX({"Punjab","Sindh","KPK","Balochistan"},MATCH(UPPER(LEFT(TRIM(Raw_Data!D339),1)),{"P","S","K","B"},0)),IFERROR(INDEX(Data_Dictionary!$G$4:$G$16,MATCH(E339,Data_Dictionary!$F$4:$F$16,0)),"Unassigned"))</f>
        <v>Sindh</v>
      </c>
      <c r="E339" s="17" t="str">
        <f aca="false">IF(TRIM(Raw_Data!E339)="","Unknown",PROPER(TRIM(Raw_Data!E339)))</f>
        <v>Karachi</v>
      </c>
      <c r="F339" s="17" t="str">
        <f aca="false">IFERROR(INDEX({"Electronics","Home &amp; Kitchen","Clothing","Groceries","Beauty"},MATCH(UPPER(LEFT(TRIM(Raw_Data!F339),3)),{"ELE","HOM","CLO","GRO","BEA"},0)),"Uncategorised")</f>
        <v>Clothing</v>
      </c>
      <c r="G339" s="17" t="str">
        <f aca="false">IF(TRIM(Raw_Data!G339)="","Unknown",PROPER(TRIM(Raw_Data!G339)))</f>
        <v>Mens Kurta</v>
      </c>
      <c r="H339" s="19" t="n">
        <f aca="false">IFERROR(ABS(VALUE(TRIM(Raw_Data!H339))),"")</f>
        <v>4</v>
      </c>
      <c r="I339" s="20" t="n">
        <f aca="false">IFERROR(VALUE(TRIM(SUBSTITUTE(SUBSTITUTE(SUBSTITUTE(SUBSTITUTE(TRIM(Raw_Data!I339),"PKR",""),"Rs.",""),"Rs",""),",",""))),"")</f>
        <v>3350</v>
      </c>
      <c r="J339" s="21" t="n">
        <f aca="false">IFERROR(IF(TRIM(Raw_Data!J339)="",0,IF(VALUE(TRIM(Raw_Data!J339))&gt;1,VALUE(TRIM(Raw_Data!J339))/100,VALUE(TRIM(Raw_Data!J339)))),0)</f>
        <v>0.05</v>
      </c>
      <c r="K339" s="17" t="str">
        <f aca="false">IF(TRIM(Raw_Data!K339)="","Unassigned",PROPER(TRIM(Raw_Data!K339)))</f>
        <v>Waqar Ahmed</v>
      </c>
      <c r="L339" s="17" t="str">
        <f aca="false">IFERROR(INDEX({"Credit Card","Credit Card","Debit Card","Debit Card","Cash","PayPal"},MATCH(UPPER(LEFT(TRIM(Raw_Data!L339),2)),{"CR","CC","DE","DC","CA","PA"},0)),"Other")</f>
        <v>Cash</v>
      </c>
      <c r="M339" s="17" t="str">
        <f aca="false">IFERROR(INDEX({"Completed","Returned","Cancelled","Pending"},MATCH(UPPER(LEFT(TRIM(Raw_Data!M339),3)),{"COM","RET","CAN","PEN"},0)),"Unknown")</f>
        <v>Returned</v>
      </c>
      <c r="N339" s="20" t="n">
        <f aca="false">IF(OR(H339="",I339=""),"",H339*I339)</f>
        <v>13400</v>
      </c>
      <c r="O339" s="20" t="n">
        <f aca="false">IF(N339="","",N339*J339)</f>
        <v>670</v>
      </c>
      <c r="P339" s="20" t="n">
        <f aca="false">IF(N339="","",N339-O339)</f>
        <v>12730</v>
      </c>
      <c r="Q339" s="22" t="n">
        <f aca="false">IF(B339="","",DATE(YEAR(B339),MONTH(B339),1))</f>
        <v>45658</v>
      </c>
      <c r="R339" s="17" t="str">
        <f aca="false">IF(A339="","Invalid - Exclude",IF(COUNTIF($A$2:A339,A339)&gt;1,"Duplicate - Exclude",IF(OR(B339="",H339="",I339=""),"Invalid - Exclude","Valid")))</f>
        <v>Valid</v>
      </c>
      <c r="S339" s="17" t="str">
        <f aca="false">IF(R339="Valid","",IF(R339="Duplicate - Exclude","Repeat of an earlier Order ID",IF(B339="","Date missing or unreadable",IF(H339="","Quantity missing or unreadable",IF(I339="","Unit price missing or unreadable","Order ID missing")))))</f>
        <v/>
      </c>
    </row>
    <row r="340" customFormat="false" ht="15" hidden="false" customHeight="true" outlineLevel="0" collapsed="false">
      <c r="A340" s="9" t="str">
        <f aca="false">UPPER(TRIM(Raw_Data!A340))</f>
        <v>ORD-1323</v>
      </c>
      <c r="B340" s="10" t="n">
        <f aca="false">IFERROR(IF(ISNUMBER(Raw_Data!B340),Raw_Data!B340,IF(ISNUMBER(FIND("/",Raw_Data!B340)),DATE(VALUE(RIGHT(TRIM(Raw_Data!B340),4)),VALUE(MID(TRIM(Raw_Data!B340),4,2)),VALUE(LEFT(TRIM(Raw_Data!B340),2))),IF(MID(TRIM(Raw_Data!B340),5,1)="-",DATE(VALUE(LEFT(TRIM(Raw_Data!B340),4)),VALUE(MID(TRIM(Raw_Data!B340),6,2)),VALUE(RIGHT(TRIM(Raw_Data!B340),2))),DATE(VALUE(RIGHT(TRIM(Raw_Data!B340),4)),MATCH(MID(TRIM(Raw_Data!B340),4,3),{"Jan","Feb","Mar","Apr","May","Jun","Jul","Aug","Sep","Oct","Nov","Dec"},0),VALUE(LEFT(TRIM(Raw_Data!B340),2)))))),"")</f>
        <v>45900</v>
      </c>
      <c r="C340" s="9" t="str">
        <f aca="false">IF(TRIM(Raw_Data!C340)="","Unknown",PROPER(TRIM(Raw_Data!C340)))</f>
        <v>Rabia Iqbal</v>
      </c>
      <c r="D340" s="9" t="str">
        <f aca="false">IFERROR(INDEX({"Punjab","Sindh","KPK","Balochistan"},MATCH(UPPER(LEFT(TRIM(Raw_Data!D340),1)),{"P","S","K","B"},0)),IFERROR(INDEX(Data_Dictionary!$G$4:$G$16,MATCH(E340,Data_Dictionary!$F$4:$F$16,0)),"Unassigned"))</f>
        <v>Balochistan</v>
      </c>
      <c r="E340" s="9" t="str">
        <f aca="false">IF(TRIM(Raw_Data!E340)="","Unknown",PROPER(TRIM(Raw_Data!E340)))</f>
        <v>Quetta</v>
      </c>
      <c r="F340" s="9" t="str">
        <f aca="false">IFERROR(INDEX({"Electronics","Home &amp; Kitchen","Clothing","Groceries","Beauty"},MATCH(UPPER(LEFT(TRIM(Raw_Data!F340),3)),{"ELE","HOM","CLO","GRO","BEA"},0)),"Uncategorised")</f>
        <v>Electronics</v>
      </c>
      <c r="G340" s="9" t="str">
        <f aca="false">IF(TRIM(Raw_Data!G340)="","Unknown",PROPER(TRIM(Raw_Data!G340)))</f>
        <v>Phone Charger</v>
      </c>
      <c r="H340" s="11" t="n">
        <f aca="false">IFERROR(ABS(VALUE(TRIM(Raw_Data!H340))),"")</f>
        <v>4</v>
      </c>
      <c r="I340" s="12" t="n">
        <f aca="false">IFERROR(VALUE(TRIM(SUBSTITUTE(SUBSTITUTE(SUBSTITUTE(SUBSTITUTE(TRIM(Raw_Data!I340),"PKR",""),"Rs.",""),"Rs",""),",",""))),"")</f>
        <v>1250</v>
      </c>
      <c r="J340" s="13" t="n">
        <f aca="false">IFERROR(IF(TRIM(Raw_Data!J340)="",0,IF(VALUE(TRIM(Raw_Data!J340))&gt;1,VALUE(TRIM(Raw_Data!J340))/100,VALUE(TRIM(Raw_Data!J340)))),0)</f>
        <v>0</v>
      </c>
      <c r="K340" s="9" t="str">
        <f aca="false">IF(TRIM(Raw_Data!K340)="","Unassigned",PROPER(TRIM(Raw_Data!K340)))</f>
        <v>Waqar Ahmed</v>
      </c>
      <c r="L340" s="9" t="str">
        <f aca="false">IFERROR(INDEX({"Credit Card","Credit Card","Debit Card","Debit Card","Cash","PayPal"},MATCH(UPPER(LEFT(TRIM(Raw_Data!L340),2)),{"CR","CC","DE","DC","CA","PA"},0)),"Other")</f>
        <v>PayPal</v>
      </c>
      <c r="M340" s="9" t="str">
        <f aca="false">IFERROR(INDEX({"Completed","Returned","Cancelled","Pending"},MATCH(UPPER(LEFT(TRIM(Raw_Data!M340),3)),{"COM","RET","CAN","PEN"},0)),"Unknown")</f>
        <v>Returned</v>
      </c>
      <c r="N340" s="14" t="n">
        <f aca="false">IF(OR(H340="",I340=""),"",H340*I340)</f>
        <v>5000</v>
      </c>
      <c r="O340" s="14" t="n">
        <f aca="false">IF(N340="","",N340*J340)</f>
        <v>0</v>
      </c>
      <c r="P340" s="14" t="n">
        <f aca="false">IF(N340="","",N340-O340)</f>
        <v>5000</v>
      </c>
      <c r="Q340" s="15" t="n">
        <f aca="false">IF(B340="","",DATE(YEAR(B340),MONTH(B340),1))</f>
        <v>45870</v>
      </c>
      <c r="R340" s="16" t="str">
        <f aca="false">IF(A340="","Invalid - Exclude",IF(COUNTIF($A$2:A340,A340)&gt;1,"Duplicate - Exclude",IF(OR(B340="",H340="",I340=""),"Invalid - Exclude","Valid")))</f>
        <v>Valid</v>
      </c>
      <c r="S340" s="16" t="str">
        <f aca="false">IF(R340="Valid","",IF(R340="Duplicate - Exclude","Repeat of an earlier Order ID",IF(B340="","Date missing or unreadable",IF(H340="","Quantity missing or unreadable",IF(I340="","Unit price missing or unreadable","Order ID missing")))))</f>
        <v/>
      </c>
    </row>
    <row r="341" customFormat="false" ht="15" hidden="false" customHeight="true" outlineLevel="0" collapsed="false">
      <c r="A341" s="17" t="str">
        <f aca="false">UPPER(TRIM(Raw_Data!A341))</f>
        <v>ORD-1324</v>
      </c>
      <c r="B341" s="18" t="str">
        <f aca="false">IFERROR(IF(ISNUMBER(Raw_Data!B341),Raw_Data!B341,IF(ISNUMBER(FIND("/",Raw_Data!B341)),DATE(VALUE(RIGHT(TRIM(Raw_Data!B341),4)),VALUE(MID(TRIM(Raw_Data!B341),4,2)),VALUE(LEFT(TRIM(Raw_Data!B341),2))),IF(MID(TRIM(Raw_Data!B341),5,1)="-",DATE(VALUE(LEFT(TRIM(Raw_Data!B341),4)),VALUE(MID(TRIM(Raw_Data!B341),6,2)),VALUE(RIGHT(TRIM(Raw_Data!B341),2))),DATE(VALUE(RIGHT(TRIM(Raw_Data!B341),4)),MATCH(MID(TRIM(Raw_Data!B341),4,3),{"Jan","Feb","Mar","Apr","May","Jun","Jul","Aug","Sep","Oct","Nov","Dec"},0),VALUE(LEFT(TRIM(Raw_Data!B341),2)))))),"")</f>
        <v/>
      </c>
      <c r="C341" s="17" t="str">
        <f aca="false">IF(TRIM(Raw_Data!C341)="","Unknown",PROPER(TRIM(Raw_Data!C341)))</f>
        <v>Usman Chaudhry</v>
      </c>
      <c r="D341" s="17" t="str">
        <f aca="false">IFERROR(INDEX({"Punjab","Sindh","KPK","Balochistan"},MATCH(UPPER(LEFT(TRIM(Raw_Data!D341),1)),{"P","S","K","B"},0)),IFERROR(INDEX(Data_Dictionary!$G$4:$G$16,MATCH(E341,Data_Dictionary!$F$4:$F$16,0)),"Unassigned"))</f>
        <v>KPK</v>
      </c>
      <c r="E341" s="17" t="str">
        <f aca="false">IF(TRIM(Raw_Data!E341)="","Unknown",PROPER(TRIM(Raw_Data!E341)))</f>
        <v>Mardan</v>
      </c>
      <c r="F341" s="17" t="str">
        <f aca="false">IFERROR(INDEX({"Electronics","Home &amp; Kitchen","Clothing","Groceries","Beauty"},MATCH(UPPER(LEFT(TRIM(Raw_Data!F341),3)),{"ELE","HOM","CLO","GRO","BEA"},0)),"Uncategorised")</f>
        <v>Electronics</v>
      </c>
      <c r="G341" s="17" t="str">
        <f aca="false">IF(TRIM(Raw_Data!G341)="","Unknown",PROPER(TRIM(Raw_Data!G341)))</f>
        <v>Bluetooth Speaker</v>
      </c>
      <c r="H341" s="19" t="n">
        <f aca="false">IFERROR(ABS(VALUE(TRIM(Raw_Data!H341))),"")</f>
        <v>6</v>
      </c>
      <c r="I341" s="20" t="n">
        <f aca="false">IFERROR(VALUE(TRIM(SUBSTITUTE(SUBSTITUTE(SUBSTITUTE(SUBSTITUTE(TRIM(Raw_Data!I341),"PKR",""),"Rs.",""),"Rs",""),",",""))),"")</f>
        <v>4700</v>
      </c>
      <c r="J341" s="21" t="n">
        <f aca="false">IFERROR(IF(TRIM(Raw_Data!J341)="",0,IF(VALUE(TRIM(Raw_Data!J341))&gt;1,VALUE(TRIM(Raw_Data!J341))/100,VALUE(TRIM(Raw_Data!J341)))),0)</f>
        <v>0.05</v>
      </c>
      <c r="K341" s="17" t="str">
        <f aca="false">IF(TRIM(Raw_Data!K341)="","Unassigned",PROPER(TRIM(Raw_Data!K341)))</f>
        <v>Imran Shah</v>
      </c>
      <c r="L341" s="17" t="str">
        <f aca="false">IFERROR(INDEX({"Credit Card","Credit Card","Debit Card","Debit Card","Cash","PayPal"},MATCH(UPPER(LEFT(TRIM(Raw_Data!L341),2)),{"CR","CC","DE","DC","CA","PA"},0)),"Other")</f>
        <v>Debit Card</v>
      </c>
      <c r="M341" s="17" t="str">
        <f aca="false">IFERROR(INDEX({"Completed","Returned","Cancelled","Pending"},MATCH(UPPER(LEFT(TRIM(Raw_Data!M341),3)),{"COM","RET","CAN","PEN"},0)),"Unknown")</f>
        <v>Completed</v>
      </c>
      <c r="N341" s="20" t="n">
        <f aca="false">IF(OR(H341="",I341=""),"",H341*I341)</f>
        <v>28200</v>
      </c>
      <c r="O341" s="20" t="n">
        <f aca="false">IF(N341="","",N341*J341)</f>
        <v>1410</v>
      </c>
      <c r="P341" s="20" t="n">
        <f aca="false">IF(N341="","",N341-O341)</f>
        <v>26790</v>
      </c>
      <c r="Q341" s="22" t="str">
        <f aca="false">IF(B341="","",DATE(YEAR(B341),MONTH(B341),1))</f>
        <v/>
      </c>
      <c r="R341" s="17" t="str">
        <f aca="false">IF(A341="","Invalid - Exclude",IF(COUNTIF($A$2:A341,A341)&gt;1,"Duplicate - Exclude",IF(OR(B341="",H341="",I341=""),"Invalid - Exclude","Valid")))</f>
        <v>Invalid - Exclude</v>
      </c>
      <c r="S341" s="17" t="str">
        <f aca="false">IF(R341="Valid","",IF(R341="Duplicate - Exclude","Repeat of an earlier Order ID",IF(B341="","Date missing or unreadable",IF(H341="","Quantity missing or unreadable",IF(I341="","Unit price missing or unreadable","Order ID missing")))))</f>
        <v>Date missing or unreadable</v>
      </c>
    </row>
    <row r="342" customFormat="false" ht="15" hidden="false" customHeight="true" outlineLevel="0" collapsed="false">
      <c r="A342" s="9" t="str">
        <f aca="false">UPPER(TRIM(Raw_Data!A342))</f>
        <v>ORD-1325</v>
      </c>
      <c r="B342" s="10" t="n">
        <f aca="false">IFERROR(IF(ISNUMBER(Raw_Data!B342),Raw_Data!B342,IF(ISNUMBER(FIND("/",Raw_Data!B342)),DATE(VALUE(RIGHT(TRIM(Raw_Data!B342),4)),VALUE(MID(TRIM(Raw_Data!B342),4,2)),VALUE(LEFT(TRIM(Raw_Data!B342),2))),IF(MID(TRIM(Raw_Data!B342),5,1)="-",DATE(VALUE(LEFT(TRIM(Raw_Data!B342),4)),VALUE(MID(TRIM(Raw_Data!B342),6,2)),VALUE(RIGHT(TRIM(Raw_Data!B342),2))),DATE(VALUE(RIGHT(TRIM(Raw_Data!B342),4)),MATCH(MID(TRIM(Raw_Data!B342),4,3),{"Jan","Feb","Mar","Apr","May","Jun","Jul","Aug","Sep","Oct","Nov","Dec"},0),VALUE(LEFT(TRIM(Raw_Data!B342),2)))))),"")</f>
        <v>45680</v>
      </c>
      <c r="C342" s="9" t="str">
        <f aca="false">IF(TRIM(Raw_Data!C342)="","Unknown",PROPER(TRIM(Raw_Data!C342)))</f>
        <v>Kashif Ansari</v>
      </c>
      <c r="D342" s="9" t="str">
        <f aca="false">IFERROR(INDEX({"Punjab","Sindh","KPK","Balochistan"},MATCH(UPPER(LEFT(TRIM(Raw_Data!D342),1)),{"P","S","K","B"},0)),IFERROR(INDEX(Data_Dictionary!$G$4:$G$16,MATCH(E342,Data_Dictionary!$F$4:$F$16,0)),"Unassigned"))</f>
        <v>Punjab</v>
      </c>
      <c r="E342" s="9" t="str">
        <f aca="false">IF(TRIM(Raw_Data!E342)="","Unknown",PROPER(TRIM(Raw_Data!E342)))</f>
        <v>Lahore</v>
      </c>
      <c r="F342" s="9" t="str">
        <f aca="false">IFERROR(INDEX({"Electronics","Home &amp; Kitchen","Clothing","Groceries","Beauty"},MATCH(UPPER(LEFT(TRIM(Raw_Data!F342),3)),{"ELE","HOM","CLO","GRO","BEA"},0)),"Uncategorised")</f>
        <v>Groceries</v>
      </c>
      <c r="G342" s="9" t="str">
        <f aca="false">IF(TRIM(Raw_Data!G342)="","Unknown",PROPER(TRIM(Raw_Data!G342)))</f>
        <v>Refined Sugar 10 Kg</v>
      </c>
      <c r="H342" s="11" t="n">
        <f aca="false">IFERROR(ABS(VALUE(TRIM(Raw_Data!H342))),"")</f>
        <v>2</v>
      </c>
      <c r="I342" s="12" t="n">
        <f aca="false">IFERROR(VALUE(TRIM(SUBSTITUTE(SUBSTITUTE(SUBSTITUTE(SUBSTITUTE(TRIM(Raw_Data!I342),"PKR",""),"Rs.",""),"Rs",""),",",""))),"")</f>
        <v>1700</v>
      </c>
      <c r="J342" s="13" t="n">
        <f aca="false">IFERROR(IF(TRIM(Raw_Data!J342)="",0,IF(VALUE(TRIM(Raw_Data!J342))&gt;1,VALUE(TRIM(Raw_Data!J342))/100,VALUE(TRIM(Raw_Data!J342)))),0)</f>
        <v>0</v>
      </c>
      <c r="K342" s="9" t="str">
        <f aca="false">IF(TRIM(Raw_Data!K342)="","Unassigned",PROPER(TRIM(Raw_Data!K342)))</f>
        <v>Faisal Mehmood</v>
      </c>
      <c r="L342" s="9" t="str">
        <f aca="false">IFERROR(INDEX({"Credit Card","Credit Card","Debit Card","Debit Card","Cash","PayPal"},MATCH(UPPER(LEFT(TRIM(Raw_Data!L342),2)),{"CR","CC","DE","DC","CA","PA"},0)),"Other")</f>
        <v>Cash</v>
      </c>
      <c r="M342" s="9" t="str">
        <f aca="false">IFERROR(INDEX({"Completed","Returned","Cancelled","Pending"},MATCH(UPPER(LEFT(TRIM(Raw_Data!M342),3)),{"COM","RET","CAN","PEN"},0)),"Unknown")</f>
        <v>Completed</v>
      </c>
      <c r="N342" s="14" t="n">
        <f aca="false">IF(OR(H342="",I342=""),"",H342*I342)</f>
        <v>3400</v>
      </c>
      <c r="O342" s="14" t="n">
        <f aca="false">IF(N342="","",N342*J342)</f>
        <v>0</v>
      </c>
      <c r="P342" s="14" t="n">
        <f aca="false">IF(N342="","",N342-O342)</f>
        <v>3400</v>
      </c>
      <c r="Q342" s="15" t="n">
        <f aca="false">IF(B342="","",DATE(YEAR(B342),MONTH(B342),1))</f>
        <v>45658</v>
      </c>
      <c r="R342" s="16" t="str">
        <f aca="false">IF(A342="","Invalid - Exclude",IF(COUNTIF($A$2:A342,A342)&gt;1,"Duplicate - Exclude",IF(OR(B342="",H342="",I342=""),"Invalid - Exclude","Valid")))</f>
        <v>Valid</v>
      </c>
      <c r="S342" s="16" t="str">
        <f aca="false">IF(R342="Valid","",IF(R342="Duplicate - Exclude","Repeat of an earlier Order ID",IF(B342="","Date missing or unreadable",IF(H342="","Quantity missing or unreadable",IF(I342="","Unit price missing or unreadable","Order ID missing")))))</f>
        <v/>
      </c>
    </row>
    <row r="343" customFormat="false" ht="15" hidden="false" customHeight="true" outlineLevel="0" collapsed="false">
      <c r="A343" s="17" t="str">
        <f aca="false">UPPER(TRIM(Raw_Data!A343))</f>
        <v>ORD-1326</v>
      </c>
      <c r="B343" s="18" t="n">
        <f aca="false">IFERROR(IF(ISNUMBER(Raw_Data!B343),Raw_Data!B343,IF(ISNUMBER(FIND("/",Raw_Data!B343)),DATE(VALUE(RIGHT(TRIM(Raw_Data!B343),4)),VALUE(MID(TRIM(Raw_Data!B343),4,2)),VALUE(LEFT(TRIM(Raw_Data!B343),2))),IF(MID(TRIM(Raw_Data!B343),5,1)="-",DATE(VALUE(LEFT(TRIM(Raw_Data!B343),4)),VALUE(MID(TRIM(Raw_Data!B343),6,2)),VALUE(RIGHT(TRIM(Raw_Data!B343),2))),DATE(VALUE(RIGHT(TRIM(Raw_Data!B343),4)),MATCH(MID(TRIM(Raw_Data!B343),4,3),{"Jan","Feb","Mar","Apr","May","Jun","Jul","Aug","Sep","Oct","Nov","Dec"},0),VALUE(LEFT(TRIM(Raw_Data!B343),2)))))),"")</f>
        <v>45826</v>
      </c>
      <c r="C343" s="17" t="str">
        <f aca="false">IF(TRIM(Raw_Data!C343)="","Unknown",PROPER(TRIM(Raw_Data!C343)))</f>
        <v>Nida Siddiqui</v>
      </c>
      <c r="D343" s="17" t="str">
        <f aca="false">IFERROR(INDEX({"Punjab","Sindh","KPK","Balochistan"},MATCH(UPPER(LEFT(TRIM(Raw_Data!D343),1)),{"P","S","K","B"},0)),IFERROR(INDEX(Data_Dictionary!$G$4:$G$16,MATCH(E343,Data_Dictionary!$F$4:$F$16,0)),"Unassigned"))</f>
        <v>Punjab</v>
      </c>
      <c r="E343" s="17" t="str">
        <f aca="false">IF(TRIM(Raw_Data!E343)="","Unknown",PROPER(TRIM(Raw_Data!E343)))</f>
        <v>Faisalabad</v>
      </c>
      <c r="F343" s="17" t="str">
        <f aca="false">IFERROR(INDEX({"Electronics","Home &amp; Kitchen","Clothing","Groceries","Beauty"},MATCH(UPPER(LEFT(TRIM(Raw_Data!F343),3)),{"ELE","HOM","CLO","GRO","BEA"},0)),"Uncategorised")</f>
        <v>Groceries</v>
      </c>
      <c r="G343" s="17" t="str">
        <f aca="false">IF(TRIM(Raw_Data!G343)="","Unknown",PROPER(TRIM(Raw_Data!G343)))</f>
        <v>Black Tea Pack</v>
      </c>
      <c r="H343" s="19" t="n">
        <f aca="false">IFERROR(ABS(VALUE(TRIM(Raw_Data!H343))),"")</f>
        <v>2</v>
      </c>
      <c r="I343" s="20" t="n">
        <f aca="false">IFERROR(VALUE(TRIM(SUBSTITUTE(SUBSTITUTE(SUBSTITUTE(SUBSTITUTE(TRIM(Raw_Data!I343),"PKR",""),"Rs.",""),"Rs",""),",",""))),"")</f>
        <v>1550</v>
      </c>
      <c r="J343" s="21" t="n">
        <f aca="false">IFERROR(IF(TRIM(Raw_Data!J343)="",0,IF(VALUE(TRIM(Raw_Data!J343))&gt;1,VALUE(TRIM(Raw_Data!J343))/100,VALUE(TRIM(Raw_Data!J343)))),0)</f>
        <v>0.05</v>
      </c>
      <c r="K343" s="17" t="str">
        <f aca="false">IF(TRIM(Raw_Data!K343)="","Unassigned",PROPER(TRIM(Raw_Data!K343)))</f>
        <v>Unassigned</v>
      </c>
      <c r="L343" s="17" t="str">
        <f aca="false">IFERROR(INDEX({"Credit Card","Credit Card","Debit Card","Debit Card","Cash","PayPal"},MATCH(UPPER(LEFT(TRIM(Raw_Data!L343),2)),{"CR","CC","DE","DC","CA","PA"},0)),"Other")</f>
        <v>PayPal</v>
      </c>
      <c r="M343" s="17" t="str">
        <f aca="false">IFERROR(INDEX({"Completed","Returned","Cancelled","Pending"},MATCH(UPPER(LEFT(TRIM(Raw_Data!M343),3)),{"COM","RET","CAN","PEN"},0)),"Unknown")</f>
        <v>Completed</v>
      </c>
      <c r="N343" s="20" t="n">
        <f aca="false">IF(OR(H343="",I343=""),"",H343*I343)</f>
        <v>3100</v>
      </c>
      <c r="O343" s="20" t="n">
        <f aca="false">IF(N343="","",N343*J343)</f>
        <v>155</v>
      </c>
      <c r="P343" s="20" t="n">
        <f aca="false">IF(N343="","",N343-O343)</f>
        <v>2945</v>
      </c>
      <c r="Q343" s="22" t="n">
        <f aca="false">IF(B343="","",DATE(YEAR(B343),MONTH(B343),1))</f>
        <v>45809</v>
      </c>
      <c r="R343" s="17" t="str">
        <f aca="false">IF(A343="","Invalid - Exclude",IF(COUNTIF($A$2:A343,A343)&gt;1,"Duplicate - Exclude",IF(OR(B343="",H343="",I343=""),"Invalid - Exclude","Valid")))</f>
        <v>Valid</v>
      </c>
      <c r="S343" s="17" t="str">
        <f aca="false">IF(R343="Valid","",IF(R343="Duplicate - Exclude","Repeat of an earlier Order ID",IF(B343="","Date missing or unreadable",IF(H343="","Quantity missing or unreadable",IF(I343="","Unit price missing or unreadable","Order ID missing")))))</f>
        <v/>
      </c>
    </row>
    <row r="344" customFormat="false" ht="15" hidden="false" customHeight="true" outlineLevel="0" collapsed="false">
      <c r="A344" s="9" t="str">
        <f aca="false">UPPER(TRIM(Raw_Data!A344))</f>
        <v>ORD-1327</v>
      </c>
      <c r="B344" s="10" t="n">
        <f aca="false">IFERROR(IF(ISNUMBER(Raw_Data!B344),Raw_Data!B344,IF(ISNUMBER(FIND("/",Raw_Data!B344)),DATE(VALUE(RIGHT(TRIM(Raw_Data!B344),4)),VALUE(MID(TRIM(Raw_Data!B344),4,2)),VALUE(LEFT(TRIM(Raw_Data!B344),2))),IF(MID(TRIM(Raw_Data!B344),5,1)="-",DATE(VALUE(LEFT(TRIM(Raw_Data!B344),4)),VALUE(MID(TRIM(Raw_Data!B344),6,2)),VALUE(RIGHT(TRIM(Raw_Data!B344),2))),DATE(VALUE(RIGHT(TRIM(Raw_Data!B344),4)),MATCH(MID(TRIM(Raw_Data!B344),4,3),{"Jan","Feb","Mar","Apr","May","Jun","Jul","Aug","Sep","Oct","Nov","Dec"},0),VALUE(LEFT(TRIM(Raw_Data!B344),2)))))),"")</f>
        <v>45966</v>
      </c>
      <c r="C344" s="9" t="str">
        <f aca="false">IF(TRIM(Raw_Data!C344)="","Unknown",PROPER(TRIM(Raw_Data!C344)))</f>
        <v>Ahmed Qureshi</v>
      </c>
      <c r="D344" s="9" t="str">
        <f aca="false">IFERROR(INDEX({"Punjab","Sindh","KPK","Balochistan"},MATCH(UPPER(LEFT(TRIM(Raw_Data!D344),1)),{"P","S","K","B"},0)),IFERROR(INDEX(Data_Dictionary!$G$4:$G$16,MATCH(E344,Data_Dictionary!$F$4:$F$16,0)),"Unassigned"))</f>
        <v>Punjab</v>
      </c>
      <c r="E344" s="9" t="str">
        <f aca="false">IF(TRIM(Raw_Data!E344)="","Unknown",PROPER(TRIM(Raw_Data!E344)))</f>
        <v>Gujranwala</v>
      </c>
      <c r="F344" s="9" t="str">
        <f aca="false">IFERROR(INDEX({"Electronics","Home &amp; Kitchen","Clothing","Groceries","Beauty"},MATCH(UPPER(LEFT(TRIM(Raw_Data!F344),3)),{"ELE","HOM","CLO","GRO","BEA"},0)),"Uncategorised")</f>
        <v>Clothing</v>
      </c>
      <c r="G344" s="9" t="str">
        <f aca="false">IF(TRIM(Raw_Data!G344)="","Unknown",PROPER(TRIM(Raw_Data!G344)))</f>
        <v>Running Shoes</v>
      </c>
      <c r="H344" s="11" t="n">
        <f aca="false">IFERROR(ABS(VALUE(TRIM(Raw_Data!H344))),"")</f>
        <v>1</v>
      </c>
      <c r="I344" s="12" t="n">
        <f aca="false">IFERROR(VALUE(TRIM(SUBSTITUTE(SUBSTITUTE(SUBSTITUTE(SUBSTITUTE(TRIM(Raw_Data!I344),"PKR",""),"Rs.",""),"Rs",""),",",""))),"")</f>
        <v>8050</v>
      </c>
      <c r="J344" s="13" t="n">
        <f aca="false">IFERROR(IF(TRIM(Raw_Data!J344)="",0,IF(VALUE(TRIM(Raw_Data!J344))&gt;1,VALUE(TRIM(Raw_Data!J344))/100,VALUE(TRIM(Raw_Data!J344)))),0)</f>
        <v>0.05</v>
      </c>
      <c r="K344" s="9" t="str">
        <f aca="false">IF(TRIM(Raw_Data!K344)="","Unassigned",PROPER(TRIM(Raw_Data!K344)))</f>
        <v>Nimra Aslam</v>
      </c>
      <c r="L344" s="9" t="str">
        <f aca="false">IFERROR(INDEX({"Credit Card","Credit Card","Debit Card","Debit Card","Cash","PayPal"},MATCH(UPPER(LEFT(TRIM(Raw_Data!L344),2)),{"CR","CC","DE","DC","CA","PA"},0)),"Other")</f>
        <v>Credit Card</v>
      </c>
      <c r="M344" s="9" t="str">
        <f aca="false">IFERROR(INDEX({"Completed","Returned","Cancelled","Pending"},MATCH(UPPER(LEFT(TRIM(Raw_Data!M344),3)),{"COM","RET","CAN","PEN"},0)),"Unknown")</f>
        <v>Completed</v>
      </c>
      <c r="N344" s="14" t="n">
        <f aca="false">IF(OR(H344="",I344=""),"",H344*I344)</f>
        <v>8050</v>
      </c>
      <c r="O344" s="14" t="n">
        <f aca="false">IF(N344="","",N344*J344)</f>
        <v>402.5</v>
      </c>
      <c r="P344" s="14" t="n">
        <f aca="false">IF(N344="","",N344-O344)</f>
        <v>7647.5</v>
      </c>
      <c r="Q344" s="15" t="n">
        <f aca="false">IF(B344="","",DATE(YEAR(B344),MONTH(B344),1))</f>
        <v>45962</v>
      </c>
      <c r="R344" s="16" t="str">
        <f aca="false">IF(A344="","Invalid - Exclude",IF(COUNTIF($A$2:A344,A344)&gt;1,"Duplicate - Exclude",IF(OR(B344="",H344="",I344=""),"Invalid - Exclude","Valid")))</f>
        <v>Valid</v>
      </c>
      <c r="S344" s="16" t="str">
        <f aca="false">IF(R344="Valid","",IF(R344="Duplicate - Exclude","Repeat of an earlier Order ID",IF(B344="","Date missing or unreadable",IF(H344="","Quantity missing or unreadable",IF(I344="","Unit price missing or unreadable","Order ID missing")))))</f>
        <v/>
      </c>
    </row>
    <row r="345" customFormat="false" ht="15" hidden="false" customHeight="true" outlineLevel="0" collapsed="false">
      <c r="A345" s="17" t="str">
        <f aca="false">UPPER(TRIM(Raw_Data!A345))</f>
        <v>ORD-1328</v>
      </c>
      <c r="B345" s="18" t="n">
        <f aca="false">IFERROR(IF(ISNUMBER(Raw_Data!B345),Raw_Data!B345,IF(ISNUMBER(FIND("/",Raw_Data!B345)),DATE(VALUE(RIGHT(TRIM(Raw_Data!B345),4)),VALUE(MID(TRIM(Raw_Data!B345),4,2)),VALUE(LEFT(TRIM(Raw_Data!B345),2))),IF(MID(TRIM(Raw_Data!B345),5,1)="-",DATE(VALUE(LEFT(TRIM(Raw_Data!B345),4)),VALUE(MID(TRIM(Raw_Data!B345),6,2)),VALUE(RIGHT(TRIM(Raw_Data!B345),2))),DATE(VALUE(RIGHT(TRIM(Raw_Data!B345),4)),MATCH(MID(TRIM(Raw_Data!B345),4,3),{"Jan","Feb","Mar","Apr","May","Jun","Jul","Aug","Sep","Oct","Nov","Dec"},0),VALUE(LEFT(TRIM(Raw_Data!B345),2)))))),"")</f>
        <v>45910</v>
      </c>
      <c r="C345" s="17" t="str">
        <f aca="false">IF(TRIM(Raw_Data!C345)="","Unknown",PROPER(TRIM(Raw_Data!C345)))</f>
        <v>Tariq Siddiqui</v>
      </c>
      <c r="D345" s="17" t="str">
        <f aca="false">IFERROR(INDEX({"Punjab","Sindh","KPK","Balochistan"},MATCH(UPPER(LEFT(TRIM(Raw_Data!D345),1)),{"P","S","K","B"},0)),IFERROR(INDEX(Data_Dictionary!$G$4:$G$16,MATCH(E345,Data_Dictionary!$F$4:$F$16,0)),"Unassigned"))</f>
        <v>Punjab</v>
      </c>
      <c r="E345" s="17" t="str">
        <f aca="false">IF(TRIM(Raw_Data!E345)="","Unknown",PROPER(TRIM(Raw_Data!E345)))</f>
        <v>Faisalabad</v>
      </c>
      <c r="F345" s="17" t="str">
        <f aca="false">IFERROR(INDEX({"Electronics","Home &amp; Kitchen","Clothing","Groceries","Beauty"},MATCH(UPPER(LEFT(TRIM(Raw_Data!F345),3)),{"ELE","HOM","CLO","GRO","BEA"},0)),"Uncategorised")</f>
        <v>Clothing</v>
      </c>
      <c r="G345" s="17" t="str">
        <f aca="false">IF(TRIM(Raw_Data!G345)="","Unknown",PROPER(TRIM(Raw_Data!G345)))</f>
        <v>Lawn Suit 3 Piece</v>
      </c>
      <c r="H345" s="19" t="n">
        <f aca="false">IFERROR(ABS(VALUE(TRIM(Raw_Data!H345))),"")</f>
        <v>4</v>
      </c>
      <c r="I345" s="20" t="n">
        <f aca="false">IFERROR(VALUE(TRIM(SUBSTITUTE(SUBSTITUTE(SUBSTITUTE(SUBSTITUTE(TRIM(Raw_Data!I345),"PKR",""),"Rs.",""),"Rs",""),",",""))),"")</f>
        <v>7000</v>
      </c>
      <c r="J345" s="21" t="n">
        <f aca="false">IFERROR(IF(TRIM(Raw_Data!J345)="",0,IF(VALUE(TRIM(Raw_Data!J345))&gt;1,VALUE(TRIM(Raw_Data!J345))/100,VALUE(TRIM(Raw_Data!J345)))),0)</f>
        <v>0.15</v>
      </c>
      <c r="K345" s="17" t="str">
        <f aca="false">IF(TRIM(Raw_Data!K345)="","Unassigned",PROPER(TRIM(Raw_Data!K345)))</f>
        <v>Waqar Ahmed</v>
      </c>
      <c r="L345" s="17" t="str">
        <f aca="false">IFERROR(INDEX({"Credit Card","Credit Card","Debit Card","Debit Card","Cash","PayPal"},MATCH(UPPER(LEFT(TRIM(Raw_Data!L345),2)),{"CR","CC","DE","DC","CA","PA"},0)),"Other")</f>
        <v>Credit Card</v>
      </c>
      <c r="M345" s="17" t="str">
        <f aca="false">IFERROR(INDEX({"Completed","Returned","Cancelled","Pending"},MATCH(UPPER(LEFT(TRIM(Raw_Data!M345),3)),{"COM","RET","CAN","PEN"},0)),"Unknown")</f>
        <v>Completed</v>
      </c>
      <c r="N345" s="20" t="n">
        <f aca="false">IF(OR(H345="",I345=""),"",H345*I345)</f>
        <v>28000</v>
      </c>
      <c r="O345" s="20" t="n">
        <f aca="false">IF(N345="","",N345*J345)</f>
        <v>4200</v>
      </c>
      <c r="P345" s="20" t="n">
        <f aca="false">IF(N345="","",N345-O345)</f>
        <v>23800</v>
      </c>
      <c r="Q345" s="22" t="n">
        <f aca="false">IF(B345="","",DATE(YEAR(B345),MONTH(B345),1))</f>
        <v>45901</v>
      </c>
      <c r="R345" s="17" t="str">
        <f aca="false">IF(A345="","Invalid - Exclude",IF(COUNTIF($A$2:A345,A345)&gt;1,"Duplicate - Exclude",IF(OR(B345="",H345="",I345=""),"Invalid - Exclude","Valid")))</f>
        <v>Valid</v>
      </c>
      <c r="S345" s="17" t="str">
        <f aca="false">IF(R345="Valid","",IF(R345="Duplicate - Exclude","Repeat of an earlier Order ID",IF(B345="","Date missing or unreadable",IF(H345="","Quantity missing or unreadable",IF(I345="","Unit price missing or unreadable","Order ID missing")))))</f>
        <v/>
      </c>
    </row>
    <row r="346" customFormat="false" ht="15" hidden="false" customHeight="true" outlineLevel="0" collapsed="false">
      <c r="A346" s="9" t="str">
        <f aca="false">UPPER(TRIM(Raw_Data!A346))</f>
        <v>ORD-1329</v>
      </c>
      <c r="B346" s="10" t="n">
        <f aca="false">IFERROR(IF(ISNUMBER(Raw_Data!B346),Raw_Data!B346,IF(ISNUMBER(FIND("/",Raw_Data!B346)),DATE(VALUE(RIGHT(TRIM(Raw_Data!B346),4)),VALUE(MID(TRIM(Raw_Data!B346),4,2)),VALUE(LEFT(TRIM(Raw_Data!B346),2))),IF(MID(TRIM(Raw_Data!B346),5,1)="-",DATE(VALUE(LEFT(TRIM(Raw_Data!B346),4)),VALUE(MID(TRIM(Raw_Data!B346),6,2)),VALUE(RIGHT(TRIM(Raw_Data!B346),2))),DATE(VALUE(RIGHT(TRIM(Raw_Data!B346),4)),MATCH(MID(TRIM(Raw_Data!B346),4,3),{"Jan","Feb","Mar","Apr","May","Jun","Jul","Aug","Sep","Oct","Nov","Dec"},0),VALUE(LEFT(TRIM(Raw_Data!B346),2)))))),"")</f>
        <v>45801</v>
      </c>
      <c r="C346" s="9" t="str">
        <f aca="false">IF(TRIM(Raw_Data!C346)="","Unknown",PROPER(TRIM(Raw_Data!C346)))</f>
        <v>Tariq Qureshi</v>
      </c>
      <c r="D346" s="9" t="str">
        <f aca="false">IFERROR(INDEX({"Punjab","Sindh","KPK","Balochistan"},MATCH(UPPER(LEFT(TRIM(Raw_Data!D346),1)),{"P","S","K","B"},0)),IFERROR(INDEX(Data_Dictionary!$G$4:$G$16,MATCH(E346,Data_Dictionary!$F$4:$F$16,0)),"Unassigned"))</f>
        <v>Sindh</v>
      </c>
      <c r="E346" s="9" t="str">
        <f aca="false">IF(TRIM(Raw_Data!E346)="","Unknown",PROPER(TRIM(Raw_Data!E346)))</f>
        <v>Karachi</v>
      </c>
      <c r="F346" s="9" t="str">
        <f aca="false">IFERROR(INDEX({"Electronics","Home &amp; Kitchen","Clothing","Groceries","Beauty"},MATCH(UPPER(LEFT(TRIM(Raw_Data!F346),3)),{"ELE","HOM","CLO","GRO","BEA"},0)),"Uncategorised")</f>
        <v>Home &amp; Kitchen</v>
      </c>
      <c r="G346" s="9" t="str">
        <f aca="false">IF(TRIM(Raw_Data!G346)="","Unknown",PROPER(TRIM(Raw_Data!G346)))</f>
        <v>Hand Blender</v>
      </c>
      <c r="H346" s="11" t="n">
        <f aca="false">IFERROR(ABS(VALUE(TRIM(Raw_Data!H346))),"")</f>
        <v>1</v>
      </c>
      <c r="I346" s="12" t="n">
        <f aca="false">IFERROR(VALUE(TRIM(SUBSTITUTE(SUBSTITUTE(SUBSTITUTE(SUBSTITUTE(TRIM(Raw_Data!I346),"PKR",""),"Rs.",""),"Rs",""),",",""))),"")</f>
        <v>3900</v>
      </c>
      <c r="J346" s="13" t="n">
        <f aca="false">IFERROR(IF(TRIM(Raw_Data!J346)="",0,IF(VALUE(TRIM(Raw_Data!J346))&gt;1,VALUE(TRIM(Raw_Data!J346))/100,VALUE(TRIM(Raw_Data!J346)))),0)</f>
        <v>0.1</v>
      </c>
      <c r="K346" s="9" t="str">
        <f aca="false">IF(TRIM(Raw_Data!K346)="","Unassigned",PROPER(TRIM(Raw_Data!K346)))</f>
        <v>Faisal Mehmood</v>
      </c>
      <c r="L346" s="9" t="str">
        <f aca="false">IFERROR(INDEX({"Credit Card","Credit Card","Debit Card","Debit Card","Cash","PayPal"},MATCH(UPPER(LEFT(TRIM(Raw_Data!L346),2)),{"CR","CC","DE","DC","CA","PA"},0)),"Other")</f>
        <v>Credit Card</v>
      </c>
      <c r="M346" s="9" t="str">
        <f aca="false">IFERROR(INDEX({"Completed","Returned","Cancelled","Pending"},MATCH(UPPER(LEFT(TRIM(Raw_Data!M346),3)),{"COM","RET","CAN","PEN"},0)),"Unknown")</f>
        <v>Completed</v>
      </c>
      <c r="N346" s="14" t="n">
        <f aca="false">IF(OR(H346="",I346=""),"",H346*I346)</f>
        <v>3900</v>
      </c>
      <c r="O346" s="14" t="n">
        <f aca="false">IF(N346="","",N346*J346)</f>
        <v>390</v>
      </c>
      <c r="P346" s="14" t="n">
        <f aca="false">IF(N346="","",N346-O346)</f>
        <v>3510</v>
      </c>
      <c r="Q346" s="15" t="n">
        <f aca="false">IF(B346="","",DATE(YEAR(B346),MONTH(B346),1))</f>
        <v>45778</v>
      </c>
      <c r="R346" s="16" t="str">
        <f aca="false">IF(A346="","Invalid - Exclude",IF(COUNTIF($A$2:A346,A346)&gt;1,"Duplicate - Exclude",IF(OR(B346="",H346="",I346=""),"Invalid - Exclude","Valid")))</f>
        <v>Valid</v>
      </c>
      <c r="S346" s="16" t="str">
        <f aca="false">IF(R346="Valid","",IF(R346="Duplicate - Exclude","Repeat of an earlier Order ID",IF(B346="","Date missing or unreadable",IF(H346="","Quantity missing or unreadable",IF(I346="","Unit price missing or unreadable","Order ID missing")))))</f>
        <v/>
      </c>
    </row>
    <row r="347" customFormat="false" ht="15" hidden="false" customHeight="true" outlineLevel="0" collapsed="false">
      <c r="A347" s="17" t="str">
        <f aca="false">UPPER(TRIM(Raw_Data!A347))</f>
        <v>ORD-1330</v>
      </c>
      <c r="B347" s="18" t="n">
        <f aca="false">IFERROR(IF(ISNUMBER(Raw_Data!B347),Raw_Data!B347,IF(ISNUMBER(FIND("/",Raw_Data!B347)),DATE(VALUE(RIGHT(TRIM(Raw_Data!B347),4)),VALUE(MID(TRIM(Raw_Data!B347),4,2)),VALUE(LEFT(TRIM(Raw_Data!B347),2))),IF(MID(TRIM(Raw_Data!B347),5,1)="-",DATE(VALUE(LEFT(TRIM(Raw_Data!B347),4)),VALUE(MID(TRIM(Raw_Data!B347),6,2)),VALUE(RIGHT(TRIM(Raw_Data!B347),2))),DATE(VALUE(RIGHT(TRIM(Raw_Data!B347),4)),MATCH(MID(TRIM(Raw_Data!B347),4,3),{"Jan","Feb","Mar","Apr","May","Jun","Jul","Aug","Sep","Oct","Nov","Dec"},0),VALUE(LEFT(TRIM(Raw_Data!B347),2)))))),"")</f>
        <v>45736</v>
      </c>
      <c r="C347" s="17" t="str">
        <f aca="false">IF(TRIM(Raw_Data!C347)="","Unknown",PROPER(TRIM(Raw_Data!C347)))</f>
        <v>Kashif Sheikh</v>
      </c>
      <c r="D347" s="17" t="str">
        <f aca="false">IFERROR(INDEX({"Punjab","Sindh","KPK","Balochistan"},MATCH(UPPER(LEFT(TRIM(Raw_Data!D347),1)),{"P","S","K","B"},0)),IFERROR(INDEX(Data_Dictionary!$G$4:$G$16,MATCH(E347,Data_Dictionary!$F$4:$F$16,0)),"Unassigned"))</f>
        <v>Sindh</v>
      </c>
      <c r="E347" s="17" t="str">
        <f aca="false">IF(TRIM(Raw_Data!E347)="","Unknown",PROPER(TRIM(Raw_Data!E347)))</f>
        <v>Karachi</v>
      </c>
      <c r="F347" s="17" t="str">
        <f aca="false">IFERROR(INDEX({"Electronics","Home &amp; Kitchen","Clothing","Groceries","Beauty"},MATCH(UPPER(LEFT(TRIM(Raw_Data!F347),3)),{"ELE","HOM","CLO","GRO","BEA"},0)),"Uncategorised")</f>
        <v>Groceries</v>
      </c>
      <c r="G347" s="17" t="str">
        <f aca="false">IF(TRIM(Raw_Data!G347)="","Unknown",PROPER(TRIM(Raw_Data!G347)))</f>
        <v>Black Tea Pack</v>
      </c>
      <c r="H347" s="19" t="n">
        <f aca="false">IFERROR(ABS(VALUE(TRIM(Raw_Data!H347))),"")</f>
        <v>1</v>
      </c>
      <c r="I347" s="20" t="n">
        <f aca="false">IFERROR(VALUE(TRIM(SUBSTITUTE(SUBSTITUTE(SUBSTITUTE(SUBSTITUTE(TRIM(Raw_Data!I347),"PKR",""),"Rs.",""),"Rs",""),",",""))),"")</f>
        <v>1450</v>
      </c>
      <c r="J347" s="21" t="n">
        <f aca="false">IFERROR(IF(TRIM(Raw_Data!J347)="",0,IF(VALUE(TRIM(Raw_Data!J347))&gt;1,VALUE(TRIM(Raw_Data!J347))/100,VALUE(TRIM(Raw_Data!J347)))),0)</f>
        <v>0.05</v>
      </c>
      <c r="K347" s="17" t="str">
        <f aca="false">IF(TRIM(Raw_Data!K347)="","Unassigned",PROPER(TRIM(Raw_Data!K347)))</f>
        <v>Waqar Ahmed</v>
      </c>
      <c r="L347" s="17" t="str">
        <f aca="false">IFERROR(INDEX({"Credit Card","Credit Card","Debit Card","Debit Card","Cash","PayPal"},MATCH(UPPER(LEFT(TRIM(Raw_Data!L347),2)),{"CR","CC","DE","DC","CA","PA"},0)),"Other")</f>
        <v>Cash</v>
      </c>
      <c r="M347" s="17" t="str">
        <f aca="false">IFERROR(INDEX({"Completed","Returned","Cancelled","Pending"},MATCH(UPPER(LEFT(TRIM(Raw_Data!M347),3)),{"COM","RET","CAN","PEN"},0)),"Unknown")</f>
        <v>Completed</v>
      </c>
      <c r="N347" s="20" t="n">
        <f aca="false">IF(OR(H347="",I347=""),"",H347*I347)</f>
        <v>1450</v>
      </c>
      <c r="O347" s="20" t="n">
        <f aca="false">IF(N347="","",N347*J347)</f>
        <v>72.5</v>
      </c>
      <c r="P347" s="20" t="n">
        <f aca="false">IF(N347="","",N347-O347)</f>
        <v>1377.5</v>
      </c>
      <c r="Q347" s="22" t="n">
        <f aca="false">IF(B347="","",DATE(YEAR(B347),MONTH(B347),1))</f>
        <v>45717</v>
      </c>
      <c r="R347" s="17" t="str">
        <f aca="false">IF(A347="","Invalid - Exclude",IF(COUNTIF($A$2:A347,A347)&gt;1,"Duplicate - Exclude",IF(OR(B347="",H347="",I347=""),"Invalid - Exclude","Valid")))</f>
        <v>Valid</v>
      </c>
      <c r="S347" s="17" t="str">
        <f aca="false">IF(R347="Valid","",IF(R347="Duplicate - Exclude","Repeat of an earlier Order ID",IF(B347="","Date missing or unreadable",IF(H347="","Quantity missing or unreadable",IF(I347="","Unit price missing or unreadable","Order ID missing")))))</f>
        <v/>
      </c>
    </row>
    <row r="348" customFormat="false" ht="15" hidden="false" customHeight="true" outlineLevel="0" collapsed="false">
      <c r="A348" s="9" t="str">
        <f aca="false">UPPER(TRIM(Raw_Data!A348))</f>
        <v>ORD-1331</v>
      </c>
      <c r="B348" s="10" t="n">
        <f aca="false">IFERROR(IF(ISNUMBER(Raw_Data!B348),Raw_Data!B348,IF(ISNUMBER(FIND("/",Raw_Data!B348)),DATE(VALUE(RIGHT(TRIM(Raw_Data!B348),4)),VALUE(MID(TRIM(Raw_Data!B348),4,2)),VALUE(LEFT(TRIM(Raw_Data!B348),2))),IF(MID(TRIM(Raw_Data!B348),5,1)="-",DATE(VALUE(LEFT(TRIM(Raw_Data!B348),4)),VALUE(MID(TRIM(Raw_Data!B348),6,2)),VALUE(RIGHT(TRIM(Raw_Data!B348),2))),DATE(VALUE(RIGHT(TRIM(Raw_Data!B348),4)),MATCH(MID(TRIM(Raw_Data!B348),4,3),{"Jan","Feb","Mar","Apr","May","Jun","Jul","Aug","Sep","Oct","Nov","Dec"},0),VALUE(LEFT(TRIM(Raw_Data!B348),2)))))),"")</f>
        <v>45689</v>
      </c>
      <c r="C348" s="9" t="str">
        <f aca="false">IF(TRIM(Raw_Data!C348)="","Unknown",PROPER(TRIM(Raw_Data!C348)))</f>
        <v>Hassan Qureshi</v>
      </c>
      <c r="D348" s="9" t="str">
        <f aca="false">IFERROR(INDEX({"Punjab","Sindh","KPK","Balochistan"},MATCH(UPPER(LEFT(TRIM(Raw_Data!D348),1)),{"P","S","K","B"},0)),IFERROR(INDEX(Data_Dictionary!$G$4:$G$16,MATCH(E348,Data_Dictionary!$F$4:$F$16,0)),"Unassigned"))</f>
        <v>Sindh</v>
      </c>
      <c r="E348" s="9" t="str">
        <f aca="false">IF(TRIM(Raw_Data!E348)="","Unknown",PROPER(TRIM(Raw_Data!E348)))</f>
        <v>Karachi</v>
      </c>
      <c r="F348" s="9" t="str">
        <f aca="false">IFERROR(INDEX({"Electronics","Home &amp; Kitchen","Clothing","Groceries","Beauty"},MATCH(UPPER(LEFT(TRIM(Raw_Data!F348),3)),{"ELE","HOM","CLO","GRO","BEA"},0)),"Uncategorised")</f>
        <v>Beauty</v>
      </c>
      <c r="G348" s="9" t="str">
        <f aca="false">IF(TRIM(Raw_Data!G348)="","Unknown",PROPER(TRIM(Raw_Data!G348)))</f>
        <v>Face Wash</v>
      </c>
      <c r="H348" s="11" t="n">
        <f aca="false">IFERROR(ABS(VALUE(TRIM(Raw_Data!H348))),"")</f>
        <v>7</v>
      </c>
      <c r="I348" s="12" t="n">
        <f aca="false">IFERROR(VALUE(TRIM(SUBSTITUTE(SUBSTITUTE(SUBSTITUTE(SUBSTITUTE(TRIM(Raw_Data!I348),"PKR",""),"Rs.",""),"Rs",""),",",""))),"")</f>
        <v>850</v>
      </c>
      <c r="J348" s="13" t="n">
        <f aca="false">IFERROR(IF(TRIM(Raw_Data!J348)="",0,IF(VALUE(TRIM(Raw_Data!J348))&gt;1,VALUE(TRIM(Raw_Data!J348))/100,VALUE(TRIM(Raw_Data!J348)))),0)</f>
        <v>0</v>
      </c>
      <c r="K348" s="9" t="str">
        <f aca="false">IF(TRIM(Raw_Data!K348)="","Unassigned",PROPER(TRIM(Raw_Data!K348)))</f>
        <v>Faisal Mehmood</v>
      </c>
      <c r="L348" s="9" t="str">
        <f aca="false">IFERROR(INDEX({"Credit Card","Credit Card","Debit Card","Debit Card","Cash","PayPal"},MATCH(UPPER(LEFT(TRIM(Raw_Data!L348),2)),{"CR","CC","DE","DC","CA","PA"},0)),"Other")</f>
        <v>Credit Card</v>
      </c>
      <c r="M348" s="9" t="str">
        <f aca="false">IFERROR(INDEX({"Completed","Returned","Cancelled","Pending"},MATCH(UPPER(LEFT(TRIM(Raw_Data!M348),3)),{"COM","RET","CAN","PEN"},0)),"Unknown")</f>
        <v>Completed</v>
      </c>
      <c r="N348" s="14" t="n">
        <f aca="false">IF(OR(H348="",I348=""),"",H348*I348)</f>
        <v>5950</v>
      </c>
      <c r="O348" s="14" t="n">
        <f aca="false">IF(N348="","",N348*J348)</f>
        <v>0</v>
      </c>
      <c r="P348" s="14" t="n">
        <f aca="false">IF(N348="","",N348-O348)</f>
        <v>5950</v>
      </c>
      <c r="Q348" s="15" t="n">
        <f aca="false">IF(B348="","",DATE(YEAR(B348),MONTH(B348),1))</f>
        <v>45689</v>
      </c>
      <c r="R348" s="16" t="str">
        <f aca="false">IF(A348="","Invalid - Exclude",IF(COUNTIF($A$2:A348,A348)&gt;1,"Duplicate - Exclude",IF(OR(B348="",H348="",I348=""),"Invalid - Exclude","Valid")))</f>
        <v>Valid</v>
      </c>
      <c r="S348" s="16" t="str">
        <f aca="false">IF(R348="Valid","",IF(R348="Duplicate - Exclude","Repeat of an earlier Order ID",IF(B348="","Date missing or unreadable",IF(H348="","Quantity missing or unreadable",IF(I348="","Unit price missing or unreadable","Order ID missing")))))</f>
        <v/>
      </c>
    </row>
    <row r="349" customFormat="false" ht="15" hidden="false" customHeight="true" outlineLevel="0" collapsed="false">
      <c r="A349" s="17" t="str">
        <f aca="false">UPPER(TRIM(Raw_Data!A349))</f>
        <v>ORD-1332</v>
      </c>
      <c r="B349" s="18" t="n">
        <f aca="false">IFERROR(IF(ISNUMBER(Raw_Data!B349),Raw_Data!B349,IF(ISNUMBER(FIND("/",Raw_Data!B349)),DATE(VALUE(RIGHT(TRIM(Raw_Data!B349),4)),VALUE(MID(TRIM(Raw_Data!B349),4,2)),VALUE(LEFT(TRIM(Raw_Data!B349),2))),IF(MID(TRIM(Raw_Data!B349),5,1)="-",DATE(VALUE(LEFT(TRIM(Raw_Data!B349),4)),VALUE(MID(TRIM(Raw_Data!B349),6,2)),VALUE(RIGHT(TRIM(Raw_Data!B349),2))),DATE(VALUE(RIGHT(TRIM(Raw_Data!B349),4)),MATCH(MID(TRIM(Raw_Data!B349),4,3),{"Jan","Feb","Mar","Apr","May","Jun","Jul","Aug","Sep","Oct","Nov","Dec"},0),VALUE(LEFT(TRIM(Raw_Data!B349),2)))))),"")</f>
        <v>45738</v>
      </c>
      <c r="C349" s="17" t="str">
        <f aca="false">IF(TRIM(Raw_Data!C349)="","Unknown",PROPER(TRIM(Raw_Data!C349)))</f>
        <v>Kashif Malik</v>
      </c>
      <c r="D349" s="17" t="str">
        <f aca="false">IFERROR(INDEX({"Punjab","Sindh","KPK","Balochistan"},MATCH(UPPER(LEFT(TRIM(Raw_Data!D349),1)),{"P","S","K","B"},0)),IFERROR(INDEX(Data_Dictionary!$G$4:$G$16,MATCH(E349,Data_Dictionary!$F$4:$F$16,0)),"Unassigned"))</f>
        <v>Punjab</v>
      </c>
      <c r="E349" s="17" t="str">
        <f aca="false">IF(TRIM(Raw_Data!E349)="","Unknown",PROPER(TRIM(Raw_Data!E349)))</f>
        <v>Lahore</v>
      </c>
      <c r="F349" s="17" t="str">
        <f aca="false">IFERROR(INDEX({"Electronics","Home &amp; Kitchen","Clothing","Groceries","Beauty"},MATCH(UPPER(LEFT(TRIM(Raw_Data!F349),3)),{"ELE","HOM","CLO","GRO","BEA"},0)),"Uncategorised")</f>
        <v>Clothing</v>
      </c>
      <c r="G349" s="17" t="str">
        <f aca="false">IF(TRIM(Raw_Data!G349)="","Unknown",PROPER(TRIM(Raw_Data!G349)))</f>
        <v>Winter Jacket</v>
      </c>
      <c r="H349" s="19" t="n">
        <f aca="false">IFERROR(ABS(VALUE(TRIM(Raw_Data!H349))),"")</f>
        <v>7</v>
      </c>
      <c r="I349" s="20" t="n">
        <f aca="false">IFERROR(VALUE(TRIM(SUBSTITUTE(SUBSTITUTE(SUBSTITUTE(SUBSTITUTE(TRIM(Raw_Data!I349),"PKR",""),"Rs.",""),"Rs",""),",",""))),"")</f>
        <v>9850</v>
      </c>
      <c r="J349" s="21" t="n">
        <f aca="false">IFERROR(IF(TRIM(Raw_Data!J349)="",0,IF(VALUE(TRIM(Raw_Data!J349))&gt;1,VALUE(TRIM(Raw_Data!J349))/100,VALUE(TRIM(Raw_Data!J349)))),0)</f>
        <v>0</v>
      </c>
      <c r="K349" s="17" t="str">
        <f aca="false">IF(TRIM(Raw_Data!K349)="","Unassigned",PROPER(TRIM(Raw_Data!K349)))</f>
        <v>Imran Shah</v>
      </c>
      <c r="L349" s="17" t="str">
        <f aca="false">IFERROR(INDEX({"Credit Card","Credit Card","Debit Card","Debit Card","Cash","PayPal"},MATCH(UPPER(LEFT(TRIM(Raw_Data!L349),2)),{"CR","CC","DE","DC","CA","PA"},0)),"Other")</f>
        <v>Credit Card</v>
      </c>
      <c r="M349" s="17" t="str">
        <f aca="false">IFERROR(INDEX({"Completed","Returned","Cancelled","Pending"},MATCH(UPPER(LEFT(TRIM(Raw_Data!M349),3)),{"COM","RET","CAN","PEN"},0)),"Unknown")</f>
        <v>Completed</v>
      </c>
      <c r="N349" s="20" t="n">
        <f aca="false">IF(OR(H349="",I349=""),"",H349*I349)</f>
        <v>68950</v>
      </c>
      <c r="O349" s="20" t="n">
        <f aca="false">IF(N349="","",N349*J349)</f>
        <v>0</v>
      </c>
      <c r="P349" s="20" t="n">
        <f aca="false">IF(N349="","",N349-O349)</f>
        <v>68950</v>
      </c>
      <c r="Q349" s="22" t="n">
        <f aca="false">IF(B349="","",DATE(YEAR(B349),MONTH(B349),1))</f>
        <v>45717</v>
      </c>
      <c r="R349" s="17" t="str">
        <f aca="false">IF(A349="","Invalid - Exclude",IF(COUNTIF($A$2:A349,A349)&gt;1,"Duplicate - Exclude",IF(OR(B349="",H349="",I349=""),"Invalid - Exclude","Valid")))</f>
        <v>Valid</v>
      </c>
      <c r="S349" s="17" t="str">
        <f aca="false">IF(R349="Valid","",IF(R349="Duplicate - Exclude","Repeat of an earlier Order ID",IF(B349="","Date missing or unreadable",IF(H349="","Quantity missing or unreadable",IF(I349="","Unit price missing or unreadable","Order ID missing")))))</f>
        <v/>
      </c>
    </row>
    <row r="350" customFormat="false" ht="15" hidden="false" customHeight="true" outlineLevel="0" collapsed="false">
      <c r="A350" s="9" t="str">
        <f aca="false">UPPER(TRIM(Raw_Data!A350))</f>
        <v>ORD-1333</v>
      </c>
      <c r="B350" s="10" t="n">
        <f aca="false">IFERROR(IF(ISNUMBER(Raw_Data!B350),Raw_Data!B350,IF(ISNUMBER(FIND("/",Raw_Data!B350)),DATE(VALUE(RIGHT(TRIM(Raw_Data!B350),4)),VALUE(MID(TRIM(Raw_Data!B350),4,2)),VALUE(LEFT(TRIM(Raw_Data!B350),2))),IF(MID(TRIM(Raw_Data!B350),5,1)="-",DATE(VALUE(LEFT(TRIM(Raw_Data!B350),4)),VALUE(MID(TRIM(Raw_Data!B350),6,2)),VALUE(RIGHT(TRIM(Raw_Data!B350),2))),DATE(VALUE(RIGHT(TRIM(Raw_Data!B350),4)),MATCH(MID(TRIM(Raw_Data!B350),4,3),{"Jan","Feb","Mar","Apr","May","Jun","Jul","Aug","Sep","Oct","Nov","Dec"},0),VALUE(LEFT(TRIM(Raw_Data!B350),2)))))),"")</f>
        <v>45937</v>
      </c>
      <c r="C350" s="9" t="str">
        <f aca="false">IF(TRIM(Raw_Data!C350)="","Unknown",PROPER(TRIM(Raw_Data!C350)))</f>
        <v>Tariq Qureshi</v>
      </c>
      <c r="D350" s="9" t="str">
        <f aca="false">IFERROR(INDEX({"Punjab","Sindh","KPK","Balochistan"},MATCH(UPPER(LEFT(TRIM(Raw_Data!D350),1)),{"P","S","K","B"},0)),IFERROR(INDEX(Data_Dictionary!$G$4:$G$16,MATCH(E350,Data_Dictionary!$F$4:$F$16,0)),"Unassigned"))</f>
        <v>Sindh</v>
      </c>
      <c r="E350" s="9" t="str">
        <f aca="false">IF(TRIM(Raw_Data!E350)="","Unknown",PROPER(TRIM(Raw_Data!E350)))</f>
        <v>Karachi</v>
      </c>
      <c r="F350" s="9" t="str">
        <f aca="false">IFERROR(INDEX({"Electronics","Home &amp; Kitchen","Clothing","Groceries","Beauty"},MATCH(UPPER(LEFT(TRIM(Raw_Data!F350),3)),{"ELE","HOM","CLO","GRO","BEA"},0)),"Uncategorised")</f>
        <v>Electronics</v>
      </c>
      <c r="G350" s="9" t="str">
        <f aca="false">IF(TRIM(Raw_Data!G350)="","Unknown",PROPER(TRIM(Raw_Data!G350)))</f>
        <v>Phone Charger</v>
      </c>
      <c r="H350" s="11" t="n">
        <f aca="false">IFERROR(ABS(VALUE(TRIM(Raw_Data!H350))),"")</f>
        <v>1</v>
      </c>
      <c r="I350" s="12" t="n">
        <f aca="false">IFERROR(VALUE(TRIM(SUBSTITUTE(SUBSTITUTE(SUBSTITUTE(SUBSTITUTE(TRIM(Raw_Data!I350),"PKR",""),"Rs.",""),"Rs",""),",",""))),"")</f>
        <v>1150</v>
      </c>
      <c r="J350" s="13" t="n">
        <f aca="false">IFERROR(IF(TRIM(Raw_Data!J350)="",0,IF(VALUE(TRIM(Raw_Data!J350))&gt;1,VALUE(TRIM(Raw_Data!J350))/100,VALUE(TRIM(Raw_Data!J350)))),0)</f>
        <v>0</v>
      </c>
      <c r="K350" s="9" t="str">
        <f aca="false">IF(TRIM(Raw_Data!K350)="","Unassigned",PROPER(TRIM(Raw_Data!K350)))</f>
        <v>Nimra Aslam</v>
      </c>
      <c r="L350" s="9" t="str">
        <f aca="false">IFERROR(INDEX({"Credit Card","Credit Card","Debit Card","Debit Card","Cash","PayPal"},MATCH(UPPER(LEFT(TRIM(Raw_Data!L350),2)),{"CR","CC","DE","DC","CA","PA"},0)),"Other")</f>
        <v>Cash</v>
      </c>
      <c r="M350" s="9" t="str">
        <f aca="false">IFERROR(INDEX({"Completed","Returned","Cancelled","Pending"},MATCH(UPPER(LEFT(TRIM(Raw_Data!M350),3)),{"COM","RET","CAN","PEN"},0)),"Unknown")</f>
        <v>Completed</v>
      </c>
      <c r="N350" s="14" t="n">
        <f aca="false">IF(OR(H350="",I350=""),"",H350*I350)</f>
        <v>1150</v>
      </c>
      <c r="O350" s="14" t="n">
        <f aca="false">IF(N350="","",N350*J350)</f>
        <v>0</v>
      </c>
      <c r="P350" s="14" t="n">
        <f aca="false">IF(N350="","",N350-O350)</f>
        <v>1150</v>
      </c>
      <c r="Q350" s="15" t="n">
        <f aca="false">IF(B350="","",DATE(YEAR(B350),MONTH(B350),1))</f>
        <v>45931</v>
      </c>
      <c r="R350" s="16" t="str">
        <f aca="false">IF(A350="","Invalid - Exclude",IF(COUNTIF($A$2:A350,A350)&gt;1,"Duplicate - Exclude",IF(OR(B350="",H350="",I350=""),"Invalid - Exclude","Valid")))</f>
        <v>Valid</v>
      </c>
      <c r="S350" s="16" t="str">
        <f aca="false">IF(R350="Valid","",IF(R350="Duplicate - Exclude","Repeat of an earlier Order ID",IF(B350="","Date missing or unreadable",IF(H350="","Quantity missing or unreadable",IF(I350="","Unit price missing or unreadable","Order ID missing")))))</f>
        <v/>
      </c>
    </row>
    <row r="351" customFormat="false" ht="15" hidden="false" customHeight="true" outlineLevel="0" collapsed="false">
      <c r="A351" s="17" t="str">
        <f aca="false">UPPER(TRIM(Raw_Data!A351))</f>
        <v>ORD-1334</v>
      </c>
      <c r="B351" s="18" t="n">
        <f aca="false">IFERROR(IF(ISNUMBER(Raw_Data!B351),Raw_Data!B351,IF(ISNUMBER(FIND("/",Raw_Data!B351)),DATE(VALUE(RIGHT(TRIM(Raw_Data!B351),4)),VALUE(MID(TRIM(Raw_Data!B351),4,2)),VALUE(LEFT(TRIM(Raw_Data!B351),2))),IF(MID(TRIM(Raw_Data!B351),5,1)="-",DATE(VALUE(LEFT(TRIM(Raw_Data!B351),4)),VALUE(MID(TRIM(Raw_Data!B351),6,2)),VALUE(RIGHT(TRIM(Raw_Data!B351),2))),DATE(VALUE(RIGHT(TRIM(Raw_Data!B351),4)),MATCH(MID(TRIM(Raw_Data!B351),4,3),{"Jan","Feb","Mar","Apr","May","Jun","Jul","Aug","Sep","Oct","Nov","Dec"},0),VALUE(LEFT(TRIM(Raw_Data!B351),2)))))),"")</f>
        <v>45705</v>
      </c>
      <c r="C351" s="17" t="str">
        <f aca="false">IF(TRIM(Raw_Data!C351)="","Unknown",PROPER(TRIM(Raw_Data!C351)))</f>
        <v>Ali Butt</v>
      </c>
      <c r="D351" s="17" t="str">
        <f aca="false">IFERROR(INDEX({"Punjab","Sindh","KPK","Balochistan"},MATCH(UPPER(LEFT(TRIM(Raw_Data!D351),1)),{"P","S","K","B"},0)),IFERROR(INDEX(Data_Dictionary!$G$4:$G$16,MATCH(E351,Data_Dictionary!$F$4:$F$16,0)),"Unassigned"))</f>
        <v>Punjab</v>
      </c>
      <c r="E351" s="17" t="str">
        <f aca="false">IF(TRIM(Raw_Data!E351)="","Unknown",PROPER(TRIM(Raw_Data!E351)))</f>
        <v>Lahore</v>
      </c>
      <c r="F351" s="17" t="str">
        <f aca="false">IFERROR(INDEX({"Electronics","Home &amp; Kitchen","Clothing","Groceries","Beauty"},MATCH(UPPER(LEFT(TRIM(Raw_Data!F351),3)),{"ELE","HOM","CLO","GRO","BEA"},0)),"Uncategorised")</f>
        <v>Electronics</v>
      </c>
      <c r="G351" s="17" t="str">
        <f aca="false">IF(TRIM(Raw_Data!G351)="","Unknown",PROPER(TRIM(Raw_Data!G351)))</f>
        <v>Smart Television 43 Inch</v>
      </c>
      <c r="H351" s="19" t="n">
        <f aca="false">IFERROR(ABS(VALUE(TRIM(Raw_Data!H351))),"")</f>
        <v>2</v>
      </c>
      <c r="I351" s="20" t="n">
        <f aca="false">IFERROR(VALUE(TRIM(SUBSTITUTE(SUBSTITUTE(SUBSTITUTE(SUBSTITUTE(TRIM(Raw_Data!I351),"PKR",""),"Rs.",""),"Rs",""),",",""))),"")</f>
        <v>51000</v>
      </c>
      <c r="J351" s="21" t="n">
        <f aca="false">IFERROR(IF(TRIM(Raw_Data!J351)="",0,IF(VALUE(TRIM(Raw_Data!J351))&gt;1,VALUE(TRIM(Raw_Data!J351))/100,VALUE(TRIM(Raw_Data!J351)))),0)</f>
        <v>0.15</v>
      </c>
      <c r="K351" s="17" t="str">
        <f aca="false">IF(TRIM(Raw_Data!K351)="","Unassigned",PROPER(TRIM(Raw_Data!K351)))</f>
        <v>Waqar Ahmed</v>
      </c>
      <c r="L351" s="17" t="str">
        <f aca="false">IFERROR(INDEX({"Credit Card","Credit Card","Debit Card","Debit Card","Cash","PayPal"},MATCH(UPPER(LEFT(TRIM(Raw_Data!L351),2)),{"CR","CC","DE","DC","CA","PA"},0)),"Other")</f>
        <v>Cash</v>
      </c>
      <c r="M351" s="17" t="str">
        <f aca="false">IFERROR(INDEX({"Completed","Returned","Cancelled","Pending"},MATCH(UPPER(LEFT(TRIM(Raw_Data!M351),3)),{"COM","RET","CAN","PEN"},0)),"Unknown")</f>
        <v>Completed</v>
      </c>
      <c r="N351" s="20" t="n">
        <f aca="false">IF(OR(H351="",I351=""),"",H351*I351)</f>
        <v>102000</v>
      </c>
      <c r="O351" s="20" t="n">
        <f aca="false">IF(N351="","",N351*J351)</f>
        <v>15300</v>
      </c>
      <c r="P351" s="20" t="n">
        <f aca="false">IF(N351="","",N351-O351)</f>
        <v>86700</v>
      </c>
      <c r="Q351" s="22" t="n">
        <f aca="false">IF(B351="","",DATE(YEAR(B351),MONTH(B351),1))</f>
        <v>45689</v>
      </c>
      <c r="R351" s="17" t="str">
        <f aca="false">IF(A351="","Invalid - Exclude",IF(COUNTIF($A$2:A351,A351)&gt;1,"Duplicate - Exclude",IF(OR(B351="",H351="",I351=""),"Invalid - Exclude","Valid")))</f>
        <v>Valid</v>
      </c>
      <c r="S351" s="17" t="str">
        <f aca="false">IF(R351="Valid","",IF(R351="Duplicate - Exclude","Repeat of an earlier Order ID",IF(B351="","Date missing or unreadable",IF(H351="","Quantity missing or unreadable",IF(I351="","Unit price missing or unreadable","Order ID missing")))))</f>
        <v/>
      </c>
    </row>
    <row r="352" customFormat="false" ht="15" hidden="false" customHeight="true" outlineLevel="0" collapsed="false">
      <c r="A352" s="9" t="str">
        <f aca="false">UPPER(TRIM(Raw_Data!A352))</f>
        <v>ORD-1335</v>
      </c>
      <c r="B352" s="10" t="n">
        <f aca="false">IFERROR(IF(ISNUMBER(Raw_Data!B352),Raw_Data!B352,IF(ISNUMBER(FIND("/",Raw_Data!B352)),DATE(VALUE(RIGHT(TRIM(Raw_Data!B352),4)),VALUE(MID(TRIM(Raw_Data!B352),4,2)),VALUE(LEFT(TRIM(Raw_Data!B352),2))),IF(MID(TRIM(Raw_Data!B352),5,1)="-",DATE(VALUE(LEFT(TRIM(Raw_Data!B352),4)),VALUE(MID(TRIM(Raw_Data!B352),6,2)),VALUE(RIGHT(TRIM(Raw_Data!B352),2))),DATE(VALUE(RIGHT(TRIM(Raw_Data!B352),4)),MATCH(MID(TRIM(Raw_Data!B352),4,3),{"Jan","Feb","Mar","Apr","May","Jun","Jul","Aug","Sep","Oct","Nov","Dec"},0),VALUE(LEFT(TRIM(Raw_Data!B352),2)))))),"")</f>
        <v>45815</v>
      </c>
      <c r="C352" s="9" t="str">
        <f aca="false">IF(TRIM(Raw_Data!C352)="","Unknown",PROPER(TRIM(Raw_Data!C352)))</f>
        <v>Usman Chaudhry</v>
      </c>
      <c r="D352" s="9" t="str">
        <f aca="false">IFERROR(INDEX({"Punjab","Sindh","KPK","Balochistan"},MATCH(UPPER(LEFT(TRIM(Raw_Data!D352),1)),{"P","S","K","B"},0)),IFERROR(INDEX(Data_Dictionary!$G$4:$G$16,MATCH(E352,Data_Dictionary!$F$4:$F$16,0)),"Unassigned"))</f>
        <v>Punjab</v>
      </c>
      <c r="E352" s="9" t="str">
        <f aca="false">IF(TRIM(Raw_Data!E352)="","Unknown",PROPER(TRIM(Raw_Data!E352)))</f>
        <v>Rawalpindi</v>
      </c>
      <c r="F352" s="9" t="str">
        <f aca="false">IFERROR(INDEX({"Electronics","Home &amp; Kitchen","Clothing","Groceries","Beauty"},MATCH(UPPER(LEFT(TRIM(Raw_Data!F352),3)),{"ELE","HOM","CLO","GRO","BEA"},0)),"Uncategorised")</f>
        <v>Clothing</v>
      </c>
      <c r="G352" s="9" t="str">
        <f aca="false">IF(TRIM(Raw_Data!G352)="","Unknown",PROPER(TRIM(Raw_Data!G352)))</f>
        <v>Running Shoes</v>
      </c>
      <c r="H352" s="11" t="n">
        <f aca="false">IFERROR(ABS(VALUE(TRIM(Raw_Data!H352))),"")</f>
        <v>1</v>
      </c>
      <c r="I352" s="12" t="n">
        <f aca="false">IFERROR(VALUE(TRIM(SUBSTITUTE(SUBSTITUTE(SUBSTITUTE(SUBSTITUTE(TRIM(Raw_Data!I352),"PKR",""),"Rs.",""),"Rs",""),",",""))),"")</f>
        <v>7550</v>
      </c>
      <c r="J352" s="13" t="n">
        <f aca="false">IFERROR(IF(TRIM(Raw_Data!J352)="",0,IF(VALUE(TRIM(Raw_Data!J352))&gt;1,VALUE(TRIM(Raw_Data!J352))/100,VALUE(TRIM(Raw_Data!J352)))),0)</f>
        <v>0</v>
      </c>
      <c r="K352" s="9" t="str">
        <f aca="false">IF(TRIM(Raw_Data!K352)="","Unassigned",PROPER(TRIM(Raw_Data!K352)))</f>
        <v>Waqar Ahmed</v>
      </c>
      <c r="L352" s="9" t="str">
        <f aca="false">IFERROR(INDEX({"Credit Card","Credit Card","Debit Card","Debit Card","Cash","PayPal"},MATCH(UPPER(LEFT(TRIM(Raw_Data!L352),2)),{"CR","CC","DE","DC","CA","PA"},0)),"Other")</f>
        <v>Credit Card</v>
      </c>
      <c r="M352" s="9" t="str">
        <f aca="false">IFERROR(INDEX({"Completed","Returned","Cancelled","Pending"},MATCH(UPPER(LEFT(TRIM(Raw_Data!M352),3)),{"COM","RET","CAN","PEN"},0)),"Unknown")</f>
        <v>Cancelled</v>
      </c>
      <c r="N352" s="14" t="n">
        <f aca="false">IF(OR(H352="",I352=""),"",H352*I352)</f>
        <v>7550</v>
      </c>
      <c r="O352" s="14" t="n">
        <f aca="false">IF(N352="","",N352*J352)</f>
        <v>0</v>
      </c>
      <c r="P352" s="14" t="n">
        <f aca="false">IF(N352="","",N352-O352)</f>
        <v>7550</v>
      </c>
      <c r="Q352" s="15" t="n">
        <f aca="false">IF(B352="","",DATE(YEAR(B352),MONTH(B352),1))</f>
        <v>45809</v>
      </c>
      <c r="R352" s="16" t="str">
        <f aca="false">IF(A352="","Invalid - Exclude",IF(COUNTIF($A$2:A352,A352)&gt;1,"Duplicate - Exclude",IF(OR(B352="",H352="",I352=""),"Invalid - Exclude","Valid")))</f>
        <v>Valid</v>
      </c>
      <c r="S352" s="16" t="str">
        <f aca="false">IF(R352="Valid","",IF(R352="Duplicate - Exclude","Repeat of an earlier Order ID",IF(B352="","Date missing or unreadable",IF(H352="","Quantity missing or unreadable",IF(I352="","Unit price missing or unreadable","Order ID missing")))))</f>
        <v/>
      </c>
    </row>
    <row r="353" customFormat="false" ht="15" hidden="false" customHeight="true" outlineLevel="0" collapsed="false">
      <c r="A353" s="17" t="str">
        <f aca="false">UPPER(TRIM(Raw_Data!A353))</f>
        <v>ORD-1336</v>
      </c>
      <c r="B353" s="18" t="n">
        <f aca="false">IFERROR(IF(ISNUMBER(Raw_Data!B353),Raw_Data!B353,IF(ISNUMBER(FIND("/",Raw_Data!B353)),DATE(VALUE(RIGHT(TRIM(Raw_Data!B353),4)),VALUE(MID(TRIM(Raw_Data!B353),4,2)),VALUE(LEFT(TRIM(Raw_Data!B353),2))),IF(MID(TRIM(Raw_Data!B353),5,1)="-",DATE(VALUE(LEFT(TRIM(Raw_Data!B353),4)),VALUE(MID(TRIM(Raw_Data!B353),6,2)),VALUE(RIGHT(TRIM(Raw_Data!B353),2))),DATE(VALUE(RIGHT(TRIM(Raw_Data!B353),4)),MATCH(MID(TRIM(Raw_Data!B353),4,3),{"Jan","Feb","Mar","Apr","May","Jun","Jul","Aug","Sep","Oct","Nov","Dec"},0),VALUE(LEFT(TRIM(Raw_Data!B353),2)))))),"")</f>
        <v>46005</v>
      </c>
      <c r="C353" s="17" t="str">
        <f aca="false">IF(TRIM(Raw_Data!C353)="","Unknown",PROPER(TRIM(Raw_Data!C353)))</f>
        <v>Fatima Khan</v>
      </c>
      <c r="D353" s="17" t="str">
        <f aca="false">IFERROR(INDEX({"Punjab","Sindh","KPK","Balochistan"},MATCH(UPPER(LEFT(TRIM(Raw_Data!D353),1)),{"P","S","K","B"},0)),IFERROR(INDEX(Data_Dictionary!$G$4:$G$16,MATCH(E353,Data_Dictionary!$F$4:$F$16,0)),"Unassigned"))</f>
        <v>Sindh</v>
      </c>
      <c r="E353" s="17" t="str">
        <f aca="false">IF(TRIM(Raw_Data!E353)="","Unknown",PROPER(TRIM(Raw_Data!E353)))</f>
        <v>Hyderabad</v>
      </c>
      <c r="F353" s="17" t="str">
        <f aca="false">IFERROR(INDEX({"Electronics","Home &amp; Kitchen","Clothing","Groceries","Beauty"},MATCH(UPPER(LEFT(TRIM(Raw_Data!F353),3)),{"ELE","HOM","CLO","GRO","BEA"},0)),"Uncategorised")</f>
        <v>Clothing</v>
      </c>
      <c r="G353" s="17" t="str">
        <f aca="false">IF(TRIM(Raw_Data!G353)="","Unknown",PROPER(TRIM(Raw_Data!G353)))</f>
        <v>Lawn Suit 3 Piece</v>
      </c>
      <c r="H353" s="19" t="n">
        <f aca="false">IFERROR(ABS(VALUE(TRIM(Raw_Data!H353))),"")</f>
        <v>1</v>
      </c>
      <c r="I353" s="20" t="n">
        <f aca="false">IFERROR(VALUE(TRIM(SUBSTITUTE(SUBSTITUTE(SUBSTITUTE(SUBSTITUTE(TRIM(Raw_Data!I353),"PKR",""),"Rs.",""),"Rs",""),",",""))),"")</f>
        <v>6850</v>
      </c>
      <c r="J353" s="21" t="n">
        <f aca="false">IFERROR(IF(TRIM(Raw_Data!J353)="",0,IF(VALUE(TRIM(Raw_Data!J353))&gt;1,VALUE(TRIM(Raw_Data!J353))/100,VALUE(TRIM(Raw_Data!J353)))),0)</f>
        <v>0</v>
      </c>
      <c r="K353" s="17" t="str">
        <f aca="false">IF(TRIM(Raw_Data!K353)="","Unassigned",PROPER(TRIM(Raw_Data!K353)))</f>
        <v>Nimra Aslam</v>
      </c>
      <c r="L353" s="17" t="str">
        <f aca="false">IFERROR(INDEX({"Credit Card","Credit Card","Debit Card","Debit Card","Cash","PayPal"},MATCH(UPPER(LEFT(TRIM(Raw_Data!L353),2)),{"CR","CC","DE","DC","CA","PA"},0)),"Other")</f>
        <v>PayPal</v>
      </c>
      <c r="M353" s="17" t="str">
        <f aca="false">IFERROR(INDEX({"Completed","Returned","Cancelled","Pending"},MATCH(UPPER(LEFT(TRIM(Raw_Data!M353),3)),{"COM","RET","CAN","PEN"},0)),"Unknown")</f>
        <v>Completed</v>
      </c>
      <c r="N353" s="20" t="n">
        <f aca="false">IF(OR(H353="",I353=""),"",H353*I353)</f>
        <v>6850</v>
      </c>
      <c r="O353" s="20" t="n">
        <f aca="false">IF(N353="","",N353*J353)</f>
        <v>0</v>
      </c>
      <c r="P353" s="20" t="n">
        <f aca="false">IF(N353="","",N353-O353)</f>
        <v>6850</v>
      </c>
      <c r="Q353" s="22" t="n">
        <f aca="false">IF(B353="","",DATE(YEAR(B353),MONTH(B353),1))</f>
        <v>45992</v>
      </c>
      <c r="R353" s="17" t="str">
        <f aca="false">IF(A353="","Invalid - Exclude",IF(COUNTIF($A$2:A353,A353)&gt;1,"Duplicate - Exclude",IF(OR(B353="",H353="",I353=""),"Invalid - Exclude","Valid")))</f>
        <v>Valid</v>
      </c>
      <c r="S353" s="17" t="str">
        <f aca="false">IF(R353="Valid","",IF(R353="Duplicate - Exclude","Repeat of an earlier Order ID",IF(B353="","Date missing or unreadable",IF(H353="","Quantity missing or unreadable",IF(I353="","Unit price missing or unreadable","Order ID missing")))))</f>
        <v/>
      </c>
    </row>
    <row r="354" customFormat="false" ht="15" hidden="false" customHeight="true" outlineLevel="0" collapsed="false">
      <c r="A354" s="9" t="str">
        <f aca="false">UPPER(TRIM(Raw_Data!A354))</f>
        <v>ORD-1337</v>
      </c>
      <c r="B354" s="10" t="n">
        <f aca="false">IFERROR(IF(ISNUMBER(Raw_Data!B354),Raw_Data!B354,IF(ISNUMBER(FIND("/",Raw_Data!B354)),DATE(VALUE(RIGHT(TRIM(Raw_Data!B354),4)),VALUE(MID(TRIM(Raw_Data!B354),4,2)),VALUE(LEFT(TRIM(Raw_Data!B354),2))),IF(MID(TRIM(Raw_Data!B354),5,1)="-",DATE(VALUE(LEFT(TRIM(Raw_Data!B354),4)),VALUE(MID(TRIM(Raw_Data!B354),6,2)),VALUE(RIGHT(TRIM(Raw_Data!B354),2))),DATE(VALUE(RIGHT(TRIM(Raw_Data!B354),4)),MATCH(MID(TRIM(Raw_Data!B354),4,3),{"Jan","Feb","Mar","Apr","May","Jun","Jul","Aug","Sep","Oct","Nov","Dec"},0),VALUE(LEFT(TRIM(Raw_Data!B354),2)))))),"")</f>
        <v>45958</v>
      </c>
      <c r="C354" s="9" t="str">
        <f aca="false">IF(TRIM(Raw_Data!C354)="","Unknown",PROPER(TRIM(Raw_Data!C354)))</f>
        <v>Ali Butt</v>
      </c>
      <c r="D354" s="9" t="str">
        <f aca="false">IFERROR(INDEX({"Punjab","Sindh","KPK","Balochistan"},MATCH(UPPER(LEFT(TRIM(Raw_Data!D354),1)),{"P","S","K","B"},0)),IFERROR(INDEX(Data_Dictionary!$G$4:$G$16,MATCH(E354,Data_Dictionary!$F$4:$F$16,0)),"Unassigned"))</f>
        <v>Sindh</v>
      </c>
      <c r="E354" s="9" t="str">
        <f aca="false">IF(TRIM(Raw_Data!E354)="","Unknown",PROPER(TRIM(Raw_Data!E354)))</f>
        <v>Karachi</v>
      </c>
      <c r="F354" s="9" t="str">
        <f aca="false">IFERROR(INDEX({"Electronics","Home &amp; Kitchen","Clothing","Groceries","Beauty"},MATCH(UPPER(LEFT(TRIM(Raw_Data!F354),3)),{"ELE","HOM","CLO","GRO","BEA"},0)),"Uncategorised")</f>
        <v>Clothing</v>
      </c>
      <c r="G354" s="9" t="str">
        <f aca="false">IF(TRIM(Raw_Data!G354)="","Unknown",PROPER(TRIM(Raw_Data!G354)))</f>
        <v>Mens Kurta</v>
      </c>
      <c r="H354" s="11" t="n">
        <f aca="false">IFERROR(ABS(VALUE(TRIM(Raw_Data!H354))),"")</f>
        <v>1</v>
      </c>
      <c r="I354" s="12" t="n">
        <f aca="false">IFERROR(VALUE(TRIM(SUBSTITUTE(SUBSTITUTE(SUBSTITUTE(SUBSTITUTE(TRIM(Raw_Data!I354),"PKR",""),"Rs.",""),"Rs",""),",",""))),"")</f>
        <v>3100</v>
      </c>
      <c r="J354" s="13" t="n">
        <f aca="false">IFERROR(IF(TRIM(Raw_Data!J354)="",0,IF(VALUE(TRIM(Raw_Data!J354))&gt;1,VALUE(TRIM(Raw_Data!J354))/100,VALUE(TRIM(Raw_Data!J354)))),0)</f>
        <v>0.2</v>
      </c>
      <c r="K354" s="9" t="str">
        <f aca="false">IF(TRIM(Raw_Data!K354)="","Unassigned",PROPER(TRIM(Raw_Data!K354)))</f>
        <v>Imran Shah</v>
      </c>
      <c r="L354" s="9" t="str">
        <f aca="false">IFERROR(INDEX({"Credit Card","Credit Card","Debit Card","Debit Card","Cash","PayPal"},MATCH(UPPER(LEFT(TRIM(Raw_Data!L354),2)),{"CR","CC","DE","DC","CA","PA"},0)),"Other")</f>
        <v>PayPal</v>
      </c>
      <c r="M354" s="9" t="str">
        <f aca="false">IFERROR(INDEX({"Completed","Returned","Cancelled","Pending"},MATCH(UPPER(LEFT(TRIM(Raw_Data!M354),3)),{"COM","RET","CAN","PEN"},0)),"Unknown")</f>
        <v>Returned</v>
      </c>
      <c r="N354" s="14" t="n">
        <f aca="false">IF(OR(H354="",I354=""),"",H354*I354)</f>
        <v>3100</v>
      </c>
      <c r="O354" s="14" t="n">
        <f aca="false">IF(N354="","",N354*J354)</f>
        <v>620</v>
      </c>
      <c r="P354" s="14" t="n">
        <f aca="false">IF(N354="","",N354-O354)</f>
        <v>2480</v>
      </c>
      <c r="Q354" s="15" t="n">
        <f aca="false">IF(B354="","",DATE(YEAR(B354),MONTH(B354),1))</f>
        <v>45931</v>
      </c>
      <c r="R354" s="16" t="str">
        <f aca="false">IF(A354="","Invalid - Exclude",IF(COUNTIF($A$2:A354,A354)&gt;1,"Duplicate - Exclude",IF(OR(B354="",H354="",I354=""),"Invalid - Exclude","Valid")))</f>
        <v>Valid</v>
      </c>
      <c r="S354" s="16" t="str">
        <f aca="false">IF(R354="Valid","",IF(R354="Duplicate - Exclude","Repeat of an earlier Order ID",IF(B354="","Date missing or unreadable",IF(H354="","Quantity missing or unreadable",IF(I354="","Unit price missing or unreadable","Order ID missing")))))</f>
        <v/>
      </c>
    </row>
    <row r="355" customFormat="false" ht="15" hidden="false" customHeight="true" outlineLevel="0" collapsed="false">
      <c r="A355" s="17" t="str">
        <f aca="false">UPPER(TRIM(Raw_Data!A355))</f>
        <v>ORD-1338</v>
      </c>
      <c r="B355" s="18" t="n">
        <f aca="false">IFERROR(IF(ISNUMBER(Raw_Data!B355),Raw_Data!B355,IF(ISNUMBER(FIND("/",Raw_Data!B355)),DATE(VALUE(RIGHT(TRIM(Raw_Data!B355),4)),VALUE(MID(TRIM(Raw_Data!B355),4,2)),VALUE(LEFT(TRIM(Raw_Data!B355),2))),IF(MID(TRIM(Raw_Data!B355),5,1)="-",DATE(VALUE(LEFT(TRIM(Raw_Data!B355),4)),VALUE(MID(TRIM(Raw_Data!B355),6,2)),VALUE(RIGHT(TRIM(Raw_Data!B355),2))),DATE(VALUE(RIGHT(TRIM(Raw_Data!B355),4)),MATCH(MID(TRIM(Raw_Data!B355),4,3),{"Jan","Feb","Mar","Apr","May","Jun","Jul","Aug","Sep","Oct","Nov","Dec"},0),VALUE(LEFT(TRIM(Raw_Data!B355),2)))))),"")</f>
        <v>45851</v>
      </c>
      <c r="C355" s="17" t="str">
        <f aca="false">IF(TRIM(Raw_Data!C355)="","Unknown",PROPER(TRIM(Raw_Data!C355)))</f>
        <v>Rabia Iqbal</v>
      </c>
      <c r="D355" s="17" t="str">
        <f aca="false">IFERROR(INDEX({"Punjab","Sindh","KPK","Balochistan"},MATCH(UPPER(LEFT(TRIM(Raw_Data!D355),1)),{"P","S","K","B"},0)),IFERROR(INDEX(Data_Dictionary!$G$4:$G$16,MATCH(E355,Data_Dictionary!$F$4:$F$16,0)),"Unassigned"))</f>
        <v>Punjab</v>
      </c>
      <c r="E355" s="17" t="str">
        <f aca="false">IF(TRIM(Raw_Data!E355)="","Unknown",PROPER(TRIM(Raw_Data!E355)))</f>
        <v>Rawalpindi</v>
      </c>
      <c r="F355" s="17" t="str">
        <f aca="false">IFERROR(INDEX({"Electronics","Home &amp; Kitchen","Clothing","Groceries","Beauty"},MATCH(UPPER(LEFT(TRIM(Raw_Data!F355),3)),{"ELE","HOM","CLO","GRO","BEA"},0)),"Uncategorised")</f>
        <v>Electronics</v>
      </c>
      <c r="G355" s="17" t="str">
        <f aca="false">IF(TRIM(Raw_Data!G355)="","Unknown",PROPER(TRIM(Raw_Data!G355)))</f>
        <v>Phone Charger</v>
      </c>
      <c r="H355" s="19" t="n">
        <f aca="false">IFERROR(ABS(VALUE(TRIM(Raw_Data!H355))),"")</f>
        <v>1</v>
      </c>
      <c r="I355" s="20" t="n">
        <f aca="false">IFERROR(VALUE(TRIM(SUBSTITUTE(SUBSTITUTE(SUBSTITUTE(SUBSTITUTE(TRIM(Raw_Data!I355),"PKR",""),"Rs.",""),"Rs",""),",",""))),"")</f>
        <v>1200</v>
      </c>
      <c r="J355" s="21" t="n">
        <f aca="false">IFERROR(IF(TRIM(Raw_Data!J355)="",0,IF(VALUE(TRIM(Raw_Data!J355))&gt;1,VALUE(TRIM(Raw_Data!J355))/100,VALUE(TRIM(Raw_Data!J355)))),0)</f>
        <v>0</v>
      </c>
      <c r="K355" s="17" t="str">
        <f aca="false">IF(TRIM(Raw_Data!K355)="","Unassigned",PROPER(TRIM(Raw_Data!K355)))</f>
        <v>Sadia Noor</v>
      </c>
      <c r="L355" s="17" t="str">
        <f aca="false">IFERROR(INDEX({"Credit Card","Credit Card","Debit Card","Debit Card","Cash","PayPal"},MATCH(UPPER(LEFT(TRIM(Raw_Data!L355),2)),{"CR","CC","DE","DC","CA","PA"},0)),"Other")</f>
        <v>Credit Card</v>
      </c>
      <c r="M355" s="17" t="str">
        <f aca="false">IFERROR(INDEX({"Completed","Returned","Cancelled","Pending"},MATCH(UPPER(LEFT(TRIM(Raw_Data!M355),3)),{"COM","RET","CAN","PEN"},0)),"Unknown")</f>
        <v>Completed</v>
      </c>
      <c r="N355" s="20" t="n">
        <f aca="false">IF(OR(H355="",I355=""),"",H355*I355)</f>
        <v>1200</v>
      </c>
      <c r="O355" s="20" t="n">
        <f aca="false">IF(N355="","",N355*J355)</f>
        <v>0</v>
      </c>
      <c r="P355" s="20" t="n">
        <f aca="false">IF(N355="","",N355-O355)</f>
        <v>1200</v>
      </c>
      <c r="Q355" s="22" t="n">
        <f aca="false">IF(B355="","",DATE(YEAR(B355),MONTH(B355),1))</f>
        <v>45839</v>
      </c>
      <c r="R355" s="17" t="str">
        <f aca="false">IF(A355="","Invalid - Exclude",IF(COUNTIF($A$2:A355,A355)&gt;1,"Duplicate - Exclude",IF(OR(B355="",H355="",I355=""),"Invalid - Exclude","Valid")))</f>
        <v>Valid</v>
      </c>
      <c r="S355" s="17" t="str">
        <f aca="false">IF(R355="Valid","",IF(R355="Duplicate - Exclude","Repeat of an earlier Order ID",IF(B355="","Date missing or unreadable",IF(H355="","Quantity missing or unreadable",IF(I355="","Unit price missing or unreadable","Order ID missing")))))</f>
        <v/>
      </c>
    </row>
    <row r="356" customFormat="false" ht="15" hidden="false" customHeight="true" outlineLevel="0" collapsed="false">
      <c r="A356" s="9" t="str">
        <f aca="false">UPPER(TRIM(Raw_Data!A356))</f>
        <v>ORD-1339</v>
      </c>
      <c r="B356" s="10" t="n">
        <f aca="false">IFERROR(IF(ISNUMBER(Raw_Data!B356),Raw_Data!B356,IF(ISNUMBER(FIND("/",Raw_Data!B356)),DATE(VALUE(RIGHT(TRIM(Raw_Data!B356),4)),VALUE(MID(TRIM(Raw_Data!B356),4,2)),VALUE(LEFT(TRIM(Raw_Data!B356),2))),IF(MID(TRIM(Raw_Data!B356),5,1)="-",DATE(VALUE(LEFT(TRIM(Raw_Data!B356),4)),VALUE(MID(TRIM(Raw_Data!B356),6,2)),VALUE(RIGHT(TRIM(Raw_Data!B356),2))),DATE(VALUE(RIGHT(TRIM(Raw_Data!B356),4)),MATCH(MID(TRIM(Raw_Data!B356),4,3),{"Jan","Feb","Mar","Apr","May","Jun","Jul","Aug","Sep","Oct","Nov","Dec"},0),VALUE(LEFT(TRIM(Raw_Data!B356),2)))))),"")</f>
        <v>45890</v>
      </c>
      <c r="C356" s="9" t="str">
        <f aca="false">IF(TRIM(Raw_Data!C356)="","Unknown",PROPER(TRIM(Raw_Data!C356)))</f>
        <v>Hamza Hussain</v>
      </c>
      <c r="D356" s="9" t="str">
        <f aca="false">IFERROR(INDEX({"Punjab","Sindh","KPK","Balochistan"},MATCH(UPPER(LEFT(TRIM(Raw_Data!D356),1)),{"P","S","K","B"},0)),IFERROR(INDEX(Data_Dictionary!$G$4:$G$16,MATCH(E356,Data_Dictionary!$F$4:$F$16,0)),"Unassigned"))</f>
        <v>Punjab</v>
      </c>
      <c r="E356" s="9" t="str">
        <f aca="false">IF(TRIM(Raw_Data!E356)="","Unknown",PROPER(TRIM(Raw_Data!E356)))</f>
        <v>Lahore</v>
      </c>
      <c r="F356" s="9" t="str">
        <f aca="false">IFERROR(INDEX({"Electronics","Home &amp; Kitchen","Clothing","Groceries","Beauty"},MATCH(UPPER(LEFT(TRIM(Raw_Data!F356),3)),{"ELE","HOM","CLO","GRO","BEA"},0)),"Uncategorised")</f>
        <v>Groceries</v>
      </c>
      <c r="G356" s="9" t="str">
        <f aca="false">IF(TRIM(Raw_Data!G356)="","Unknown",PROPER(TRIM(Raw_Data!G356)))</f>
        <v>Basmati Rice 5 Kg</v>
      </c>
      <c r="H356" s="11" t="n">
        <f aca="false">IFERROR(ABS(VALUE(TRIM(Raw_Data!H356))),"")</f>
        <v>3</v>
      </c>
      <c r="I356" s="12" t="n">
        <f aca="false">IFERROR(VALUE(TRIM(SUBSTITUTE(SUBSTITUTE(SUBSTITUTE(SUBSTITUTE(TRIM(Raw_Data!I356),"PKR",""),"Rs.",""),"Rs",""),",",""))),"")</f>
        <v>2500</v>
      </c>
      <c r="J356" s="13" t="n">
        <f aca="false">IFERROR(IF(TRIM(Raw_Data!J356)="",0,IF(VALUE(TRIM(Raw_Data!J356))&gt;1,VALUE(TRIM(Raw_Data!J356))/100,VALUE(TRIM(Raw_Data!J356)))),0)</f>
        <v>0.2</v>
      </c>
      <c r="K356" s="9" t="str">
        <f aca="false">IF(TRIM(Raw_Data!K356)="","Unassigned",PROPER(TRIM(Raw_Data!K356)))</f>
        <v>Waqar Ahmed</v>
      </c>
      <c r="L356" s="9" t="str">
        <f aca="false">IFERROR(INDEX({"Credit Card","Credit Card","Debit Card","Debit Card","Cash","PayPal"},MATCH(UPPER(LEFT(TRIM(Raw_Data!L356),2)),{"CR","CC","DE","DC","CA","PA"},0)),"Other")</f>
        <v>Cash</v>
      </c>
      <c r="M356" s="9" t="str">
        <f aca="false">IFERROR(INDEX({"Completed","Returned","Cancelled","Pending"},MATCH(UPPER(LEFT(TRIM(Raw_Data!M356),3)),{"COM","RET","CAN","PEN"},0)),"Unknown")</f>
        <v>Completed</v>
      </c>
      <c r="N356" s="14" t="n">
        <f aca="false">IF(OR(H356="",I356=""),"",H356*I356)</f>
        <v>7500</v>
      </c>
      <c r="O356" s="14" t="n">
        <f aca="false">IF(N356="","",N356*J356)</f>
        <v>1500</v>
      </c>
      <c r="P356" s="14" t="n">
        <f aca="false">IF(N356="","",N356-O356)</f>
        <v>6000</v>
      </c>
      <c r="Q356" s="15" t="n">
        <f aca="false">IF(B356="","",DATE(YEAR(B356),MONTH(B356),1))</f>
        <v>45870</v>
      </c>
      <c r="R356" s="16" t="str">
        <f aca="false">IF(A356="","Invalid - Exclude",IF(COUNTIF($A$2:A356,A356)&gt;1,"Duplicate - Exclude",IF(OR(B356="",H356="",I356=""),"Invalid - Exclude","Valid")))</f>
        <v>Valid</v>
      </c>
      <c r="S356" s="16" t="str">
        <f aca="false">IF(R356="Valid","",IF(R356="Duplicate - Exclude","Repeat of an earlier Order ID",IF(B356="","Date missing or unreadable",IF(H356="","Quantity missing or unreadable",IF(I356="","Unit price missing or unreadable","Order ID missing")))))</f>
        <v/>
      </c>
    </row>
    <row r="357" customFormat="false" ht="15" hidden="false" customHeight="true" outlineLevel="0" collapsed="false">
      <c r="A357" s="17" t="str">
        <f aca="false">UPPER(TRIM(Raw_Data!A357))</f>
        <v>ORD-1340</v>
      </c>
      <c r="B357" s="18" t="n">
        <f aca="false">IFERROR(IF(ISNUMBER(Raw_Data!B357),Raw_Data!B357,IF(ISNUMBER(FIND("/",Raw_Data!B357)),DATE(VALUE(RIGHT(TRIM(Raw_Data!B357),4)),VALUE(MID(TRIM(Raw_Data!B357),4,2)),VALUE(LEFT(TRIM(Raw_Data!B357),2))),IF(MID(TRIM(Raw_Data!B357),5,1)="-",DATE(VALUE(LEFT(TRIM(Raw_Data!B357),4)),VALUE(MID(TRIM(Raw_Data!B357),6,2)),VALUE(RIGHT(TRIM(Raw_Data!B357),2))),DATE(VALUE(RIGHT(TRIM(Raw_Data!B357),4)),MATCH(MID(TRIM(Raw_Data!B357),4,3),{"Jan","Feb","Mar","Apr","May","Jun","Jul","Aug","Sep","Oct","Nov","Dec"},0),VALUE(LEFT(TRIM(Raw_Data!B357),2)))))),"")</f>
        <v>45966</v>
      </c>
      <c r="C357" s="17" t="str">
        <f aca="false">IF(TRIM(Raw_Data!C357)="","Unknown",PROPER(TRIM(Raw_Data!C357)))</f>
        <v>Usman Raza</v>
      </c>
      <c r="D357" s="17" t="str">
        <f aca="false">IFERROR(INDEX({"Punjab","Sindh","KPK","Balochistan"},MATCH(UPPER(LEFT(TRIM(Raw_Data!D357),1)),{"P","S","K","B"},0)),IFERROR(INDEX(Data_Dictionary!$G$4:$G$16,MATCH(E357,Data_Dictionary!$F$4:$F$16,0)),"Unassigned"))</f>
        <v>Punjab</v>
      </c>
      <c r="E357" s="17" t="str">
        <f aca="false">IF(TRIM(Raw_Data!E357)="","Unknown",PROPER(TRIM(Raw_Data!E357)))</f>
        <v>Lahore</v>
      </c>
      <c r="F357" s="17" t="str">
        <f aca="false">IFERROR(INDEX({"Electronics","Home &amp; Kitchen","Clothing","Groceries","Beauty"},MATCH(UPPER(LEFT(TRIM(Raw_Data!F357),3)),{"ELE","HOM","CLO","GRO","BEA"},0)),"Uncategorised")</f>
        <v>Clothing</v>
      </c>
      <c r="G357" s="17" t="str">
        <f aca="false">IF(TRIM(Raw_Data!G357)="","Unknown",PROPER(TRIM(Raw_Data!G357)))</f>
        <v>Running Shoes</v>
      </c>
      <c r="H357" s="19" t="n">
        <f aca="false">IFERROR(ABS(VALUE(TRIM(Raw_Data!H357))),"")</f>
        <v>4</v>
      </c>
      <c r="I357" s="20" t="n">
        <f aca="false">IFERROR(VALUE(TRIM(SUBSTITUTE(SUBSTITUTE(SUBSTITUTE(SUBSTITUTE(TRIM(Raw_Data!I357),"PKR",""),"Rs.",""),"Rs",""),",",""))),"")</f>
        <v>7650</v>
      </c>
      <c r="J357" s="21" t="n">
        <f aca="false">IFERROR(IF(TRIM(Raw_Data!J357)="",0,IF(VALUE(TRIM(Raw_Data!J357))&gt;1,VALUE(TRIM(Raw_Data!J357))/100,VALUE(TRIM(Raw_Data!J357)))),0)</f>
        <v>0</v>
      </c>
      <c r="K357" s="17" t="str">
        <f aca="false">IF(TRIM(Raw_Data!K357)="","Unassigned",PROPER(TRIM(Raw_Data!K357)))</f>
        <v>Waqar Ahmed</v>
      </c>
      <c r="L357" s="17" t="str">
        <f aca="false">IFERROR(INDEX({"Credit Card","Credit Card","Debit Card","Debit Card","Cash","PayPal"},MATCH(UPPER(LEFT(TRIM(Raw_Data!L357),2)),{"CR","CC","DE","DC","CA","PA"},0)),"Other")</f>
        <v>Debit Card</v>
      </c>
      <c r="M357" s="17" t="str">
        <f aca="false">IFERROR(INDEX({"Completed","Returned","Cancelled","Pending"},MATCH(UPPER(LEFT(TRIM(Raw_Data!M357),3)),{"COM","RET","CAN","PEN"},0)),"Unknown")</f>
        <v>Completed</v>
      </c>
      <c r="N357" s="20" t="n">
        <f aca="false">IF(OR(H357="",I357=""),"",H357*I357)</f>
        <v>30600</v>
      </c>
      <c r="O357" s="20" t="n">
        <f aca="false">IF(N357="","",N357*J357)</f>
        <v>0</v>
      </c>
      <c r="P357" s="20" t="n">
        <f aca="false">IF(N357="","",N357-O357)</f>
        <v>30600</v>
      </c>
      <c r="Q357" s="22" t="n">
        <f aca="false">IF(B357="","",DATE(YEAR(B357),MONTH(B357),1))</f>
        <v>45962</v>
      </c>
      <c r="R357" s="17" t="str">
        <f aca="false">IF(A357="","Invalid - Exclude",IF(COUNTIF($A$2:A357,A357)&gt;1,"Duplicate - Exclude",IF(OR(B357="",H357="",I357=""),"Invalid - Exclude","Valid")))</f>
        <v>Valid</v>
      </c>
      <c r="S357" s="17" t="str">
        <f aca="false">IF(R357="Valid","",IF(R357="Duplicate - Exclude","Repeat of an earlier Order ID",IF(B357="","Date missing or unreadable",IF(H357="","Quantity missing or unreadable",IF(I357="","Unit price missing or unreadable","Order ID missing")))))</f>
        <v/>
      </c>
    </row>
    <row r="358" customFormat="false" ht="15" hidden="false" customHeight="true" outlineLevel="0" collapsed="false">
      <c r="A358" s="9" t="str">
        <f aca="false">UPPER(TRIM(Raw_Data!A358))</f>
        <v>ORD-1341</v>
      </c>
      <c r="B358" s="10" t="n">
        <f aca="false">IFERROR(IF(ISNUMBER(Raw_Data!B358),Raw_Data!B358,IF(ISNUMBER(FIND("/",Raw_Data!B358)),DATE(VALUE(RIGHT(TRIM(Raw_Data!B358),4)),VALUE(MID(TRIM(Raw_Data!B358),4,2)),VALUE(LEFT(TRIM(Raw_Data!B358),2))),IF(MID(TRIM(Raw_Data!B358),5,1)="-",DATE(VALUE(LEFT(TRIM(Raw_Data!B358),4)),VALUE(MID(TRIM(Raw_Data!B358),6,2)),VALUE(RIGHT(TRIM(Raw_Data!B358),2))),DATE(VALUE(RIGHT(TRIM(Raw_Data!B358),4)),MATCH(MID(TRIM(Raw_Data!B358),4,3),{"Jan","Feb","Mar","Apr","May","Jun","Jul","Aug","Sep","Oct","Nov","Dec"},0),VALUE(LEFT(TRIM(Raw_Data!B358),2)))))),"")</f>
        <v>45750</v>
      </c>
      <c r="C358" s="9" t="str">
        <f aca="false">IF(TRIM(Raw_Data!C358)="","Unknown",PROPER(TRIM(Raw_Data!C358)))</f>
        <v>Hassan Iqbal</v>
      </c>
      <c r="D358" s="9" t="str">
        <f aca="false">IFERROR(INDEX({"Punjab","Sindh","KPK","Balochistan"},MATCH(UPPER(LEFT(TRIM(Raw_Data!D358),1)),{"P","S","K","B"},0)),IFERROR(INDEX(Data_Dictionary!$G$4:$G$16,MATCH(E358,Data_Dictionary!$F$4:$F$16,0)),"Unassigned"))</f>
        <v>Sindh</v>
      </c>
      <c r="E358" s="9" t="str">
        <f aca="false">IF(TRIM(Raw_Data!E358)="","Unknown",PROPER(TRIM(Raw_Data!E358)))</f>
        <v>Hyderabad</v>
      </c>
      <c r="F358" s="9" t="str">
        <f aca="false">IFERROR(INDEX({"Electronics","Home &amp; Kitchen","Clothing","Groceries","Beauty"},MATCH(UPPER(LEFT(TRIM(Raw_Data!F358),3)),{"ELE","HOM","CLO","GRO","BEA"},0)),"Uncategorised")</f>
        <v>Groceries</v>
      </c>
      <c r="G358" s="9" t="str">
        <f aca="false">IF(TRIM(Raw_Data!G358)="","Unknown",PROPER(TRIM(Raw_Data!G358)))</f>
        <v>Refined Sugar 10 Kg</v>
      </c>
      <c r="H358" s="11" t="n">
        <f aca="false">IFERROR(ABS(VALUE(TRIM(Raw_Data!H358))),"")</f>
        <v>2</v>
      </c>
      <c r="I358" s="12" t="n">
        <f aca="false">IFERROR(VALUE(TRIM(SUBSTITUTE(SUBSTITUTE(SUBSTITUTE(SUBSTITUTE(TRIM(Raw_Data!I358),"PKR",""),"Rs.",""),"Rs",""),",",""))),"")</f>
        <v>1700</v>
      </c>
      <c r="J358" s="13" t="n">
        <f aca="false">IFERROR(IF(TRIM(Raw_Data!J358)="",0,IF(VALUE(TRIM(Raw_Data!J358))&gt;1,VALUE(TRIM(Raw_Data!J358))/100,VALUE(TRIM(Raw_Data!J358)))),0)</f>
        <v>0.15</v>
      </c>
      <c r="K358" s="9" t="str">
        <f aca="false">IF(TRIM(Raw_Data!K358)="","Unassigned",PROPER(TRIM(Raw_Data!K358)))</f>
        <v>Waqar Ahmed</v>
      </c>
      <c r="L358" s="9" t="str">
        <f aca="false">IFERROR(INDEX({"Credit Card","Credit Card","Debit Card","Debit Card","Cash","PayPal"},MATCH(UPPER(LEFT(TRIM(Raw_Data!L358),2)),{"CR","CC","DE","DC","CA","PA"},0)),"Other")</f>
        <v>Credit Card</v>
      </c>
      <c r="M358" s="9" t="str">
        <f aca="false">IFERROR(INDEX({"Completed","Returned","Cancelled","Pending"},MATCH(UPPER(LEFT(TRIM(Raw_Data!M358),3)),{"COM","RET","CAN","PEN"},0)),"Unknown")</f>
        <v>Completed</v>
      </c>
      <c r="N358" s="14" t="n">
        <f aca="false">IF(OR(H358="",I358=""),"",H358*I358)</f>
        <v>3400</v>
      </c>
      <c r="O358" s="14" t="n">
        <f aca="false">IF(N358="","",N358*J358)</f>
        <v>510</v>
      </c>
      <c r="P358" s="14" t="n">
        <f aca="false">IF(N358="","",N358-O358)</f>
        <v>2890</v>
      </c>
      <c r="Q358" s="15" t="n">
        <f aca="false">IF(B358="","",DATE(YEAR(B358),MONTH(B358),1))</f>
        <v>45748</v>
      </c>
      <c r="R358" s="16" t="str">
        <f aca="false">IF(A358="","Invalid - Exclude",IF(COUNTIF($A$2:A358,A358)&gt;1,"Duplicate - Exclude",IF(OR(B358="",H358="",I358=""),"Invalid - Exclude","Valid")))</f>
        <v>Valid</v>
      </c>
      <c r="S358" s="16" t="str">
        <f aca="false">IF(R358="Valid","",IF(R358="Duplicate - Exclude","Repeat of an earlier Order ID",IF(B358="","Date missing or unreadable",IF(H358="","Quantity missing or unreadable",IF(I358="","Unit price missing or unreadable","Order ID missing")))))</f>
        <v/>
      </c>
    </row>
    <row r="359" customFormat="false" ht="15" hidden="false" customHeight="true" outlineLevel="0" collapsed="false">
      <c r="A359" s="17" t="str">
        <f aca="false">UPPER(TRIM(Raw_Data!A359))</f>
        <v>ORD-1342</v>
      </c>
      <c r="B359" s="18" t="n">
        <f aca="false">IFERROR(IF(ISNUMBER(Raw_Data!B359),Raw_Data!B359,IF(ISNUMBER(FIND("/",Raw_Data!B359)),DATE(VALUE(RIGHT(TRIM(Raw_Data!B359),4)),VALUE(MID(TRIM(Raw_Data!B359),4,2)),VALUE(LEFT(TRIM(Raw_Data!B359),2))),IF(MID(TRIM(Raw_Data!B359),5,1)="-",DATE(VALUE(LEFT(TRIM(Raw_Data!B359),4)),VALUE(MID(TRIM(Raw_Data!B359),6,2)),VALUE(RIGHT(TRIM(Raw_Data!B359),2))),DATE(VALUE(RIGHT(TRIM(Raw_Data!B359),4)),MATCH(MID(TRIM(Raw_Data!B359),4,3),{"Jan","Feb","Mar","Apr","May","Jun","Jul","Aug","Sep","Oct","Nov","Dec"},0),VALUE(LEFT(TRIM(Raw_Data!B359),2)))))),"")</f>
        <v>45801</v>
      </c>
      <c r="C359" s="17" t="str">
        <f aca="false">IF(TRIM(Raw_Data!C359)="","Unknown",PROPER(TRIM(Raw_Data!C359)))</f>
        <v>Sana Sheikh</v>
      </c>
      <c r="D359" s="17" t="str">
        <f aca="false">IFERROR(INDEX({"Punjab","Sindh","KPK","Balochistan"},MATCH(UPPER(LEFT(TRIM(Raw_Data!D359),1)),{"P","S","K","B"},0)),IFERROR(INDEX(Data_Dictionary!$G$4:$G$16,MATCH(E359,Data_Dictionary!$F$4:$F$16,0)),"Unassigned"))</f>
        <v>Punjab</v>
      </c>
      <c r="E359" s="17" t="str">
        <f aca="false">IF(TRIM(Raw_Data!E359)="","Unknown",PROPER(TRIM(Raw_Data!E359)))</f>
        <v>Faisalabad</v>
      </c>
      <c r="F359" s="17" t="str">
        <f aca="false">IFERROR(INDEX({"Electronics","Home &amp; Kitchen","Clothing","Groceries","Beauty"},MATCH(UPPER(LEFT(TRIM(Raw_Data!F359),3)),{"ELE","HOM","CLO","GRO","BEA"},0)),"Uncategorised")</f>
        <v>Clothing</v>
      </c>
      <c r="G359" s="17" t="str">
        <f aca="false">IF(TRIM(Raw_Data!G359)="","Unknown",PROPER(TRIM(Raw_Data!G359)))</f>
        <v>Winter Jacket</v>
      </c>
      <c r="H359" s="19" t="n">
        <f aca="false">IFERROR(ABS(VALUE(TRIM(Raw_Data!H359))),"")</f>
        <v>2</v>
      </c>
      <c r="I359" s="20" t="n">
        <f aca="false">IFERROR(VALUE(TRIM(SUBSTITUTE(SUBSTITUTE(SUBSTITUTE(SUBSTITUTE(TRIM(Raw_Data!I359),"PKR",""),"Rs.",""),"Rs",""),",",""))),"")</f>
        <v>10150</v>
      </c>
      <c r="J359" s="21" t="n">
        <f aca="false">IFERROR(IF(TRIM(Raw_Data!J359)="",0,IF(VALUE(TRIM(Raw_Data!J359))&gt;1,VALUE(TRIM(Raw_Data!J359))/100,VALUE(TRIM(Raw_Data!J359)))),0)</f>
        <v>0.05</v>
      </c>
      <c r="K359" s="17" t="str">
        <f aca="false">IF(TRIM(Raw_Data!K359)="","Unassigned",PROPER(TRIM(Raw_Data!K359)))</f>
        <v>Zoya Tariq</v>
      </c>
      <c r="L359" s="17" t="str">
        <f aca="false">IFERROR(INDEX({"Credit Card","Credit Card","Debit Card","Debit Card","Cash","PayPal"},MATCH(UPPER(LEFT(TRIM(Raw_Data!L359),2)),{"CR","CC","DE","DC","CA","PA"},0)),"Other")</f>
        <v>Cash</v>
      </c>
      <c r="M359" s="17" t="str">
        <f aca="false">IFERROR(INDEX({"Completed","Returned","Cancelled","Pending"},MATCH(UPPER(LEFT(TRIM(Raw_Data!M359),3)),{"COM","RET","CAN","PEN"},0)),"Unknown")</f>
        <v>Completed</v>
      </c>
      <c r="N359" s="20" t="n">
        <f aca="false">IF(OR(H359="",I359=""),"",H359*I359)</f>
        <v>20300</v>
      </c>
      <c r="O359" s="20" t="n">
        <f aca="false">IF(N359="","",N359*J359)</f>
        <v>1015</v>
      </c>
      <c r="P359" s="20" t="n">
        <f aca="false">IF(N359="","",N359-O359)</f>
        <v>19285</v>
      </c>
      <c r="Q359" s="22" t="n">
        <f aca="false">IF(B359="","",DATE(YEAR(B359),MONTH(B359),1))</f>
        <v>45778</v>
      </c>
      <c r="R359" s="17" t="str">
        <f aca="false">IF(A359="","Invalid - Exclude",IF(COUNTIF($A$2:A359,A359)&gt;1,"Duplicate - Exclude",IF(OR(B359="",H359="",I359=""),"Invalid - Exclude","Valid")))</f>
        <v>Valid</v>
      </c>
      <c r="S359" s="17" t="str">
        <f aca="false">IF(R359="Valid","",IF(R359="Duplicate - Exclude","Repeat of an earlier Order ID",IF(B359="","Date missing or unreadable",IF(H359="","Quantity missing or unreadable",IF(I359="","Unit price missing or unreadable","Order ID missing")))))</f>
        <v/>
      </c>
    </row>
    <row r="360" customFormat="false" ht="15" hidden="false" customHeight="true" outlineLevel="0" collapsed="false">
      <c r="A360" s="9" t="str">
        <f aca="false">UPPER(TRIM(Raw_Data!A360))</f>
        <v>ORD-1343</v>
      </c>
      <c r="B360" s="10" t="n">
        <f aca="false">IFERROR(IF(ISNUMBER(Raw_Data!B360),Raw_Data!B360,IF(ISNUMBER(FIND("/",Raw_Data!B360)),DATE(VALUE(RIGHT(TRIM(Raw_Data!B360),4)),VALUE(MID(TRIM(Raw_Data!B360),4,2)),VALUE(LEFT(TRIM(Raw_Data!B360),2))),IF(MID(TRIM(Raw_Data!B360),5,1)="-",DATE(VALUE(LEFT(TRIM(Raw_Data!B360),4)),VALUE(MID(TRIM(Raw_Data!B360),6,2)),VALUE(RIGHT(TRIM(Raw_Data!B360),2))),DATE(VALUE(RIGHT(TRIM(Raw_Data!B360),4)),MATCH(MID(TRIM(Raw_Data!B360),4,3),{"Jan","Feb","Mar","Apr","May","Jun","Jul","Aug","Sep","Oct","Nov","Dec"},0),VALUE(LEFT(TRIM(Raw_Data!B360),2)))))),"")</f>
        <v>45763</v>
      </c>
      <c r="C360" s="9" t="str">
        <f aca="false">IF(TRIM(Raw_Data!C360)="","Unknown",PROPER(TRIM(Raw_Data!C360)))</f>
        <v>Hamza Hussain</v>
      </c>
      <c r="D360" s="9" t="str">
        <f aca="false">IFERROR(INDEX({"Punjab","Sindh","KPK","Balochistan"},MATCH(UPPER(LEFT(TRIM(Raw_Data!D360),1)),{"P","S","K","B"},0)),IFERROR(INDEX(Data_Dictionary!$G$4:$G$16,MATCH(E360,Data_Dictionary!$F$4:$F$16,0)),"Unassigned"))</f>
        <v>Punjab</v>
      </c>
      <c r="E360" s="9" t="str">
        <f aca="false">IF(TRIM(Raw_Data!E360)="","Unknown",PROPER(TRIM(Raw_Data!E360)))</f>
        <v>Faisalabad</v>
      </c>
      <c r="F360" s="9" t="str">
        <f aca="false">IFERROR(INDEX({"Electronics","Home &amp; Kitchen","Clothing","Groceries","Beauty"},MATCH(UPPER(LEFT(TRIM(Raw_Data!F360),3)),{"ELE","HOM","CLO","GRO","BEA"},0)),"Uncategorised")</f>
        <v>Home &amp; Kitchen</v>
      </c>
      <c r="G360" s="9" t="str">
        <f aca="false">IF(TRIM(Raw_Data!G360)="","Unknown",PROPER(TRIM(Raw_Data!G360)))</f>
        <v>Hand Blender</v>
      </c>
      <c r="H360" s="11" t="n">
        <f aca="false">IFERROR(ABS(VALUE(TRIM(Raw_Data!H360))),"")</f>
        <v>3</v>
      </c>
      <c r="I360" s="12" t="n">
        <f aca="false">IFERROR(VALUE(TRIM(SUBSTITUTE(SUBSTITUTE(SUBSTITUTE(SUBSTITUTE(TRIM(Raw_Data!I360),"PKR",""),"Rs.",""),"Rs",""),",",""))),"")</f>
        <v>3750</v>
      </c>
      <c r="J360" s="13" t="n">
        <f aca="false">IFERROR(IF(TRIM(Raw_Data!J360)="",0,IF(VALUE(TRIM(Raw_Data!J360))&gt;1,VALUE(TRIM(Raw_Data!J360))/100,VALUE(TRIM(Raw_Data!J360)))),0)</f>
        <v>0.1</v>
      </c>
      <c r="K360" s="9" t="str">
        <f aca="false">IF(TRIM(Raw_Data!K360)="","Unassigned",PROPER(TRIM(Raw_Data!K360)))</f>
        <v>Waqar Ahmed</v>
      </c>
      <c r="L360" s="9" t="str">
        <f aca="false">IFERROR(INDEX({"Credit Card","Credit Card","Debit Card","Debit Card","Cash","PayPal"},MATCH(UPPER(LEFT(TRIM(Raw_Data!L360),2)),{"CR","CC","DE","DC","CA","PA"},0)),"Other")</f>
        <v>Credit Card</v>
      </c>
      <c r="M360" s="9" t="str">
        <f aca="false">IFERROR(INDEX({"Completed","Returned","Cancelled","Pending"},MATCH(UPPER(LEFT(TRIM(Raw_Data!M360),3)),{"COM","RET","CAN","PEN"},0)),"Unknown")</f>
        <v>Completed</v>
      </c>
      <c r="N360" s="14" t="n">
        <f aca="false">IF(OR(H360="",I360=""),"",H360*I360)</f>
        <v>11250</v>
      </c>
      <c r="O360" s="14" t="n">
        <f aca="false">IF(N360="","",N360*J360)</f>
        <v>1125</v>
      </c>
      <c r="P360" s="14" t="n">
        <f aca="false">IF(N360="","",N360-O360)</f>
        <v>10125</v>
      </c>
      <c r="Q360" s="15" t="n">
        <f aca="false">IF(B360="","",DATE(YEAR(B360),MONTH(B360),1))</f>
        <v>45748</v>
      </c>
      <c r="R360" s="16" t="str">
        <f aca="false">IF(A360="","Invalid - Exclude",IF(COUNTIF($A$2:A360,A360)&gt;1,"Duplicate - Exclude",IF(OR(B360="",H360="",I360=""),"Invalid - Exclude","Valid")))</f>
        <v>Valid</v>
      </c>
      <c r="S360" s="16" t="str">
        <f aca="false">IF(R360="Valid","",IF(R360="Duplicate - Exclude","Repeat of an earlier Order ID",IF(B360="","Date missing or unreadable",IF(H360="","Quantity missing or unreadable",IF(I360="","Unit price missing or unreadable","Order ID missing")))))</f>
        <v/>
      </c>
    </row>
    <row r="361" customFormat="false" ht="15" hidden="false" customHeight="true" outlineLevel="0" collapsed="false">
      <c r="A361" s="17" t="str">
        <f aca="false">UPPER(TRIM(Raw_Data!A361))</f>
        <v>ORD-1264</v>
      </c>
      <c r="B361" s="18" t="n">
        <f aca="false">IFERROR(IF(ISNUMBER(Raw_Data!B361),Raw_Data!B361,IF(ISNUMBER(FIND("/",Raw_Data!B361)),DATE(VALUE(RIGHT(TRIM(Raw_Data!B361),4)),VALUE(MID(TRIM(Raw_Data!B361),4,2)),VALUE(LEFT(TRIM(Raw_Data!B361),2))),IF(MID(TRIM(Raw_Data!B361),5,1)="-",DATE(VALUE(LEFT(TRIM(Raw_Data!B361),4)),VALUE(MID(TRIM(Raw_Data!B361),6,2)),VALUE(RIGHT(TRIM(Raw_Data!B361),2))),DATE(VALUE(RIGHT(TRIM(Raw_Data!B361),4)),MATCH(MID(TRIM(Raw_Data!B361),4,3),{"Jan","Feb","Mar","Apr","May","Jun","Jul","Aug","Sep","Oct","Nov","Dec"},0),VALUE(LEFT(TRIM(Raw_Data!B361),2)))))),"")</f>
        <v>45758</v>
      </c>
      <c r="C361" s="17" t="str">
        <f aca="false">IF(TRIM(Raw_Data!C361)="","Unknown",PROPER(TRIM(Raw_Data!C361)))</f>
        <v>Ali Malik</v>
      </c>
      <c r="D361" s="17" t="str">
        <f aca="false">IFERROR(INDEX({"Punjab","Sindh","KPK","Balochistan"},MATCH(UPPER(LEFT(TRIM(Raw_Data!D361),1)),{"P","S","K","B"},0)),IFERROR(INDEX(Data_Dictionary!$G$4:$G$16,MATCH(E361,Data_Dictionary!$F$4:$F$16,0)),"Unassigned"))</f>
        <v>KPK</v>
      </c>
      <c r="E361" s="17" t="str">
        <f aca="false">IF(TRIM(Raw_Data!E361)="","Unknown",PROPER(TRIM(Raw_Data!E361)))</f>
        <v>Mardan</v>
      </c>
      <c r="F361" s="17" t="str">
        <f aca="false">IFERROR(INDEX({"Electronics","Home &amp; Kitchen","Clothing","Groceries","Beauty"},MATCH(UPPER(LEFT(TRIM(Raw_Data!F361),3)),{"ELE","HOM","CLO","GRO","BEA"},0)),"Uncategorised")</f>
        <v>Clothing</v>
      </c>
      <c r="G361" s="17" t="str">
        <f aca="false">IF(TRIM(Raw_Data!G361)="","Unknown",PROPER(TRIM(Raw_Data!G361)))</f>
        <v>Lawn Suit 3 Piece</v>
      </c>
      <c r="H361" s="19" t="n">
        <f aca="false">IFERROR(ABS(VALUE(TRIM(Raw_Data!H361))),"")</f>
        <v>7</v>
      </c>
      <c r="I361" s="20" t="n">
        <f aca="false">IFERROR(VALUE(TRIM(SUBSTITUTE(SUBSTITUTE(SUBSTITUTE(SUBSTITUTE(TRIM(Raw_Data!I361),"PKR",""),"Rs.",""),"Rs",""),",",""))),"")</f>
        <v>6950</v>
      </c>
      <c r="J361" s="21" t="n">
        <f aca="false">IFERROR(IF(TRIM(Raw_Data!J361)="",0,IF(VALUE(TRIM(Raw_Data!J361))&gt;1,VALUE(TRIM(Raw_Data!J361))/100,VALUE(TRIM(Raw_Data!J361)))),0)</f>
        <v>0.15</v>
      </c>
      <c r="K361" s="17" t="str">
        <f aca="false">IF(TRIM(Raw_Data!K361)="","Unassigned",PROPER(TRIM(Raw_Data!K361)))</f>
        <v>Nimra Aslam</v>
      </c>
      <c r="L361" s="17" t="str">
        <f aca="false">IFERROR(INDEX({"Credit Card","Credit Card","Debit Card","Debit Card","Cash","PayPal"},MATCH(UPPER(LEFT(TRIM(Raw_Data!L361),2)),{"CR","CC","DE","DC","CA","PA"},0)),"Other")</f>
        <v>Cash</v>
      </c>
      <c r="M361" s="17" t="str">
        <f aca="false">IFERROR(INDEX({"Completed","Returned","Cancelled","Pending"},MATCH(UPPER(LEFT(TRIM(Raw_Data!M361),3)),{"COM","RET","CAN","PEN"},0)),"Unknown")</f>
        <v>Completed</v>
      </c>
      <c r="N361" s="20" t="n">
        <f aca="false">IF(OR(H361="",I361=""),"",H361*I361)</f>
        <v>48650</v>
      </c>
      <c r="O361" s="20" t="n">
        <f aca="false">IF(N361="","",N361*J361)</f>
        <v>7297.5</v>
      </c>
      <c r="P361" s="20" t="n">
        <f aca="false">IF(N361="","",N361-O361)</f>
        <v>41352.5</v>
      </c>
      <c r="Q361" s="22" t="n">
        <f aca="false">IF(B361="","",DATE(YEAR(B361),MONTH(B361),1))</f>
        <v>45748</v>
      </c>
      <c r="R361" s="17" t="str">
        <f aca="false">IF(A361="","Invalid - Exclude",IF(COUNTIF($A$2:A361,A361)&gt;1,"Duplicate - Exclude",IF(OR(B361="",H361="",I361=""),"Invalid - Exclude","Valid")))</f>
        <v>Duplicate - Exclude</v>
      </c>
      <c r="S361" s="17" t="str">
        <f aca="false">IF(R361="Valid","",IF(R361="Duplicate - Exclude","Repeat of an earlier Order ID",IF(B361="","Date missing or unreadable",IF(H361="","Quantity missing or unreadable",IF(I361="","Unit price missing or unreadable","Order ID missing")))))</f>
        <v>Repeat of an earlier Order ID</v>
      </c>
    </row>
    <row r="362" customFormat="false" ht="15" hidden="false" customHeight="true" outlineLevel="0" collapsed="false">
      <c r="A362" s="9" t="str">
        <f aca="false">UPPER(TRIM(Raw_Data!A362))</f>
        <v>ORD-1344</v>
      </c>
      <c r="B362" s="10" t="n">
        <f aca="false">IFERROR(IF(ISNUMBER(Raw_Data!B362),Raw_Data!B362,IF(ISNUMBER(FIND("/",Raw_Data!B362)),DATE(VALUE(RIGHT(TRIM(Raw_Data!B362),4)),VALUE(MID(TRIM(Raw_Data!B362),4,2)),VALUE(LEFT(TRIM(Raw_Data!B362),2))),IF(MID(TRIM(Raw_Data!B362),5,1)="-",DATE(VALUE(LEFT(TRIM(Raw_Data!B362),4)),VALUE(MID(TRIM(Raw_Data!B362),6,2)),VALUE(RIGHT(TRIM(Raw_Data!B362),2))),DATE(VALUE(RIGHT(TRIM(Raw_Data!B362),4)),MATCH(MID(TRIM(Raw_Data!B362),4,3),{"Jan","Feb","Mar","Apr","May","Jun","Jul","Aug","Sep","Oct","Nov","Dec"},0),VALUE(LEFT(TRIM(Raw_Data!B362),2)))))),"")</f>
        <v>45750</v>
      </c>
      <c r="C362" s="9" t="str">
        <f aca="false">IF(TRIM(Raw_Data!C362)="","Unknown",PROPER(TRIM(Raw_Data!C362)))</f>
        <v>Saad Iqbal</v>
      </c>
      <c r="D362" s="9" t="str">
        <f aca="false">IFERROR(INDEX({"Punjab","Sindh","KPK","Balochistan"},MATCH(UPPER(LEFT(TRIM(Raw_Data!D362),1)),{"P","S","K","B"},0)),IFERROR(INDEX(Data_Dictionary!$G$4:$G$16,MATCH(E362,Data_Dictionary!$F$4:$F$16,0)),"Unassigned"))</f>
        <v>KPK</v>
      </c>
      <c r="E362" s="9" t="str">
        <f aca="false">IF(TRIM(Raw_Data!E362)="","Unknown",PROPER(TRIM(Raw_Data!E362)))</f>
        <v>Peshawar</v>
      </c>
      <c r="F362" s="9" t="str">
        <f aca="false">IFERROR(INDEX({"Electronics","Home &amp; Kitchen","Clothing","Groceries","Beauty"},MATCH(UPPER(LEFT(TRIM(Raw_Data!F362),3)),{"ELE","HOM","CLO","GRO","BEA"},0)),"Uncategorised")</f>
        <v>Electronics</v>
      </c>
      <c r="G362" s="9" t="str">
        <f aca="false">IF(TRIM(Raw_Data!G362)="","Unknown",PROPER(TRIM(Raw_Data!G362)))</f>
        <v>Bluetooth Speaker</v>
      </c>
      <c r="H362" s="11" t="n">
        <f aca="false">IFERROR(ABS(VALUE(TRIM(Raw_Data!H362))),"")</f>
        <v>2</v>
      </c>
      <c r="I362" s="12" t="n">
        <f aca="false">IFERROR(VALUE(TRIM(SUBSTITUTE(SUBSTITUTE(SUBSTITUTE(SUBSTITUTE(TRIM(Raw_Data!I362),"PKR",""),"Rs.",""),"Rs",""),",",""))),"")</f>
        <v>4500</v>
      </c>
      <c r="J362" s="13" t="n">
        <f aca="false">IFERROR(IF(TRIM(Raw_Data!J362)="",0,IF(VALUE(TRIM(Raw_Data!J362))&gt;1,VALUE(TRIM(Raw_Data!J362))/100,VALUE(TRIM(Raw_Data!J362)))),0)</f>
        <v>0.1</v>
      </c>
      <c r="K362" s="9" t="str">
        <f aca="false">IF(TRIM(Raw_Data!K362)="","Unassigned",PROPER(TRIM(Raw_Data!K362)))</f>
        <v>Waqar Ahmed</v>
      </c>
      <c r="L362" s="9" t="str">
        <f aca="false">IFERROR(INDEX({"Credit Card","Credit Card","Debit Card","Debit Card","Cash","PayPal"},MATCH(UPPER(LEFT(TRIM(Raw_Data!L362),2)),{"CR","CC","DE","DC","CA","PA"},0)),"Other")</f>
        <v>PayPal</v>
      </c>
      <c r="M362" s="9" t="str">
        <f aca="false">IFERROR(INDEX({"Completed","Returned","Cancelled","Pending"},MATCH(UPPER(LEFT(TRIM(Raw_Data!M362),3)),{"COM","RET","CAN","PEN"},0)),"Unknown")</f>
        <v>Completed</v>
      </c>
      <c r="N362" s="14" t="n">
        <f aca="false">IF(OR(H362="",I362=""),"",H362*I362)</f>
        <v>9000</v>
      </c>
      <c r="O362" s="14" t="n">
        <f aca="false">IF(N362="","",N362*J362)</f>
        <v>900</v>
      </c>
      <c r="P362" s="14" t="n">
        <f aca="false">IF(N362="","",N362-O362)</f>
        <v>8100</v>
      </c>
      <c r="Q362" s="15" t="n">
        <f aca="false">IF(B362="","",DATE(YEAR(B362),MONTH(B362),1))</f>
        <v>45748</v>
      </c>
      <c r="R362" s="16" t="str">
        <f aca="false">IF(A362="","Invalid - Exclude",IF(COUNTIF($A$2:A362,A362)&gt;1,"Duplicate - Exclude",IF(OR(B362="",H362="",I362=""),"Invalid - Exclude","Valid")))</f>
        <v>Valid</v>
      </c>
      <c r="S362" s="16" t="str">
        <f aca="false">IF(R362="Valid","",IF(R362="Duplicate - Exclude","Repeat of an earlier Order ID",IF(B362="","Date missing or unreadable",IF(H362="","Quantity missing or unreadable",IF(I362="","Unit price missing or unreadable","Order ID missing")))))</f>
        <v/>
      </c>
    </row>
    <row r="363" customFormat="false" ht="15" hidden="false" customHeight="true" outlineLevel="0" collapsed="false">
      <c r="A363" s="17" t="str">
        <f aca="false">UPPER(TRIM(Raw_Data!A363))</f>
        <v>ORD-1345</v>
      </c>
      <c r="B363" s="18" t="n">
        <f aca="false">IFERROR(IF(ISNUMBER(Raw_Data!B363),Raw_Data!B363,IF(ISNUMBER(FIND("/",Raw_Data!B363)),DATE(VALUE(RIGHT(TRIM(Raw_Data!B363),4)),VALUE(MID(TRIM(Raw_Data!B363),4,2)),VALUE(LEFT(TRIM(Raw_Data!B363),2))),IF(MID(TRIM(Raw_Data!B363),5,1)="-",DATE(VALUE(LEFT(TRIM(Raw_Data!B363),4)),VALUE(MID(TRIM(Raw_Data!B363),6,2)),VALUE(RIGHT(TRIM(Raw_Data!B363),2))),DATE(VALUE(RIGHT(TRIM(Raw_Data!B363),4)),MATCH(MID(TRIM(Raw_Data!B363),4,3),{"Jan","Feb","Mar","Apr","May","Jun","Jul","Aug","Sep","Oct","Nov","Dec"},0),VALUE(LEFT(TRIM(Raw_Data!B363),2)))))),"")</f>
        <v>45809</v>
      </c>
      <c r="C363" s="17" t="str">
        <f aca="false">IF(TRIM(Raw_Data!C363)="","Unknown",PROPER(TRIM(Raw_Data!C363)))</f>
        <v>Sana Siddiqui</v>
      </c>
      <c r="D363" s="17" t="str">
        <f aca="false">IFERROR(INDEX({"Punjab","Sindh","KPK","Balochistan"},MATCH(UPPER(LEFT(TRIM(Raw_Data!D363),1)),{"P","S","K","B"},0)),IFERROR(INDEX(Data_Dictionary!$G$4:$G$16,MATCH(E363,Data_Dictionary!$F$4:$F$16,0)),"Unassigned"))</f>
        <v>Punjab</v>
      </c>
      <c r="E363" s="17" t="str">
        <f aca="false">IF(TRIM(Raw_Data!E363)="","Unknown",PROPER(TRIM(Raw_Data!E363)))</f>
        <v>Rawalpindi</v>
      </c>
      <c r="F363" s="17" t="str">
        <f aca="false">IFERROR(INDEX({"Electronics","Home &amp; Kitchen","Clothing","Groceries","Beauty"},MATCH(UPPER(LEFT(TRIM(Raw_Data!F363),3)),{"ELE","HOM","CLO","GRO","BEA"},0)),"Uncategorised")</f>
        <v>Groceries</v>
      </c>
      <c r="G363" s="17" t="str">
        <f aca="false">IF(TRIM(Raw_Data!G363)="","Unknown",PROPER(TRIM(Raw_Data!G363)))</f>
        <v>Basmati Rice 5 Kg</v>
      </c>
      <c r="H363" s="19" t="n">
        <f aca="false">IFERROR(ABS(VALUE(TRIM(Raw_Data!H363))),"")</f>
        <v>4</v>
      </c>
      <c r="I363" s="20" t="str">
        <f aca="false">IFERROR(VALUE(TRIM(SUBSTITUTE(SUBSTITUTE(SUBSTITUTE(SUBSTITUTE(TRIM(Raw_Data!I363),"PKR",""),"Rs.",""),"Rs",""),",",""))),"")</f>
        <v/>
      </c>
      <c r="J363" s="21" t="n">
        <f aca="false">IFERROR(IF(TRIM(Raw_Data!J363)="",0,IF(VALUE(TRIM(Raw_Data!J363))&gt;1,VALUE(TRIM(Raw_Data!J363))/100,VALUE(TRIM(Raw_Data!J363)))),0)</f>
        <v>0.05</v>
      </c>
      <c r="K363" s="17" t="str">
        <f aca="false">IF(TRIM(Raw_Data!K363)="","Unassigned",PROPER(TRIM(Raw_Data!K363)))</f>
        <v>Sadia Noor</v>
      </c>
      <c r="L363" s="17" t="str">
        <f aca="false">IFERROR(INDEX({"Credit Card","Credit Card","Debit Card","Debit Card","Cash","PayPal"},MATCH(UPPER(LEFT(TRIM(Raw_Data!L363),2)),{"CR","CC","DE","DC","CA","PA"},0)),"Other")</f>
        <v>Credit Card</v>
      </c>
      <c r="M363" s="17" t="str">
        <f aca="false">IFERROR(INDEX({"Completed","Returned","Cancelled","Pending"},MATCH(UPPER(LEFT(TRIM(Raw_Data!M363),3)),{"COM","RET","CAN","PEN"},0)),"Unknown")</f>
        <v>Completed</v>
      </c>
      <c r="N363" s="20" t="str">
        <f aca="false">IF(OR(H363="",I363=""),"",H363*I363)</f>
        <v/>
      </c>
      <c r="O363" s="20" t="str">
        <f aca="false">IF(N363="","",N363*J363)</f>
        <v/>
      </c>
      <c r="P363" s="20" t="str">
        <f aca="false">IF(N363="","",N363-O363)</f>
        <v/>
      </c>
      <c r="Q363" s="22" t="n">
        <f aca="false">IF(B363="","",DATE(YEAR(B363),MONTH(B363),1))</f>
        <v>45809</v>
      </c>
      <c r="R363" s="17" t="str">
        <f aca="false">IF(A363="","Invalid - Exclude",IF(COUNTIF($A$2:A363,A363)&gt;1,"Duplicate - Exclude",IF(OR(B363="",H363="",I363=""),"Invalid - Exclude","Valid")))</f>
        <v>Invalid - Exclude</v>
      </c>
      <c r="S363" s="17" t="str">
        <f aca="false">IF(R363="Valid","",IF(R363="Duplicate - Exclude","Repeat of an earlier Order ID",IF(B363="","Date missing or unreadable",IF(H363="","Quantity missing or unreadable",IF(I363="","Unit price missing or unreadable","Order ID missing")))))</f>
        <v>Unit price missing or unreadable</v>
      </c>
    </row>
    <row r="364" customFormat="false" ht="15" hidden="false" customHeight="true" outlineLevel="0" collapsed="false">
      <c r="A364" s="9" t="str">
        <f aca="false">UPPER(TRIM(Raw_Data!A364))</f>
        <v>ORD-1346</v>
      </c>
      <c r="B364" s="10" t="n">
        <f aca="false">IFERROR(IF(ISNUMBER(Raw_Data!B364),Raw_Data!B364,IF(ISNUMBER(FIND("/",Raw_Data!B364)),DATE(VALUE(RIGHT(TRIM(Raw_Data!B364),4)),VALUE(MID(TRIM(Raw_Data!B364),4,2)),VALUE(LEFT(TRIM(Raw_Data!B364),2))),IF(MID(TRIM(Raw_Data!B364),5,1)="-",DATE(VALUE(LEFT(TRIM(Raw_Data!B364),4)),VALUE(MID(TRIM(Raw_Data!B364),6,2)),VALUE(RIGHT(TRIM(Raw_Data!B364),2))),DATE(VALUE(RIGHT(TRIM(Raw_Data!B364),4)),MATCH(MID(TRIM(Raw_Data!B364),4,3),{"Jan","Feb","Mar","Apr","May","Jun","Jul","Aug","Sep","Oct","Nov","Dec"},0),VALUE(LEFT(TRIM(Raw_Data!B364),2)))))),"")</f>
        <v>45968</v>
      </c>
      <c r="C364" s="9" t="str">
        <f aca="false">IF(TRIM(Raw_Data!C364)="","Unknown",PROPER(TRIM(Raw_Data!C364)))</f>
        <v>Rabia Qureshi</v>
      </c>
      <c r="D364" s="9" t="str">
        <f aca="false">IFERROR(INDEX({"Punjab","Sindh","KPK","Balochistan"},MATCH(UPPER(LEFT(TRIM(Raw_Data!D364),1)),{"P","S","K","B"},0)),IFERROR(INDEX(Data_Dictionary!$G$4:$G$16,MATCH(E364,Data_Dictionary!$F$4:$F$16,0)),"Unassigned"))</f>
        <v>Punjab</v>
      </c>
      <c r="E364" s="9" t="str">
        <f aca="false">IF(TRIM(Raw_Data!E364)="","Unknown",PROPER(TRIM(Raw_Data!E364)))</f>
        <v>Rawalpindi</v>
      </c>
      <c r="F364" s="9" t="str">
        <f aca="false">IFERROR(INDEX({"Electronics","Home &amp; Kitchen","Clothing","Groceries","Beauty"},MATCH(UPPER(LEFT(TRIM(Raw_Data!F364),3)),{"ELE","HOM","CLO","GRO","BEA"},0)),"Uncategorised")</f>
        <v>Home &amp; Kitchen</v>
      </c>
      <c r="G364" s="9" t="str">
        <f aca="false">IF(TRIM(Raw_Data!G364)="","Unknown",PROPER(TRIM(Raw_Data!G364)))</f>
        <v>Bedsheet Set</v>
      </c>
      <c r="H364" s="11" t="n">
        <f aca="false">IFERROR(ABS(VALUE(TRIM(Raw_Data!H364))),"")</f>
        <v>3</v>
      </c>
      <c r="I364" s="12" t="n">
        <f aca="false">IFERROR(VALUE(TRIM(SUBSTITUTE(SUBSTITUTE(SUBSTITUTE(SUBSTITUTE(TRIM(Raw_Data!I364),"PKR",""),"Rs.",""),"Rs",""),",",""))),"")</f>
        <v>5400</v>
      </c>
      <c r="J364" s="13" t="n">
        <f aca="false">IFERROR(IF(TRIM(Raw_Data!J364)="",0,IF(VALUE(TRIM(Raw_Data!J364))&gt;1,VALUE(TRIM(Raw_Data!J364))/100,VALUE(TRIM(Raw_Data!J364)))),0)</f>
        <v>0</v>
      </c>
      <c r="K364" s="9" t="str">
        <f aca="false">IF(TRIM(Raw_Data!K364)="","Unassigned",PROPER(TRIM(Raw_Data!K364)))</f>
        <v>Zoya Tariq</v>
      </c>
      <c r="L364" s="9" t="str">
        <f aca="false">IFERROR(INDEX({"Credit Card","Credit Card","Debit Card","Debit Card","Cash","PayPal"},MATCH(UPPER(LEFT(TRIM(Raw_Data!L364),2)),{"CR","CC","DE","DC","CA","PA"},0)),"Other")</f>
        <v>PayPal</v>
      </c>
      <c r="M364" s="9" t="str">
        <f aca="false">IFERROR(INDEX({"Completed","Returned","Cancelled","Pending"},MATCH(UPPER(LEFT(TRIM(Raw_Data!M364),3)),{"COM","RET","CAN","PEN"},0)),"Unknown")</f>
        <v>Completed</v>
      </c>
      <c r="N364" s="14" t="n">
        <f aca="false">IF(OR(H364="",I364=""),"",H364*I364)</f>
        <v>16200</v>
      </c>
      <c r="O364" s="14" t="n">
        <f aca="false">IF(N364="","",N364*J364)</f>
        <v>0</v>
      </c>
      <c r="P364" s="14" t="n">
        <f aca="false">IF(N364="","",N364-O364)</f>
        <v>16200</v>
      </c>
      <c r="Q364" s="15" t="n">
        <f aca="false">IF(B364="","",DATE(YEAR(B364),MONTH(B364),1))</f>
        <v>45962</v>
      </c>
      <c r="R364" s="16" t="str">
        <f aca="false">IF(A364="","Invalid - Exclude",IF(COUNTIF($A$2:A364,A364)&gt;1,"Duplicate - Exclude",IF(OR(B364="",H364="",I364=""),"Invalid - Exclude","Valid")))</f>
        <v>Valid</v>
      </c>
      <c r="S364" s="16" t="str">
        <f aca="false">IF(R364="Valid","",IF(R364="Duplicate - Exclude","Repeat of an earlier Order ID",IF(B364="","Date missing or unreadable",IF(H364="","Quantity missing or unreadable",IF(I364="","Unit price missing or unreadable","Order ID missing")))))</f>
        <v/>
      </c>
    </row>
    <row r="365" customFormat="false" ht="15" hidden="false" customHeight="true" outlineLevel="0" collapsed="false">
      <c r="A365" s="17" t="str">
        <f aca="false">UPPER(TRIM(Raw_Data!A365))</f>
        <v>ORD-1347</v>
      </c>
      <c r="B365" s="18" t="n">
        <f aca="false">IFERROR(IF(ISNUMBER(Raw_Data!B365),Raw_Data!B365,IF(ISNUMBER(FIND("/",Raw_Data!B365)),DATE(VALUE(RIGHT(TRIM(Raw_Data!B365),4)),VALUE(MID(TRIM(Raw_Data!B365),4,2)),VALUE(LEFT(TRIM(Raw_Data!B365),2))),IF(MID(TRIM(Raw_Data!B365),5,1)="-",DATE(VALUE(LEFT(TRIM(Raw_Data!B365),4)),VALUE(MID(TRIM(Raw_Data!B365),6,2)),VALUE(RIGHT(TRIM(Raw_Data!B365),2))),DATE(VALUE(RIGHT(TRIM(Raw_Data!B365),4)),MATCH(MID(TRIM(Raw_Data!B365),4,3),{"Jan","Feb","Mar","Apr","May","Jun","Jul","Aug","Sep","Oct","Nov","Dec"},0),VALUE(LEFT(TRIM(Raw_Data!B365),2)))))),"")</f>
        <v>45662</v>
      </c>
      <c r="C365" s="17" t="str">
        <f aca="false">IF(TRIM(Raw_Data!C365)="","Unknown",PROPER(TRIM(Raw_Data!C365)))</f>
        <v>Bilal Hussain</v>
      </c>
      <c r="D365" s="17" t="str">
        <f aca="false">IFERROR(INDEX({"Punjab","Sindh","KPK","Balochistan"},MATCH(UPPER(LEFT(TRIM(Raw_Data!D365),1)),{"P","S","K","B"},0)),IFERROR(INDEX(Data_Dictionary!$G$4:$G$16,MATCH(E365,Data_Dictionary!$F$4:$F$16,0)),"Unassigned"))</f>
        <v>Punjab</v>
      </c>
      <c r="E365" s="17" t="str">
        <f aca="false">IF(TRIM(Raw_Data!E365)="","Unknown",PROPER(TRIM(Raw_Data!E365)))</f>
        <v>Lahore</v>
      </c>
      <c r="F365" s="17" t="str">
        <f aca="false">IFERROR(INDEX({"Electronics","Home &amp; Kitchen","Clothing","Groceries","Beauty"},MATCH(UPPER(LEFT(TRIM(Raw_Data!F365),3)),{"ELE","HOM","CLO","GRO","BEA"},0)),"Uncategorised")</f>
        <v>Electronics</v>
      </c>
      <c r="G365" s="17" t="str">
        <f aca="false">IF(TRIM(Raw_Data!G365)="","Unknown",PROPER(TRIM(Raw_Data!G365)))</f>
        <v>Wireless Earbuds</v>
      </c>
      <c r="H365" s="19" t="n">
        <f aca="false">IFERROR(ABS(VALUE(TRIM(Raw_Data!H365))),"")</f>
        <v>2</v>
      </c>
      <c r="I365" s="20" t="n">
        <f aca="false">IFERROR(VALUE(TRIM(SUBSTITUTE(SUBSTITUTE(SUBSTITUTE(SUBSTITUTE(TRIM(Raw_Data!I365),"PKR",""),"Rs.",""),"Rs",""),",",""))),"")</f>
        <v>6350</v>
      </c>
      <c r="J365" s="21" t="n">
        <f aca="false">IFERROR(IF(TRIM(Raw_Data!J365)="",0,IF(VALUE(TRIM(Raw_Data!J365))&gt;1,VALUE(TRIM(Raw_Data!J365))/100,VALUE(TRIM(Raw_Data!J365)))),0)</f>
        <v>0.1</v>
      </c>
      <c r="K365" s="17" t="str">
        <f aca="false">IF(TRIM(Raw_Data!K365)="","Unassigned",PROPER(TRIM(Raw_Data!K365)))</f>
        <v>Sadia Noor</v>
      </c>
      <c r="L365" s="17" t="str">
        <f aca="false">IFERROR(INDEX({"Credit Card","Credit Card","Debit Card","Debit Card","Cash","PayPal"},MATCH(UPPER(LEFT(TRIM(Raw_Data!L365),2)),{"CR","CC","DE","DC","CA","PA"},0)),"Other")</f>
        <v>Credit Card</v>
      </c>
      <c r="M365" s="17" t="str">
        <f aca="false">IFERROR(INDEX({"Completed","Returned","Cancelled","Pending"},MATCH(UPPER(LEFT(TRIM(Raw_Data!M365),3)),{"COM","RET","CAN","PEN"},0)),"Unknown")</f>
        <v>Completed</v>
      </c>
      <c r="N365" s="20" t="n">
        <f aca="false">IF(OR(H365="",I365=""),"",H365*I365)</f>
        <v>12700</v>
      </c>
      <c r="O365" s="20" t="n">
        <f aca="false">IF(N365="","",N365*J365)</f>
        <v>1270</v>
      </c>
      <c r="P365" s="20" t="n">
        <f aca="false">IF(N365="","",N365-O365)</f>
        <v>11430</v>
      </c>
      <c r="Q365" s="22" t="n">
        <f aca="false">IF(B365="","",DATE(YEAR(B365),MONTH(B365),1))</f>
        <v>45658</v>
      </c>
      <c r="R365" s="17" t="str">
        <f aca="false">IF(A365="","Invalid - Exclude",IF(COUNTIF($A$2:A365,A365)&gt;1,"Duplicate - Exclude",IF(OR(B365="",H365="",I365=""),"Invalid - Exclude","Valid")))</f>
        <v>Valid</v>
      </c>
      <c r="S365" s="17" t="str">
        <f aca="false">IF(R365="Valid","",IF(R365="Duplicate - Exclude","Repeat of an earlier Order ID",IF(B365="","Date missing or unreadable",IF(H365="","Quantity missing or unreadable",IF(I365="","Unit price missing or unreadable","Order ID missing")))))</f>
        <v/>
      </c>
    </row>
    <row r="366" customFormat="false" ht="15" hidden="false" customHeight="true" outlineLevel="0" collapsed="false">
      <c r="A366" s="9" t="str">
        <f aca="false">UPPER(TRIM(Raw_Data!A366))</f>
        <v>ORD-1348</v>
      </c>
      <c r="B366" s="10" t="str">
        <f aca="false">IFERROR(IF(ISNUMBER(Raw_Data!B366),Raw_Data!B366,IF(ISNUMBER(FIND("/",Raw_Data!B366)),DATE(VALUE(RIGHT(TRIM(Raw_Data!B366),4)),VALUE(MID(TRIM(Raw_Data!B366),4,2)),VALUE(LEFT(TRIM(Raw_Data!B366),2))),IF(MID(TRIM(Raw_Data!B366),5,1)="-",DATE(VALUE(LEFT(TRIM(Raw_Data!B366),4)),VALUE(MID(TRIM(Raw_Data!B366),6,2)),VALUE(RIGHT(TRIM(Raw_Data!B366),2))),DATE(VALUE(RIGHT(TRIM(Raw_Data!B366),4)),MATCH(MID(TRIM(Raw_Data!B366),4,3),{"Jan","Feb","Mar","Apr","May","Jun","Jul","Aug","Sep","Oct","Nov","Dec"},0),VALUE(LEFT(TRIM(Raw_Data!B366),2)))))),"")</f>
        <v/>
      </c>
      <c r="C366" s="9" t="str">
        <f aca="false">IF(TRIM(Raw_Data!C366)="","Unknown",PROPER(TRIM(Raw_Data!C366)))</f>
        <v>Unknown</v>
      </c>
      <c r="D366" s="9" t="str">
        <f aca="false">IFERROR(INDEX({"Punjab","Sindh","KPK","Balochistan"},MATCH(UPPER(LEFT(TRIM(Raw_Data!D366),1)),{"P","S","K","B"},0)),IFERROR(INDEX(Data_Dictionary!$G$4:$G$16,MATCH(E366,Data_Dictionary!$F$4:$F$16,0)),"Unassigned"))</f>
        <v>Punjab</v>
      </c>
      <c r="E366" s="9" t="str">
        <f aca="false">IF(TRIM(Raw_Data!E366)="","Unknown",PROPER(TRIM(Raw_Data!E366)))</f>
        <v>Multan</v>
      </c>
      <c r="F366" s="9" t="str">
        <f aca="false">IFERROR(INDEX({"Electronics","Home &amp; Kitchen","Clothing","Groceries","Beauty"},MATCH(UPPER(LEFT(TRIM(Raw_Data!F366),3)),{"ELE","HOM","CLO","GRO","BEA"},0)),"Uncategorised")</f>
        <v>Electronics</v>
      </c>
      <c r="G366" s="9" t="str">
        <f aca="false">IF(TRIM(Raw_Data!G366)="","Unknown",PROPER(TRIM(Raw_Data!G366)))</f>
        <v>Wireless Earbuds</v>
      </c>
      <c r="H366" s="11" t="str">
        <f aca="false">IFERROR(ABS(VALUE(TRIM(Raw_Data!H366))),"")</f>
        <v/>
      </c>
      <c r="I366" s="12" t="n">
        <f aca="false">IFERROR(VALUE(TRIM(SUBSTITUTE(SUBSTITUTE(SUBSTITUTE(SUBSTITUTE(TRIM(Raw_Data!I366),"PKR",""),"Rs.",""),"Rs",""),",",""))),"")</f>
        <v>6400</v>
      </c>
      <c r="J366" s="13" t="n">
        <f aca="false">IFERROR(IF(TRIM(Raw_Data!J366)="",0,IF(VALUE(TRIM(Raw_Data!J366))&gt;1,VALUE(TRIM(Raw_Data!J366))/100,VALUE(TRIM(Raw_Data!J366)))),0)</f>
        <v>0</v>
      </c>
      <c r="K366" s="9" t="str">
        <f aca="false">IF(TRIM(Raw_Data!K366)="","Unassigned",PROPER(TRIM(Raw_Data!K366)))</f>
        <v>Waqar Ahmed</v>
      </c>
      <c r="L366" s="9" t="str">
        <f aca="false">IFERROR(INDEX({"Credit Card","Credit Card","Debit Card","Debit Card","Cash","PayPal"},MATCH(UPPER(LEFT(TRIM(Raw_Data!L366),2)),{"CR","CC","DE","DC","CA","PA"},0)),"Other")</f>
        <v>Credit Card</v>
      </c>
      <c r="M366" s="9" t="str">
        <f aca="false">IFERROR(INDEX({"Completed","Returned","Cancelled","Pending"},MATCH(UPPER(LEFT(TRIM(Raw_Data!M366),3)),{"COM","RET","CAN","PEN"},0)),"Unknown")</f>
        <v>Completed</v>
      </c>
      <c r="N366" s="14" t="str">
        <f aca="false">IF(OR(H366="",I366=""),"",H366*I366)</f>
        <v/>
      </c>
      <c r="O366" s="14" t="str">
        <f aca="false">IF(N366="","",N366*J366)</f>
        <v/>
      </c>
      <c r="P366" s="14" t="str">
        <f aca="false">IF(N366="","",N366-O366)</f>
        <v/>
      </c>
      <c r="Q366" s="15" t="str">
        <f aca="false">IF(B366="","",DATE(YEAR(B366),MONTH(B366),1))</f>
        <v/>
      </c>
      <c r="R366" s="16" t="str">
        <f aca="false">IF(A366="","Invalid - Exclude",IF(COUNTIF($A$2:A366,A366)&gt;1,"Duplicate - Exclude",IF(OR(B366="",H366="",I366=""),"Invalid - Exclude","Valid")))</f>
        <v>Invalid - Exclude</v>
      </c>
      <c r="S366" s="16" t="str">
        <f aca="false">IF(R366="Valid","",IF(R366="Duplicate - Exclude","Repeat of an earlier Order ID",IF(B366="","Date missing or unreadable",IF(H366="","Quantity missing or unreadable",IF(I366="","Unit price missing or unreadable","Order ID missing")))))</f>
        <v>Date missing or unreadable</v>
      </c>
    </row>
    <row r="367" customFormat="false" ht="15" hidden="false" customHeight="true" outlineLevel="0" collapsed="false">
      <c r="A367" s="17" t="str">
        <f aca="false">UPPER(TRIM(Raw_Data!A367))</f>
        <v>ORD-1349</v>
      </c>
      <c r="B367" s="18" t="n">
        <f aca="false">IFERROR(IF(ISNUMBER(Raw_Data!B367),Raw_Data!B367,IF(ISNUMBER(FIND("/",Raw_Data!B367)),DATE(VALUE(RIGHT(TRIM(Raw_Data!B367),4)),VALUE(MID(TRIM(Raw_Data!B367),4,2)),VALUE(LEFT(TRIM(Raw_Data!B367),2))),IF(MID(TRIM(Raw_Data!B367),5,1)="-",DATE(VALUE(LEFT(TRIM(Raw_Data!B367),4)),VALUE(MID(TRIM(Raw_Data!B367),6,2)),VALUE(RIGHT(TRIM(Raw_Data!B367),2))),DATE(VALUE(RIGHT(TRIM(Raw_Data!B367),4)),MATCH(MID(TRIM(Raw_Data!B367),4,3),{"Jan","Feb","Mar","Apr","May","Jun","Jul","Aug","Sep","Oct","Nov","Dec"},0),VALUE(LEFT(TRIM(Raw_Data!B367),2)))))),"")</f>
        <v>46022</v>
      </c>
      <c r="C367" s="17" t="str">
        <f aca="false">IF(TRIM(Raw_Data!C367)="","Unknown",PROPER(TRIM(Raw_Data!C367)))</f>
        <v>Zain Iqbal</v>
      </c>
      <c r="D367" s="17" t="str">
        <f aca="false">IFERROR(INDEX({"Punjab","Sindh","KPK","Balochistan"},MATCH(UPPER(LEFT(TRIM(Raw_Data!D367),1)),{"P","S","K","B"},0)),IFERROR(INDEX(Data_Dictionary!$G$4:$G$16,MATCH(E367,Data_Dictionary!$F$4:$F$16,0)),"Unassigned"))</f>
        <v>Sindh</v>
      </c>
      <c r="E367" s="17" t="str">
        <f aca="false">IF(TRIM(Raw_Data!E367)="","Unknown",PROPER(TRIM(Raw_Data!E367)))</f>
        <v>Karachi</v>
      </c>
      <c r="F367" s="17" t="str">
        <f aca="false">IFERROR(INDEX({"Electronics","Home &amp; Kitchen","Clothing","Groceries","Beauty"},MATCH(UPPER(LEFT(TRIM(Raw_Data!F367),3)),{"ELE","HOM","CLO","GRO","BEA"},0)),"Uncategorised")</f>
        <v>Clothing</v>
      </c>
      <c r="G367" s="17" t="str">
        <f aca="false">IF(TRIM(Raw_Data!G367)="","Unknown",PROPER(TRIM(Raw_Data!G367)))</f>
        <v>Winter Jacket</v>
      </c>
      <c r="H367" s="19" t="n">
        <f aca="false">IFERROR(ABS(VALUE(TRIM(Raw_Data!H367))),"")</f>
        <v>8</v>
      </c>
      <c r="I367" s="20" t="n">
        <f aca="false">IFERROR(VALUE(TRIM(SUBSTITUTE(SUBSTITUTE(SUBSTITUTE(SUBSTITUTE(TRIM(Raw_Data!I367),"PKR",""),"Rs.",""),"Rs",""),",",""))),"")</f>
        <v>9500</v>
      </c>
      <c r="J367" s="21" t="n">
        <f aca="false">IFERROR(IF(TRIM(Raw_Data!J367)="",0,IF(VALUE(TRIM(Raw_Data!J367))&gt;1,VALUE(TRIM(Raw_Data!J367))/100,VALUE(TRIM(Raw_Data!J367)))),0)</f>
        <v>0.1</v>
      </c>
      <c r="K367" s="17" t="str">
        <f aca="false">IF(TRIM(Raw_Data!K367)="","Unassigned",PROPER(TRIM(Raw_Data!K367)))</f>
        <v>Imran Shah</v>
      </c>
      <c r="L367" s="17" t="str">
        <f aca="false">IFERROR(INDEX({"Credit Card","Credit Card","Debit Card","Debit Card","Cash","PayPal"},MATCH(UPPER(LEFT(TRIM(Raw_Data!L367),2)),{"CR","CC","DE","DC","CA","PA"},0)),"Other")</f>
        <v>Credit Card</v>
      </c>
      <c r="M367" s="17" t="str">
        <f aca="false">IFERROR(INDEX({"Completed","Returned","Cancelled","Pending"},MATCH(UPPER(LEFT(TRIM(Raw_Data!M367),3)),{"COM","RET","CAN","PEN"},0)),"Unknown")</f>
        <v>Completed</v>
      </c>
      <c r="N367" s="20" t="n">
        <f aca="false">IF(OR(H367="",I367=""),"",H367*I367)</f>
        <v>76000</v>
      </c>
      <c r="O367" s="20" t="n">
        <f aca="false">IF(N367="","",N367*J367)</f>
        <v>7600</v>
      </c>
      <c r="P367" s="20" t="n">
        <f aca="false">IF(N367="","",N367-O367)</f>
        <v>68400</v>
      </c>
      <c r="Q367" s="22" t="n">
        <f aca="false">IF(B367="","",DATE(YEAR(B367),MONTH(B367),1))</f>
        <v>45992</v>
      </c>
      <c r="R367" s="17" t="str">
        <f aca="false">IF(A367="","Invalid - Exclude",IF(COUNTIF($A$2:A367,A367)&gt;1,"Duplicate - Exclude",IF(OR(B367="",H367="",I367=""),"Invalid - Exclude","Valid")))</f>
        <v>Valid</v>
      </c>
      <c r="S367" s="17" t="str">
        <f aca="false">IF(R367="Valid","",IF(R367="Duplicate - Exclude","Repeat of an earlier Order ID",IF(B367="","Date missing or unreadable",IF(H367="","Quantity missing or unreadable",IF(I367="","Unit price missing or unreadable","Order ID missing")))))</f>
        <v/>
      </c>
    </row>
    <row r="368" customFormat="false" ht="15" hidden="false" customHeight="true" outlineLevel="0" collapsed="false">
      <c r="A368" s="9" t="str">
        <f aca="false">UPPER(TRIM(Raw_Data!A368))</f>
        <v>ORD-1350</v>
      </c>
      <c r="B368" s="10" t="n">
        <f aca="false">IFERROR(IF(ISNUMBER(Raw_Data!B368),Raw_Data!B368,IF(ISNUMBER(FIND("/",Raw_Data!B368)),DATE(VALUE(RIGHT(TRIM(Raw_Data!B368),4)),VALUE(MID(TRIM(Raw_Data!B368),4,2)),VALUE(LEFT(TRIM(Raw_Data!B368),2))),IF(MID(TRIM(Raw_Data!B368),5,1)="-",DATE(VALUE(LEFT(TRIM(Raw_Data!B368),4)),VALUE(MID(TRIM(Raw_Data!B368),6,2)),VALUE(RIGHT(TRIM(Raw_Data!B368),2))),DATE(VALUE(RIGHT(TRIM(Raw_Data!B368),4)),MATCH(MID(TRIM(Raw_Data!B368),4,3),{"Jan","Feb","Mar","Apr","May","Jun","Jul","Aug","Sep","Oct","Nov","Dec"},0),VALUE(LEFT(TRIM(Raw_Data!B368),2)))))),"")</f>
        <v>45849</v>
      </c>
      <c r="C368" s="9" t="str">
        <f aca="false">IF(TRIM(Raw_Data!C368)="","Unknown",PROPER(TRIM(Raw_Data!C368)))</f>
        <v>Omar Sheikh</v>
      </c>
      <c r="D368" s="9" t="str">
        <f aca="false">IFERROR(INDEX({"Punjab","Sindh","KPK","Balochistan"},MATCH(UPPER(LEFT(TRIM(Raw_Data!D368),1)),{"P","S","K","B"},0)),IFERROR(INDEX(Data_Dictionary!$G$4:$G$16,MATCH(E368,Data_Dictionary!$F$4:$F$16,0)),"Unassigned"))</f>
        <v>KPK</v>
      </c>
      <c r="E368" s="9" t="str">
        <f aca="false">IF(TRIM(Raw_Data!E368)="","Unknown",PROPER(TRIM(Raw_Data!E368)))</f>
        <v>Peshawar</v>
      </c>
      <c r="F368" s="9" t="str">
        <f aca="false">IFERROR(INDEX({"Electronics","Home &amp; Kitchen","Clothing","Groceries","Beauty"},MATCH(UPPER(LEFT(TRIM(Raw_Data!F368),3)),{"ELE","HOM","CLO","GRO","BEA"},0)),"Uncategorised")</f>
        <v>Clothing</v>
      </c>
      <c r="G368" s="9" t="str">
        <f aca="false">IF(TRIM(Raw_Data!G368)="","Unknown",PROPER(TRIM(Raw_Data!G368)))</f>
        <v>Winter Jacket</v>
      </c>
      <c r="H368" s="11" t="n">
        <f aca="false">IFERROR(ABS(VALUE(TRIM(Raw_Data!H368))),"")</f>
        <v>7</v>
      </c>
      <c r="I368" s="12" t="n">
        <f aca="false">IFERROR(VALUE(TRIM(SUBSTITUTE(SUBSTITUTE(SUBSTITUTE(SUBSTITUTE(TRIM(Raw_Data!I368),"PKR",""),"Rs.",""),"Rs",""),",",""))),"")</f>
        <v>9650</v>
      </c>
      <c r="J368" s="13" t="n">
        <f aca="false">IFERROR(IF(TRIM(Raw_Data!J368)="",0,IF(VALUE(TRIM(Raw_Data!J368))&gt;1,VALUE(TRIM(Raw_Data!J368))/100,VALUE(TRIM(Raw_Data!J368)))),0)</f>
        <v>0.1</v>
      </c>
      <c r="K368" s="9" t="str">
        <f aca="false">IF(TRIM(Raw_Data!K368)="","Unassigned",PROPER(TRIM(Raw_Data!K368)))</f>
        <v>Nimra Aslam</v>
      </c>
      <c r="L368" s="9" t="str">
        <f aca="false">IFERROR(INDEX({"Credit Card","Credit Card","Debit Card","Debit Card","Cash","PayPal"},MATCH(UPPER(LEFT(TRIM(Raw_Data!L368),2)),{"CR","CC","DE","DC","CA","PA"},0)),"Other")</f>
        <v>Cash</v>
      </c>
      <c r="M368" s="9" t="str">
        <f aca="false">IFERROR(INDEX({"Completed","Returned","Cancelled","Pending"},MATCH(UPPER(LEFT(TRIM(Raw_Data!M368),3)),{"COM","RET","CAN","PEN"},0)),"Unknown")</f>
        <v>Completed</v>
      </c>
      <c r="N368" s="14" t="n">
        <f aca="false">IF(OR(H368="",I368=""),"",H368*I368)</f>
        <v>67550</v>
      </c>
      <c r="O368" s="14" t="n">
        <f aca="false">IF(N368="","",N368*J368)</f>
        <v>6755</v>
      </c>
      <c r="P368" s="14" t="n">
        <f aca="false">IF(N368="","",N368-O368)</f>
        <v>60795</v>
      </c>
      <c r="Q368" s="15" t="n">
        <f aca="false">IF(B368="","",DATE(YEAR(B368),MONTH(B368),1))</f>
        <v>45839</v>
      </c>
      <c r="R368" s="16" t="str">
        <f aca="false">IF(A368="","Invalid - Exclude",IF(COUNTIF($A$2:A368,A368)&gt;1,"Duplicate - Exclude",IF(OR(B368="",H368="",I368=""),"Invalid - Exclude","Valid")))</f>
        <v>Valid</v>
      </c>
      <c r="S368" s="16" t="str">
        <f aca="false">IF(R368="Valid","",IF(R368="Duplicate - Exclude","Repeat of an earlier Order ID",IF(B368="","Date missing or unreadable",IF(H368="","Quantity missing or unreadable",IF(I368="","Unit price missing or unreadable","Order ID missing")))))</f>
        <v/>
      </c>
    </row>
    <row r="369" customFormat="false" ht="15" hidden="false" customHeight="true" outlineLevel="0" collapsed="false">
      <c r="A369" s="17" t="str">
        <f aca="false">UPPER(TRIM(Raw_Data!A369))</f>
        <v>ORD-1142</v>
      </c>
      <c r="B369" s="18" t="n">
        <f aca="false">IFERROR(IF(ISNUMBER(Raw_Data!B369),Raw_Data!B369,IF(ISNUMBER(FIND("/",Raw_Data!B369)),DATE(VALUE(RIGHT(TRIM(Raw_Data!B369),4)),VALUE(MID(TRIM(Raw_Data!B369),4,2)),VALUE(LEFT(TRIM(Raw_Data!B369),2))),IF(MID(TRIM(Raw_Data!B369),5,1)="-",DATE(VALUE(LEFT(TRIM(Raw_Data!B369),4)),VALUE(MID(TRIM(Raw_Data!B369),6,2)),VALUE(RIGHT(TRIM(Raw_Data!B369),2))),DATE(VALUE(RIGHT(TRIM(Raw_Data!B369),4)),MATCH(MID(TRIM(Raw_Data!B369),4,3),{"Jan","Feb","Mar","Apr","May","Jun","Jul","Aug","Sep","Oct","Nov","Dec"},0),VALUE(LEFT(TRIM(Raw_Data!B369),2)))))),"")</f>
        <v>45664</v>
      </c>
      <c r="C369" s="17" t="str">
        <f aca="false">IF(TRIM(Raw_Data!C369)="","Unknown",PROPER(TRIM(Raw_Data!C369)))</f>
        <v>Zain Raza</v>
      </c>
      <c r="D369" s="17" t="str">
        <f aca="false">IFERROR(INDEX({"Punjab","Sindh","KPK","Balochistan"},MATCH(UPPER(LEFT(TRIM(Raw_Data!D369),1)),{"P","S","K","B"},0)),IFERROR(INDEX(Data_Dictionary!$G$4:$G$16,MATCH(E369,Data_Dictionary!$F$4:$F$16,0)),"Unassigned"))</f>
        <v>KPK</v>
      </c>
      <c r="E369" s="17" t="str">
        <f aca="false">IF(TRIM(Raw_Data!E369)="","Unknown",PROPER(TRIM(Raw_Data!E369)))</f>
        <v>Peshawar</v>
      </c>
      <c r="F369" s="17" t="str">
        <f aca="false">IFERROR(INDEX({"Electronics","Home &amp; Kitchen","Clothing","Groceries","Beauty"},MATCH(UPPER(LEFT(TRIM(Raw_Data!F369),3)),{"ELE","HOM","CLO","GRO","BEA"},0)),"Uncategorised")</f>
        <v>Clothing</v>
      </c>
      <c r="G369" s="17" t="str">
        <f aca="false">IF(TRIM(Raw_Data!G369)="","Unknown",PROPER(TRIM(Raw_Data!G369)))</f>
        <v>Mens Kurta</v>
      </c>
      <c r="H369" s="19" t="n">
        <f aca="false">IFERROR(ABS(VALUE(TRIM(Raw_Data!H369))),"")</f>
        <v>1</v>
      </c>
      <c r="I369" s="20" t="n">
        <f aca="false">IFERROR(VALUE(TRIM(SUBSTITUTE(SUBSTITUTE(SUBSTITUTE(SUBSTITUTE(TRIM(Raw_Data!I369),"PKR",""),"Rs.",""),"Rs",""),",",""))),"")</f>
        <v>3100</v>
      </c>
      <c r="J369" s="21" t="n">
        <f aca="false">IFERROR(IF(TRIM(Raw_Data!J369)="",0,IF(VALUE(TRIM(Raw_Data!J369))&gt;1,VALUE(TRIM(Raw_Data!J369))/100,VALUE(TRIM(Raw_Data!J369)))),0)</f>
        <v>0</v>
      </c>
      <c r="K369" s="17" t="str">
        <f aca="false">IF(TRIM(Raw_Data!K369)="","Unassigned",PROPER(TRIM(Raw_Data!K369)))</f>
        <v>Waqar Ahmed</v>
      </c>
      <c r="L369" s="17" t="str">
        <f aca="false">IFERROR(INDEX({"Credit Card","Credit Card","Debit Card","Debit Card","Cash","PayPal"},MATCH(UPPER(LEFT(TRIM(Raw_Data!L369),2)),{"CR","CC","DE","DC","CA","PA"},0)),"Other")</f>
        <v>PayPal</v>
      </c>
      <c r="M369" s="17" t="str">
        <f aca="false">IFERROR(INDEX({"Completed","Returned","Cancelled","Pending"},MATCH(UPPER(LEFT(TRIM(Raw_Data!M369),3)),{"COM","RET","CAN","PEN"},0)),"Unknown")</f>
        <v>Completed</v>
      </c>
      <c r="N369" s="20" t="n">
        <f aca="false">IF(OR(H369="",I369=""),"",H369*I369)</f>
        <v>3100</v>
      </c>
      <c r="O369" s="20" t="n">
        <f aca="false">IF(N369="","",N369*J369)</f>
        <v>0</v>
      </c>
      <c r="P369" s="20" t="n">
        <f aca="false">IF(N369="","",N369-O369)</f>
        <v>3100</v>
      </c>
      <c r="Q369" s="22" t="n">
        <f aca="false">IF(B369="","",DATE(YEAR(B369),MONTH(B369),1))</f>
        <v>45658</v>
      </c>
      <c r="R369" s="17" t="str">
        <f aca="false">IF(A369="","Invalid - Exclude",IF(COUNTIF($A$2:A369,A369)&gt;1,"Duplicate - Exclude",IF(OR(B369="",H369="",I369=""),"Invalid - Exclude","Valid")))</f>
        <v>Duplicate - Exclude</v>
      </c>
      <c r="S369" s="17" t="str">
        <f aca="false">IF(R369="Valid","",IF(R369="Duplicate - Exclude","Repeat of an earlier Order ID",IF(B369="","Date missing or unreadable",IF(H369="","Quantity missing or unreadable",IF(I369="","Unit price missing or unreadable","Order ID missing")))))</f>
        <v>Repeat of an earlier Order ID</v>
      </c>
    </row>
    <row r="370" customFormat="false" ht="15" hidden="false" customHeight="true" outlineLevel="0" collapsed="false">
      <c r="A370" s="9" t="str">
        <f aca="false">UPPER(TRIM(Raw_Data!A370))</f>
        <v>ORD-1351</v>
      </c>
      <c r="B370" s="10" t="n">
        <f aca="false">IFERROR(IF(ISNUMBER(Raw_Data!B370),Raw_Data!B370,IF(ISNUMBER(FIND("/",Raw_Data!B370)),DATE(VALUE(RIGHT(TRIM(Raw_Data!B370),4)),VALUE(MID(TRIM(Raw_Data!B370),4,2)),VALUE(LEFT(TRIM(Raw_Data!B370),2))),IF(MID(TRIM(Raw_Data!B370),5,1)="-",DATE(VALUE(LEFT(TRIM(Raw_Data!B370),4)),VALUE(MID(TRIM(Raw_Data!B370),6,2)),VALUE(RIGHT(TRIM(Raw_Data!B370),2))),DATE(VALUE(RIGHT(TRIM(Raw_Data!B370),4)),MATCH(MID(TRIM(Raw_Data!B370),4,3),{"Jan","Feb","Mar","Apr","May","Jun","Jul","Aug","Sep","Oct","Nov","Dec"},0),VALUE(LEFT(TRIM(Raw_Data!B370),2)))))),"")</f>
        <v>45985</v>
      </c>
      <c r="C370" s="9" t="str">
        <f aca="false">IF(TRIM(Raw_Data!C370)="","Unknown",PROPER(TRIM(Raw_Data!C370)))</f>
        <v>Sana Siddiqui</v>
      </c>
      <c r="D370" s="9" t="str">
        <f aca="false">IFERROR(INDEX({"Punjab","Sindh","KPK","Balochistan"},MATCH(UPPER(LEFT(TRIM(Raw_Data!D370),1)),{"P","S","K","B"},0)),IFERROR(INDEX(Data_Dictionary!$G$4:$G$16,MATCH(E370,Data_Dictionary!$F$4:$F$16,0)),"Unassigned"))</f>
        <v>Punjab</v>
      </c>
      <c r="E370" s="9" t="str">
        <f aca="false">IF(TRIM(Raw_Data!E370)="","Unknown",PROPER(TRIM(Raw_Data!E370)))</f>
        <v>Faisalabad</v>
      </c>
      <c r="F370" s="9" t="str">
        <f aca="false">IFERROR(INDEX({"Electronics","Home &amp; Kitchen","Clothing","Groceries","Beauty"},MATCH(UPPER(LEFT(TRIM(Raw_Data!F370),3)),{"ELE","HOM","CLO","GRO","BEA"},0)),"Uncategorised")</f>
        <v>Groceries</v>
      </c>
      <c r="G370" s="9" t="str">
        <f aca="false">IF(TRIM(Raw_Data!G370)="","Unknown",PROPER(TRIM(Raw_Data!G370)))</f>
        <v>Refined Sugar 10 Kg</v>
      </c>
      <c r="H370" s="11" t="n">
        <f aca="false">IFERROR(ABS(VALUE(TRIM(Raw_Data!H370))),"")</f>
        <v>3</v>
      </c>
      <c r="I370" s="12" t="n">
        <f aca="false">IFERROR(VALUE(TRIM(SUBSTITUTE(SUBSTITUTE(SUBSTITUTE(SUBSTITUTE(TRIM(Raw_Data!I370),"PKR",""),"Rs.",""),"Rs",""),",",""))),"")</f>
        <v>1600</v>
      </c>
      <c r="J370" s="13" t="n">
        <f aca="false">IFERROR(IF(TRIM(Raw_Data!J370)="",0,IF(VALUE(TRIM(Raw_Data!J370))&gt;1,VALUE(TRIM(Raw_Data!J370))/100,VALUE(TRIM(Raw_Data!J370)))),0)</f>
        <v>0</v>
      </c>
      <c r="K370" s="9" t="str">
        <f aca="false">IF(TRIM(Raw_Data!K370)="","Unassigned",PROPER(TRIM(Raw_Data!K370)))</f>
        <v>Faisal Mehmood</v>
      </c>
      <c r="L370" s="9" t="str">
        <f aca="false">IFERROR(INDEX({"Credit Card","Credit Card","Debit Card","Debit Card","Cash","PayPal"},MATCH(UPPER(LEFT(TRIM(Raw_Data!L370),2)),{"CR","CC","DE","DC","CA","PA"},0)),"Other")</f>
        <v>Cash</v>
      </c>
      <c r="M370" s="9" t="str">
        <f aca="false">IFERROR(INDEX({"Completed","Returned","Cancelled","Pending"},MATCH(UPPER(LEFT(TRIM(Raw_Data!M370),3)),{"COM","RET","CAN","PEN"},0)),"Unknown")</f>
        <v>Completed</v>
      </c>
      <c r="N370" s="14" t="n">
        <f aca="false">IF(OR(H370="",I370=""),"",H370*I370)</f>
        <v>4800</v>
      </c>
      <c r="O370" s="14" t="n">
        <f aca="false">IF(N370="","",N370*J370)</f>
        <v>0</v>
      </c>
      <c r="P370" s="14" t="n">
        <f aca="false">IF(N370="","",N370-O370)</f>
        <v>4800</v>
      </c>
      <c r="Q370" s="15" t="n">
        <f aca="false">IF(B370="","",DATE(YEAR(B370),MONTH(B370),1))</f>
        <v>45962</v>
      </c>
      <c r="R370" s="16" t="str">
        <f aca="false">IF(A370="","Invalid - Exclude",IF(COUNTIF($A$2:A370,A370)&gt;1,"Duplicate - Exclude",IF(OR(B370="",H370="",I370=""),"Invalid - Exclude","Valid")))</f>
        <v>Valid</v>
      </c>
      <c r="S370" s="16" t="str">
        <f aca="false">IF(R370="Valid","",IF(R370="Duplicate - Exclude","Repeat of an earlier Order ID",IF(B370="","Date missing or unreadable",IF(H370="","Quantity missing or unreadable",IF(I370="","Unit price missing or unreadable","Order ID missing")))))</f>
        <v/>
      </c>
    </row>
    <row r="371" customFormat="false" ht="15" hidden="false" customHeight="true" outlineLevel="0" collapsed="false">
      <c r="A371" s="17" t="str">
        <f aca="false">UPPER(TRIM(Raw_Data!A371))</f>
        <v>ORD-1352</v>
      </c>
      <c r="B371" s="18" t="n">
        <f aca="false">IFERROR(IF(ISNUMBER(Raw_Data!B371),Raw_Data!B371,IF(ISNUMBER(FIND("/",Raw_Data!B371)),DATE(VALUE(RIGHT(TRIM(Raw_Data!B371),4)),VALUE(MID(TRIM(Raw_Data!B371),4,2)),VALUE(LEFT(TRIM(Raw_Data!B371),2))),IF(MID(TRIM(Raw_Data!B371),5,1)="-",DATE(VALUE(LEFT(TRIM(Raw_Data!B371),4)),VALUE(MID(TRIM(Raw_Data!B371),6,2)),VALUE(RIGHT(TRIM(Raw_Data!B371),2))),DATE(VALUE(RIGHT(TRIM(Raw_Data!B371),4)),MATCH(MID(TRIM(Raw_Data!B371),4,3),{"Jan","Feb","Mar","Apr","May","Jun","Jul","Aug","Sep","Oct","Nov","Dec"},0),VALUE(LEFT(TRIM(Raw_Data!B371),2)))))),"")</f>
        <v>45988</v>
      </c>
      <c r="C371" s="17" t="str">
        <f aca="false">IF(TRIM(Raw_Data!C371)="","Unknown",PROPER(TRIM(Raw_Data!C371)))</f>
        <v>Ahmed Hussain</v>
      </c>
      <c r="D371" s="17" t="str">
        <f aca="false">IFERROR(INDEX({"Punjab","Sindh","KPK","Balochistan"},MATCH(UPPER(LEFT(TRIM(Raw_Data!D371),1)),{"P","S","K","B"},0)),IFERROR(INDEX(Data_Dictionary!$G$4:$G$16,MATCH(E371,Data_Dictionary!$F$4:$F$16,0)),"Unassigned"))</f>
        <v>KPK</v>
      </c>
      <c r="E371" s="17" t="str">
        <f aca="false">IF(TRIM(Raw_Data!E371)="","Unknown",PROPER(TRIM(Raw_Data!E371)))</f>
        <v>Mardan</v>
      </c>
      <c r="F371" s="17" t="str">
        <f aca="false">IFERROR(INDEX({"Electronics","Home &amp; Kitchen","Clothing","Groceries","Beauty"},MATCH(UPPER(LEFT(TRIM(Raw_Data!F371),3)),{"ELE","HOM","CLO","GRO","BEA"},0)),"Uncategorised")</f>
        <v>Electronics</v>
      </c>
      <c r="G371" s="17" t="str">
        <f aca="false">IF(TRIM(Raw_Data!G371)="","Unknown",PROPER(TRIM(Raw_Data!G371)))</f>
        <v>Smart Television 43 Inch</v>
      </c>
      <c r="H371" s="19" t="n">
        <f aca="false">IFERROR(ABS(VALUE(TRIM(Raw_Data!H371))),"")</f>
        <v>4</v>
      </c>
      <c r="I371" s="20" t="n">
        <f aca="false">IFERROR(VALUE(TRIM(SUBSTITUTE(SUBSTITUTE(SUBSTITUTE(SUBSTITUTE(TRIM(Raw_Data!I371),"PKR",""),"Rs.",""),"Rs",""),",",""))),"")</f>
        <v>54200</v>
      </c>
      <c r="J371" s="21" t="n">
        <f aca="false">IFERROR(IF(TRIM(Raw_Data!J371)="",0,IF(VALUE(TRIM(Raw_Data!J371))&gt;1,VALUE(TRIM(Raw_Data!J371))/100,VALUE(TRIM(Raw_Data!J371)))),0)</f>
        <v>0.2</v>
      </c>
      <c r="K371" s="17" t="str">
        <f aca="false">IF(TRIM(Raw_Data!K371)="","Unassigned",PROPER(TRIM(Raw_Data!K371)))</f>
        <v>Sadia Noor</v>
      </c>
      <c r="L371" s="17" t="str">
        <f aca="false">IFERROR(INDEX({"Credit Card","Credit Card","Debit Card","Debit Card","Cash","PayPal"},MATCH(UPPER(LEFT(TRIM(Raw_Data!L371),2)),{"CR","CC","DE","DC","CA","PA"},0)),"Other")</f>
        <v>Cash</v>
      </c>
      <c r="M371" s="17" t="str">
        <f aca="false">IFERROR(INDEX({"Completed","Returned","Cancelled","Pending"},MATCH(UPPER(LEFT(TRIM(Raw_Data!M371),3)),{"COM","RET","CAN","PEN"},0)),"Unknown")</f>
        <v>Completed</v>
      </c>
      <c r="N371" s="20" t="n">
        <f aca="false">IF(OR(H371="",I371=""),"",H371*I371)</f>
        <v>216800</v>
      </c>
      <c r="O371" s="20" t="n">
        <f aca="false">IF(N371="","",N371*J371)</f>
        <v>43360</v>
      </c>
      <c r="P371" s="20" t="n">
        <f aca="false">IF(N371="","",N371-O371)</f>
        <v>173440</v>
      </c>
      <c r="Q371" s="22" t="n">
        <f aca="false">IF(B371="","",DATE(YEAR(B371),MONTH(B371),1))</f>
        <v>45962</v>
      </c>
      <c r="R371" s="17" t="str">
        <f aca="false">IF(A371="","Invalid - Exclude",IF(COUNTIF($A$2:A371,A371)&gt;1,"Duplicate - Exclude",IF(OR(B371="",H371="",I371=""),"Invalid - Exclude","Valid")))</f>
        <v>Valid</v>
      </c>
      <c r="S371" s="17" t="str">
        <f aca="false">IF(R371="Valid","",IF(R371="Duplicate - Exclude","Repeat of an earlier Order ID",IF(B371="","Date missing or unreadable",IF(H371="","Quantity missing or unreadable",IF(I371="","Unit price missing or unreadable","Order ID missing")))))</f>
        <v/>
      </c>
    </row>
    <row r="372" customFormat="false" ht="15" hidden="false" customHeight="true" outlineLevel="0" collapsed="false">
      <c r="A372" s="9" t="str">
        <f aca="false">UPPER(TRIM(Raw_Data!A372))</f>
        <v>ORD-1353</v>
      </c>
      <c r="B372" s="10" t="n">
        <f aca="false">IFERROR(IF(ISNUMBER(Raw_Data!B372),Raw_Data!B372,IF(ISNUMBER(FIND("/",Raw_Data!B372)),DATE(VALUE(RIGHT(TRIM(Raw_Data!B372),4)),VALUE(MID(TRIM(Raw_Data!B372),4,2)),VALUE(LEFT(TRIM(Raw_Data!B372),2))),IF(MID(TRIM(Raw_Data!B372),5,1)="-",DATE(VALUE(LEFT(TRIM(Raw_Data!B372),4)),VALUE(MID(TRIM(Raw_Data!B372),6,2)),VALUE(RIGHT(TRIM(Raw_Data!B372),2))),DATE(VALUE(RIGHT(TRIM(Raw_Data!B372),4)),MATCH(MID(TRIM(Raw_Data!B372),4,3),{"Jan","Feb","Mar","Apr","May","Jun","Jul","Aug","Sep","Oct","Nov","Dec"},0),VALUE(LEFT(TRIM(Raw_Data!B372),2)))))),"")</f>
        <v>45970</v>
      </c>
      <c r="C372" s="9" t="str">
        <f aca="false">IF(TRIM(Raw_Data!C372)="","Unknown",PROPER(TRIM(Raw_Data!C372)))</f>
        <v>Tariq Ansari</v>
      </c>
      <c r="D372" s="9" t="str">
        <f aca="false">IFERROR(INDEX({"Punjab","Sindh","KPK","Balochistan"},MATCH(UPPER(LEFT(TRIM(Raw_Data!D372),1)),{"P","S","K","B"},0)),IFERROR(INDEX(Data_Dictionary!$G$4:$G$16,MATCH(E372,Data_Dictionary!$F$4:$F$16,0)),"Unassigned"))</f>
        <v>Sindh</v>
      </c>
      <c r="E372" s="9" t="str">
        <f aca="false">IF(TRIM(Raw_Data!E372)="","Unknown",PROPER(TRIM(Raw_Data!E372)))</f>
        <v>Hyderabad</v>
      </c>
      <c r="F372" s="9" t="str">
        <f aca="false">IFERROR(INDEX({"Electronics","Home &amp; Kitchen","Clothing","Groceries","Beauty"},MATCH(UPPER(LEFT(TRIM(Raw_Data!F372),3)),{"ELE","HOM","CLO","GRO","BEA"},0)),"Uncategorised")</f>
        <v>Clothing</v>
      </c>
      <c r="G372" s="9" t="str">
        <f aca="false">IF(TRIM(Raw_Data!G372)="","Unknown",PROPER(TRIM(Raw_Data!G372)))</f>
        <v>Lawn Suit 3 Piece</v>
      </c>
      <c r="H372" s="11" t="n">
        <f aca="false">IFERROR(ABS(VALUE(TRIM(Raw_Data!H372))),"")</f>
        <v>3</v>
      </c>
      <c r="I372" s="12" t="str">
        <f aca="false">IFERROR(VALUE(TRIM(SUBSTITUTE(SUBSTITUTE(SUBSTITUTE(SUBSTITUTE(TRIM(Raw_Data!I372),"PKR",""),"Rs.",""),"Rs",""),",",""))),"")</f>
        <v/>
      </c>
      <c r="J372" s="13" t="n">
        <f aca="false">IFERROR(IF(TRIM(Raw_Data!J372)="",0,IF(VALUE(TRIM(Raw_Data!J372))&gt;1,VALUE(TRIM(Raw_Data!J372))/100,VALUE(TRIM(Raw_Data!J372)))),0)</f>
        <v>0</v>
      </c>
      <c r="K372" s="9" t="str">
        <f aca="false">IF(TRIM(Raw_Data!K372)="","Unassigned",PROPER(TRIM(Raw_Data!K372)))</f>
        <v>Zoya Tariq</v>
      </c>
      <c r="L372" s="9" t="str">
        <f aca="false">IFERROR(INDEX({"Credit Card","Credit Card","Debit Card","Debit Card","Cash","PayPal"},MATCH(UPPER(LEFT(TRIM(Raw_Data!L372),2)),{"CR","CC","DE","DC","CA","PA"},0)),"Other")</f>
        <v>Cash</v>
      </c>
      <c r="M372" s="9" t="str">
        <f aca="false">IFERROR(INDEX({"Completed","Returned","Cancelled","Pending"},MATCH(UPPER(LEFT(TRIM(Raw_Data!M372),3)),{"COM","RET","CAN","PEN"},0)),"Unknown")</f>
        <v>Completed</v>
      </c>
      <c r="N372" s="14" t="str">
        <f aca="false">IF(OR(H372="",I372=""),"",H372*I372)</f>
        <v/>
      </c>
      <c r="O372" s="14" t="str">
        <f aca="false">IF(N372="","",N372*J372)</f>
        <v/>
      </c>
      <c r="P372" s="14" t="str">
        <f aca="false">IF(N372="","",N372-O372)</f>
        <v/>
      </c>
      <c r="Q372" s="15" t="n">
        <f aca="false">IF(B372="","",DATE(YEAR(B372),MONTH(B372),1))</f>
        <v>45962</v>
      </c>
      <c r="R372" s="16" t="str">
        <f aca="false">IF(A372="","Invalid - Exclude",IF(COUNTIF($A$2:A372,A372)&gt;1,"Duplicate - Exclude",IF(OR(B372="",H372="",I372=""),"Invalid - Exclude","Valid")))</f>
        <v>Invalid - Exclude</v>
      </c>
      <c r="S372" s="16" t="str">
        <f aca="false">IF(R372="Valid","",IF(R372="Duplicate - Exclude","Repeat of an earlier Order ID",IF(B372="","Date missing or unreadable",IF(H372="","Quantity missing or unreadable",IF(I372="","Unit price missing or unreadable","Order ID missing")))))</f>
        <v>Unit price missing or unreadable</v>
      </c>
    </row>
    <row r="373" customFormat="false" ht="15" hidden="false" customHeight="true" outlineLevel="0" collapsed="false">
      <c r="A373" s="17" t="str">
        <f aca="false">UPPER(TRIM(Raw_Data!A373))</f>
        <v>ORD-1354</v>
      </c>
      <c r="B373" s="18" t="n">
        <f aca="false">IFERROR(IF(ISNUMBER(Raw_Data!B373),Raw_Data!B373,IF(ISNUMBER(FIND("/",Raw_Data!B373)),DATE(VALUE(RIGHT(TRIM(Raw_Data!B373),4)),VALUE(MID(TRIM(Raw_Data!B373),4,2)),VALUE(LEFT(TRIM(Raw_Data!B373),2))),IF(MID(TRIM(Raw_Data!B373),5,1)="-",DATE(VALUE(LEFT(TRIM(Raw_Data!B373),4)),VALUE(MID(TRIM(Raw_Data!B373),6,2)),VALUE(RIGHT(TRIM(Raw_Data!B373),2))),DATE(VALUE(RIGHT(TRIM(Raw_Data!B373),4)),MATCH(MID(TRIM(Raw_Data!B373),4,3),{"Jan","Feb","Mar","Apr","May","Jun","Jul","Aug","Sep","Oct","Nov","Dec"},0),VALUE(LEFT(TRIM(Raw_Data!B373),2)))))),"")</f>
        <v>45752</v>
      </c>
      <c r="C373" s="17" t="str">
        <f aca="false">IF(TRIM(Raw_Data!C373)="","Unknown",PROPER(TRIM(Raw_Data!C373)))</f>
        <v>Ahmed Hussain</v>
      </c>
      <c r="D373" s="17" t="str">
        <f aca="false">IFERROR(INDEX({"Punjab","Sindh","KPK","Balochistan"},MATCH(UPPER(LEFT(TRIM(Raw_Data!D373),1)),{"P","S","K","B"},0)),IFERROR(INDEX(Data_Dictionary!$G$4:$G$16,MATCH(E373,Data_Dictionary!$F$4:$F$16,0)),"Unassigned"))</f>
        <v>Balochistan</v>
      </c>
      <c r="E373" s="17" t="str">
        <f aca="false">IF(TRIM(Raw_Data!E373)="","Unknown",PROPER(TRIM(Raw_Data!E373)))</f>
        <v>Quetta</v>
      </c>
      <c r="F373" s="17" t="str">
        <f aca="false">IFERROR(INDEX({"Electronics","Home &amp; Kitchen","Clothing","Groceries","Beauty"},MATCH(UPPER(LEFT(TRIM(Raw_Data!F373),3)),{"ELE","HOM","CLO","GRO","BEA"},0)),"Uncategorised")</f>
        <v>Beauty</v>
      </c>
      <c r="G373" s="17" t="str">
        <f aca="false">IF(TRIM(Raw_Data!G373)="","Unknown",PROPER(TRIM(Raw_Data!G373)))</f>
        <v>Perfume Spray</v>
      </c>
      <c r="H373" s="19" t="n">
        <f aca="false">IFERROR(ABS(VALUE(TRIM(Raw_Data!H373))),"")</f>
        <v>3</v>
      </c>
      <c r="I373" s="20" t="n">
        <f aca="false">IFERROR(VALUE(TRIM(SUBSTITUTE(SUBSTITUTE(SUBSTITUTE(SUBSTITUTE(TRIM(Raw_Data!I373),"PKR",""),"Rs.",""),"Rs",""),",",""))),"")</f>
        <v>4100</v>
      </c>
      <c r="J373" s="21" t="n">
        <f aca="false">IFERROR(IF(TRIM(Raw_Data!J373)="",0,IF(VALUE(TRIM(Raw_Data!J373))&gt;1,VALUE(TRIM(Raw_Data!J373))/100,VALUE(TRIM(Raw_Data!J373)))),0)</f>
        <v>0</v>
      </c>
      <c r="K373" s="17" t="str">
        <f aca="false">IF(TRIM(Raw_Data!K373)="","Unassigned",PROPER(TRIM(Raw_Data!K373)))</f>
        <v>Waqar Ahmed</v>
      </c>
      <c r="L373" s="17" t="str">
        <f aca="false">IFERROR(INDEX({"Credit Card","Credit Card","Debit Card","Debit Card","Cash","PayPal"},MATCH(UPPER(LEFT(TRIM(Raw_Data!L373),2)),{"CR","CC","DE","DC","CA","PA"},0)),"Other")</f>
        <v>PayPal</v>
      </c>
      <c r="M373" s="17" t="str">
        <f aca="false">IFERROR(INDEX({"Completed","Returned","Cancelled","Pending"},MATCH(UPPER(LEFT(TRIM(Raw_Data!M373),3)),{"COM","RET","CAN","PEN"},0)),"Unknown")</f>
        <v>Completed</v>
      </c>
      <c r="N373" s="20" t="n">
        <f aca="false">IF(OR(H373="",I373=""),"",H373*I373)</f>
        <v>12300</v>
      </c>
      <c r="O373" s="20" t="n">
        <f aca="false">IF(N373="","",N373*J373)</f>
        <v>0</v>
      </c>
      <c r="P373" s="20" t="n">
        <f aca="false">IF(N373="","",N373-O373)</f>
        <v>12300</v>
      </c>
      <c r="Q373" s="22" t="n">
        <f aca="false">IF(B373="","",DATE(YEAR(B373),MONTH(B373),1))</f>
        <v>45748</v>
      </c>
      <c r="R373" s="17" t="str">
        <f aca="false">IF(A373="","Invalid - Exclude",IF(COUNTIF($A$2:A373,A373)&gt;1,"Duplicate - Exclude",IF(OR(B373="",H373="",I373=""),"Invalid - Exclude","Valid")))</f>
        <v>Valid</v>
      </c>
      <c r="S373" s="17" t="str">
        <f aca="false">IF(R373="Valid","",IF(R373="Duplicate - Exclude","Repeat of an earlier Order ID",IF(B373="","Date missing or unreadable",IF(H373="","Quantity missing or unreadable",IF(I373="","Unit price missing or unreadable","Order ID missing")))))</f>
        <v/>
      </c>
    </row>
    <row r="374" customFormat="false" ht="15" hidden="false" customHeight="true" outlineLevel="0" collapsed="false">
      <c r="A374" s="9" t="str">
        <f aca="false">UPPER(TRIM(Raw_Data!A374))</f>
        <v>ORD-1355</v>
      </c>
      <c r="B374" s="10" t="n">
        <f aca="false">IFERROR(IF(ISNUMBER(Raw_Data!B374),Raw_Data!B374,IF(ISNUMBER(FIND("/",Raw_Data!B374)),DATE(VALUE(RIGHT(TRIM(Raw_Data!B374),4)),VALUE(MID(TRIM(Raw_Data!B374),4,2)),VALUE(LEFT(TRIM(Raw_Data!B374),2))),IF(MID(TRIM(Raw_Data!B374),5,1)="-",DATE(VALUE(LEFT(TRIM(Raw_Data!B374),4)),VALUE(MID(TRIM(Raw_Data!B374),6,2)),VALUE(RIGHT(TRIM(Raw_Data!B374),2))),DATE(VALUE(RIGHT(TRIM(Raw_Data!B374),4)),MATCH(MID(TRIM(Raw_Data!B374),4,3),{"Jan","Feb","Mar","Apr","May","Jun","Jul","Aug","Sep","Oct","Nov","Dec"},0),VALUE(LEFT(TRIM(Raw_Data!B374),2)))))),"")</f>
        <v>45728</v>
      </c>
      <c r="C374" s="9" t="str">
        <f aca="false">IF(TRIM(Raw_Data!C374)="","Unknown",PROPER(TRIM(Raw_Data!C374)))</f>
        <v>Usman Mirza</v>
      </c>
      <c r="D374" s="9" t="str">
        <f aca="false">IFERROR(INDEX({"Punjab","Sindh","KPK","Balochistan"},MATCH(UPPER(LEFT(TRIM(Raw_Data!D374),1)),{"P","S","K","B"},0)),IFERROR(INDEX(Data_Dictionary!$G$4:$G$16,MATCH(E374,Data_Dictionary!$F$4:$F$16,0)),"Unassigned"))</f>
        <v>Punjab</v>
      </c>
      <c r="E374" s="9" t="str">
        <f aca="false">IF(TRIM(Raw_Data!E374)="","Unknown",PROPER(TRIM(Raw_Data!E374)))</f>
        <v>Rawalpindi</v>
      </c>
      <c r="F374" s="9" t="str">
        <f aca="false">IFERROR(INDEX({"Electronics","Home &amp; Kitchen","Clothing","Groceries","Beauty"},MATCH(UPPER(LEFT(TRIM(Raw_Data!F374),3)),{"ELE","HOM","CLO","GRO","BEA"},0)),"Uncategorised")</f>
        <v>Home &amp; Kitchen</v>
      </c>
      <c r="G374" s="9" t="str">
        <f aca="false">IF(TRIM(Raw_Data!G374)="","Unknown",PROPER(TRIM(Raw_Data!G374)))</f>
        <v>Rice Cooker</v>
      </c>
      <c r="H374" s="11" t="n">
        <f aca="false">IFERROR(ABS(VALUE(TRIM(Raw_Data!H374))),"")</f>
        <v>7</v>
      </c>
      <c r="I374" s="12" t="n">
        <f aca="false">IFERROR(VALUE(TRIM(SUBSTITUTE(SUBSTITUTE(SUBSTITUTE(SUBSTITUTE(TRIM(Raw_Data!I374),"PKR",""),"Rs.",""),"Rs",""),",",""))),"")</f>
        <v>7250</v>
      </c>
      <c r="J374" s="13" t="n">
        <f aca="false">IFERROR(IF(TRIM(Raw_Data!J374)="",0,IF(VALUE(TRIM(Raw_Data!J374))&gt;1,VALUE(TRIM(Raw_Data!J374))/100,VALUE(TRIM(Raw_Data!J374)))),0)</f>
        <v>0.15</v>
      </c>
      <c r="K374" s="9" t="str">
        <f aca="false">IF(TRIM(Raw_Data!K374)="","Unassigned",PROPER(TRIM(Raw_Data!K374)))</f>
        <v>Faisal Mehmood</v>
      </c>
      <c r="L374" s="9" t="str">
        <f aca="false">IFERROR(INDEX({"Credit Card","Credit Card","Debit Card","Debit Card","Cash","PayPal"},MATCH(UPPER(LEFT(TRIM(Raw_Data!L374),2)),{"CR","CC","DE","DC","CA","PA"},0)),"Other")</f>
        <v>Credit Card</v>
      </c>
      <c r="M374" s="9" t="str">
        <f aca="false">IFERROR(INDEX({"Completed","Returned","Cancelled","Pending"},MATCH(UPPER(LEFT(TRIM(Raw_Data!M374),3)),{"COM","RET","CAN","PEN"},0)),"Unknown")</f>
        <v>Returned</v>
      </c>
      <c r="N374" s="14" t="n">
        <f aca="false">IF(OR(H374="",I374=""),"",H374*I374)</f>
        <v>50750</v>
      </c>
      <c r="O374" s="14" t="n">
        <f aca="false">IF(N374="","",N374*J374)</f>
        <v>7612.5</v>
      </c>
      <c r="P374" s="14" t="n">
        <f aca="false">IF(N374="","",N374-O374)</f>
        <v>43137.5</v>
      </c>
      <c r="Q374" s="15" t="n">
        <f aca="false">IF(B374="","",DATE(YEAR(B374),MONTH(B374),1))</f>
        <v>45717</v>
      </c>
      <c r="R374" s="16" t="str">
        <f aca="false">IF(A374="","Invalid - Exclude",IF(COUNTIF($A$2:A374,A374)&gt;1,"Duplicate - Exclude",IF(OR(B374="",H374="",I374=""),"Invalid - Exclude","Valid")))</f>
        <v>Valid</v>
      </c>
      <c r="S374" s="16" t="str">
        <f aca="false">IF(R374="Valid","",IF(R374="Duplicate - Exclude","Repeat of an earlier Order ID",IF(B374="","Date missing or unreadable",IF(H374="","Quantity missing or unreadable",IF(I374="","Unit price missing or unreadable","Order ID missing")))))</f>
        <v/>
      </c>
    </row>
    <row r="375" customFormat="false" ht="15" hidden="false" customHeight="true" outlineLevel="0" collapsed="false">
      <c r="A375" s="17" t="str">
        <f aca="false">UPPER(TRIM(Raw_Data!A375))</f>
        <v>ORD-1356</v>
      </c>
      <c r="B375" s="18" t="n">
        <f aca="false">IFERROR(IF(ISNUMBER(Raw_Data!B375),Raw_Data!B375,IF(ISNUMBER(FIND("/",Raw_Data!B375)),DATE(VALUE(RIGHT(TRIM(Raw_Data!B375),4)),VALUE(MID(TRIM(Raw_Data!B375),4,2)),VALUE(LEFT(TRIM(Raw_Data!B375),2))),IF(MID(TRIM(Raw_Data!B375),5,1)="-",DATE(VALUE(LEFT(TRIM(Raw_Data!B375),4)),VALUE(MID(TRIM(Raw_Data!B375),6,2)),VALUE(RIGHT(TRIM(Raw_Data!B375),2))),DATE(VALUE(RIGHT(TRIM(Raw_Data!B375),4)),MATCH(MID(TRIM(Raw_Data!B375),4,3),{"Jan","Feb","Mar","Apr","May","Jun","Jul","Aug","Sep","Oct","Nov","Dec"},0),VALUE(LEFT(TRIM(Raw_Data!B375),2)))))),"")</f>
        <v>46016</v>
      </c>
      <c r="C375" s="17" t="str">
        <f aca="false">IF(TRIM(Raw_Data!C375)="","Unknown",PROPER(TRIM(Raw_Data!C375)))</f>
        <v>Hina Malik</v>
      </c>
      <c r="D375" s="17" t="str">
        <f aca="false">IFERROR(INDEX({"Punjab","Sindh","KPK","Balochistan"},MATCH(UPPER(LEFT(TRIM(Raw_Data!D375),1)),{"P","S","K","B"},0)),IFERROR(INDEX(Data_Dictionary!$G$4:$G$16,MATCH(E375,Data_Dictionary!$F$4:$F$16,0)),"Unassigned"))</f>
        <v>Punjab</v>
      </c>
      <c r="E375" s="17" t="str">
        <f aca="false">IF(TRIM(Raw_Data!E375)="","Unknown",PROPER(TRIM(Raw_Data!E375)))</f>
        <v>Multan</v>
      </c>
      <c r="F375" s="17" t="str">
        <f aca="false">IFERROR(INDEX({"Electronics","Home &amp; Kitchen","Clothing","Groceries","Beauty"},MATCH(UPPER(LEFT(TRIM(Raw_Data!F375),3)),{"ELE","HOM","CLO","GRO","BEA"},0)),"Uncategorised")</f>
        <v>Groceries</v>
      </c>
      <c r="G375" s="17" t="str">
        <f aca="false">IF(TRIM(Raw_Data!G375)="","Unknown",PROPER(TRIM(Raw_Data!G375)))</f>
        <v>Cooking Oil 5 Litre</v>
      </c>
      <c r="H375" s="19" t="n">
        <f aca="false">IFERROR(ABS(VALUE(TRIM(Raw_Data!H375))),"")</f>
        <v>3</v>
      </c>
      <c r="I375" s="20" t="n">
        <f aca="false">IFERROR(VALUE(TRIM(SUBSTITUTE(SUBSTITUTE(SUBSTITUTE(SUBSTITUTE(TRIM(Raw_Data!I375),"PKR",""),"Rs.",""),"Rs",""),",",""))),"")</f>
        <v>2400</v>
      </c>
      <c r="J375" s="21" t="n">
        <f aca="false">IFERROR(IF(TRIM(Raw_Data!J375)="",0,IF(VALUE(TRIM(Raw_Data!J375))&gt;1,VALUE(TRIM(Raw_Data!J375))/100,VALUE(TRIM(Raw_Data!J375)))),0)</f>
        <v>0</v>
      </c>
      <c r="K375" s="17" t="str">
        <f aca="false">IF(TRIM(Raw_Data!K375)="","Unassigned",PROPER(TRIM(Raw_Data!K375)))</f>
        <v>Zoya Tariq</v>
      </c>
      <c r="L375" s="17" t="str">
        <f aca="false">IFERROR(INDEX({"Credit Card","Credit Card","Debit Card","Debit Card","Cash","PayPal"},MATCH(UPPER(LEFT(TRIM(Raw_Data!L375),2)),{"CR","CC","DE","DC","CA","PA"},0)),"Other")</f>
        <v>PayPal</v>
      </c>
      <c r="M375" s="17" t="str">
        <f aca="false">IFERROR(INDEX({"Completed","Returned","Cancelled","Pending"},MATCH(UPPER(LEFT(TRIM(Raw_Data!M375),3)),{"COM","RET","CAN","PEN"},0)),"Unknown")</f>
        <v>Pending</v>
      </c>
      <c r="N375" s="20" t="n">
        <f aca="false">IF(OR(H375="",I375=""),"",H375*I375)</f>
        <v>7200</v>
      </c>
      <c r="O375" s="20" t="n">
        <f aca="false">IF(N375="","",N375*J375)</f>
        <v>0</v>
      </c>
      <c r="P375" s="20" t="n">
        <f aca="false">IF(N375="","",N375-O375)</f>
        <v>7200</v>
      </c>
      <c r="Q375" s="22" t="n">
        <f aca="false">IF(B375="","",DATE(YEAR(B375),MONTH(B375),1))</f>
        <v>45992</v>
      </c>
      <c r="R375" s="17" t="str">
        <f aca="false">IF(A375="","Invalid - Exclude",IF(COUNTIF($A$2:A375,A375)&gt;1,"Duplicate - Exclude",IF(OR(B375="",H375="",I375=""),"Invalid - Exclude","Valid")))</f>
        <v>Valid</v>
      </c>
      <c r="S375" s="17" t="str">
        <f aca="false">IF(R375="Valid","",IF(R375="Duplicate - Exclude","Repeat of an earlier Order ID",IF(B375="","Date missing or unreadable",IF(H375="","Quantity missing or unreadable",IF(I375="","Unit price missing or unreadable","Order ID missing")))))</f>
        <v/>
      </c>
    </row>
    <row r="376" customFormat="false" ht="15" hidden="false" customHeight="true" outlineLevel="0" collapsed="false">
      <c r="A376" s="9" t="str">
        <f aca="false">UPPER(TRIM(Raw_Data!A376))</f>
        <v>ORD-1357</v>
      </c>
      <c r="B376" s="10" t="n">
        <f aca="false">IFERROR(IF(ISNUMBER(Raw_Data!B376),Raw_Data!B376,IF(ISNUMBER(FIND("/",Raw_Data!B376)),DATE(VALUE(RIGHT(TRIM(Raw_Data!B376),4)),VALUE(MID(TRIM(Raw_Data!B376),4,2)),VALUE(LEFT(TRIM(Raw_Data!B376),2))),IF(MID(TRIM(Raw_Data!B376),5,1)="-",DATE(VALUE(LEFT(TRIM(Raw_Data!B376),4)),VALUE(MID(TRIM(Raw_Data!B376),6,2)),VALUE(RIGHT(TRIM(Raw_Data!B376),2))),DATE(VALUE(RIGHT(TRIM(Raw_Data!B376),4)),MATCH(MID(TRIM(Raw_Data!B376),4,3),{"Jan","Feb","Mar","Apr","May","Jun","Jul","Aug","Sep","Oct","Nov","Dec"},0),VALUE(LEFT(TRIM(Raw_Data!B376),2)))))),"")</f>
        <v>45772</v>
      </c>
      <c r="C376" s="9" t="str">
        <f aca="false">IF(TRIM(Raw_Data!C376)="","Unknown",PROPER(TRIM(Raw_Data!C376)))</f>
        <v>Kashif Ansari</v>
      </c>
      <c r="D376" s="9" t="str">
        <f aca="false">IFERROR(INDEX({"Punjab","Sindh","KPK","Balochistan"},MATCH(UPPER(LEFT(TRIM(Raw_Data!D376),1)),{"P","S","K","B"},0)),IFERROR(INDEX(Data_Dictionary!$G$4:$G$16,MATCH(E376,Data_Dictionary!$F$4:$F$16,0)),"Unassigned"))</f>
        <v>Punjab</v>
      </c>
      <c r="E376" s="9" t="str">
        <f aca="false">IF(TRIM(Raw_Data!E376)="","Unknown",PROPER(TRIM(Raw_Data!E376)))</f>
        <v>Multan</v>
      </c>
      <c r="F376" s="9" t="str">
        <f aca="false">IFERROR(INDEX({"Electronics","Home &amp; Kitchen","Clothing","Groceries","Beauty"},MATCH(UPPER(LEFT(TRIM(Raw_Data!F376),3)),{"ELE","HOM","CLO","GRO","BEA"},0)),"Uncategorised")</f>
        <v>Uncategorised</v>
      </c>
      <c r="G376" s="9" t="str">
        <f aca="false">IF(TRIM(Raw_Data!G376)="","Unknown",PROPER(TRIM(Raw_Data!G376)))</f>
        <v>Hand Blender</v>
      </c>
      <c r="H376" s="11" t="n">
        <f aca="false">IFERROR(ABS(VALUE(TRIM(Raw_Data!H376))),"")</f>
        <v>6</v>
      </c>
      <c r="I376" s="12" t="n">
        <f aca="false">IFERROR(VALUE(TRIM(SUBSTITUTE(SUBSTITUTE(SUBSTITUTE(SUBSTITUTE(TRIM(Raw_Data!I376),"PKR",""),"Rs.",""),"Rs",""),",",""))),"")</f>
        <v>3800</v>
      </c>
      <c r="J376" s="13" t="n">
        <f aca="false">IFERROR(IF(TRIM(Raw_Data!J376)="",0,IF(VALUE(TRIM(Raw_Data!J376))&gt;1,VALUE(TRIM(Raw_Data!J376))/100,VALUE(TRIM(Raw_Data!J376)))),0)</f>
        <v>0.15</v>
      </c>
      <c r="K376" s="9" t="str">
        <f aca="false">IF(TRIM(Raw_Data!K376)="","Unassigned",PROPER(TRIM(Raw_Data!K376)))</f>
        <v>Faisal Mehmood</v>
      </c>
      <c r="L376" s="9" t="str">
        <f aca="false">IFERROR(INDEX({"Credit Card","Credit Card","Debit Card","Debit Card","Cash","PayPal"},MATCH(UPPER(LEFT(TRIM(Raw_Data!L376),2)),{"CR","CC","DE","DC","CA","PA"},0)),"Other")</f>
        <v>Cash</v>
      </c>
      <c r="M376" s="9" t="str">
        <f aca="false">IFERROR(INDEX({"Completed","Returned","Cancelled","Pending"},MATCH(UPPER(LEFT(TRIM(Raw_Data!M376),3)),{"COM","RET","CAN","PEN"},0)),"Unknown")</f>
        <v>Completed</v>
      </c>
      <c r="N376" s="14" t="n">
        <f aca="false">IF(OR(H376="",I376=""),"",H376*I376)</f>
        <v>22800</v>
      </c>
      <c r="O376" s="14" t="n">
        <f aca="false">IF(N376="","",N376*J376)</f>
        <v>3420</v>
      </c>
      <c r="P376" s="14" t="n">
        <f aca="false">IF(N376="","",N376-O376)</f>
        <v>19380</v>
      </c>
      <c r="Q376" s="15" t="n">
        <f aca="false">IF(B376="","",DATE(YEAR(B376),MONTH(B376),1))</f>
        <v>45748</v>
      </c>
      <c r="R376" s="16" t="str">
        <f aca="false">IF(A376="","Invalid - Exclude",IF(COUNTIF($A$2:A376,A376)&gt;1,"Duplicate - Exclude",IF(OR(B376="",H376="",I376=""),"Invalid - Exclude","Valid")))</f>
        <v>Valid</v>
      </c>
      <c r="S376" s="16" t="str">
        <f aca="false">IF(R376="Valid","",IF(R376="Duplicate - Exclude","Repeat of an earlier Order ID",IF(B376="","Date missing or unreadable",IF(H376="","Quantity missing or unreadable",IF(I376="","Unit price missing or unreadable","Order ID missing")))))</f>
        <v/>
      </c>
    </row>
    <row r="377" customFormat="false" ht="15" hidden="false" customHeight="true" outlineLevel="0" collapsed="false">
      <c r="A377" s="17" t="str">
        <f aca="false">UPPER(TRIM(Raw_Data!A377))</f>
        <v>ORD-1358</v>
      </c>
      <c r="B377" s="18" t="n">
        <f aca="false">IFERROR(IF(ISNUMBER(Raw_Data!B377),Raw_Data!B377,IF(ISNUMBER(FIND("/",Raw_Data!B377)),DATE(VALUE(RIGHT(TRIM(Raw_Data!B377),4)),VALUE(MID(TRIM(Raw_Data!B377),4,2)),VALUE(LEFT(TRIM(Raw_Data!B377),2))),IF(MID(TRIM(Raw_Data!B377),5,1)="-",DATE(VALUE(LEFT(TRIM(Raw_Data!B377),4)),VALUE(MID(TRIM(Raw_Data!B377),6,2)),VALUE(RIGHT(TRIM(Raw_Data!B377),2))),DATE(VALUE(RIGHT(TRIM(Raw_Data!B377),4)),MATCH(MID(TRIM(Raw_Data!B377),4,3),{"Jan","Feb","Mar","Apr","May","Jun","Jul","Aug","Sep","Oct","Nov","Dec"},0),VALUE(LEFT(TRIM(Raw_Data!B377),2)))))),"")</f>
        <v>45719</v>
      </c>
      <c r="C377" s="17" t="str">
        <f aca="false">IF(TRIM(Raw_Data!C377)="","Unknown",PROPER(TRIM(Raw_Data!C377)))</f>
        <v>Rabia Qureshi</v>
      </c>
      <c r="D377" s="17" t="str">
        <f aca="false">IFERROR(INDEX({"Punjab","Sindh","KPK","Balochistan"},MATCH(UPPER(LEFT(TRIM(Raw_Data!D377),1)),{"P","S","K","B"},0)),IFERROR(INDEX(Data_Dictionary!$G$4:$G$16,MATCH(E377,Data_Dictionary!$F$4:$F$16,0)),"Unassigned"))</f>
        <v>Punjab</v>
      </c>
      <c r="E377" s="17" t="str">
        <f aca="false">IF(TRIM(Raw_Data!E377)="","Unknown",PROPER(TRIM(Raw_Data!E377)))</f>
        <v>Faisalabad</v>
      </c>
      <c r="F377" s="17" t="str">
        <f aca="false">IFERROR(INDEX({"Electronics","Home &amp; Kitchen","Clothing","Groceries","Beauty"},MATCH(UPPER(LEFT(TRIM(Raw_Data!F377),3)),{"ELE","HOM","CLO","GRO","BEA"},0)),"Uncategorised")</f>
        <v>Electronics</v>
      </c>
      <c r="G377" s="17" t="str">
        <f aca="false">IF(TRIM(Raw_Data!G377)="","Unknown",PROPER(TRIM(Raw_Data!G377)))</f>
        <v>Smart Television 43 Inch</v>
      </c>
      <c r="H377" s="19" t="n">
        <f aca="false">IFERROR(ABS(VALUE(TRIM(Raw_Data!H377))),"")</f>
        <v>7</v>
      </c>
      <c r="I377" s="20" t="n">
        <f aca="false">IFERROR(VALUE(TRIM(SUBSTITUTE(SUBSTITUTE(SUBSTITUTE(SUBSTITUTE(TRIM(Raw_Data!I377),"PKR",""),"Rs.",""),"Rs",""),",",""))),"")</f>
        <v>52500</v>
      </c>
      <c r="J377" s="21" t="n">
        <f aca="false">IFERROR(IF(TRIM(Raw_Data!J377)="",0,IF(VALUE(TRIM(Raw_Data!J377))&gt;1,VALUE(TRIM(Raw_Data!J377))/100,VALUE(TRIM(Raw_Data!J377)))),0)</f>
        <v>0.15</v>
      </c>
      <c r="K377" s="17" t="str">
        <f aca="false">IF(TRIM(Raw_Data!K377)="","Unassigned",PROPER(TRIM(Raw_Data!K377)))</f>
        <v>Imran Shah</v>
      </c>
      <c r="L377" s="17" t="str">
        <f aca="false">IFERROR(INDEX({"Credit Card","Credit Card","Debit Card","Debit Card","Cash","PayPal"},MATCH(UPPER(LEFT(TRIM(Raw_Data!L377),2)),{"CR","CC","DE","DC","CA","PA"},0)),"Other")</f>
        <v>Debit Card</v>
      </c>
      <c r="M377" s="17" t="str">
        <f aca="false">IFERROR(INDEX({"Completed","Returned","Cancelled","Pending"},MATCH(UPPER(LEFT(TRIM(Raw_Data!M377),3)),{"COM","RET","CAN","PEN"},0)),"Unknown")</f>
        <v>Completed</v>
      </c>
      <c r="N377" s="20" t="n">
        <f aca="false">IF(OR(H377="",I377=""),"",H377*I377)</f>
        <v>367500</v>
      </c>
      <c r="O377" s="20" t="n">
        <f aca="false">IF(N377="","",N377*J377)</f>
        <v>55125</v>
      </c>
      <c r="P377" s="20" t="n">
        <f aca="false">IF(N377="","",N377-O377)</f>
        <v>312375</v>
      </c>
      <c r="Q377" s="22" t="n">
        <f aca="false">IF(B377="","",DATE(YEAR(B377),MONTH(B377),1))</f>
        <v>45717</v>
      </c>
      <c r="R377" s="17" t="str">
        <f aca="false">IF(A377="","Invalid - Exclude",IF(COUNTIF($A$2:A377,A377)&gt;1,"Duplicate - Exclude",IF(OR(B377="",H377="",I377=""),"Invalid - Exclude","Valid")))</f>
        <v>Valid</v>
      </c>
      <c r="S377" s="17" t="str">
        <f aca="false">IF(R377="Valid","",IF(R377="Duplicate - Exclude","Repeat of an earlier Order ID",IF(B377="","Date missing or unreadable",IF(H377="","Quantity missing or unreadable",IF(I377="","Unit price missing or unreadable","Order ID missing")))))</f>
        <v/>
      </c>
    </row>
    <row r="378" customFormat="false" ht="15" hidden="false" customHeight="true" outlineLevel="0" collapsed="false">
      <c r="A378" s="9" t="str">
        <f aca="false">UPPER(TRIM(Raw_Data!A378))</f>
        <v>ORD-1359</v>
      </c>
      <c r="B378" s="10" t="n">
        <f aca="false">IFERROR(IF(ISNUMBER(Raw_Data!B378),Raw_Data!B378,IF(ISNUMBER(FIND("/",Raw_Data!B378)),DATE(VALUE(RIGHT(TRIM(Raw_Data!B378),4)),VALUE(MID(TRIM(Raw_Data!B378),4,2)),VALUE(LEFT(TRIM(Raw_Data!B378),2))),IF(MID(TRIM(Raw_Data!B378),5,1)="-",DATE(VALUE(LEFT(TRIM(Raw_Data!B378),4)),VALUE(MID(TRIM(Raw_Data!B378),6,2)),VALUE(RIGHT(TRIM(Raw_Data!B378),2))),DATE(VALUE(RIGHT(TRIM(Raw_Data!B378),4)),MATCH(MID(TRIM(Raw_Data!B378),4,3),{"Jan","Feb","Mar","Apr","May","Jun","Jul","Aug","Sep","Oct","Nov","Dec"},0),VALUE(LEFT(TRIM(Raw_Data!B378),2)))))),"")</f>
        <v>45785</v>
      </c>
      <c r="C378" s="9" t="str">
        <f aca="false">IF(TRIM(Raw_Data!C378)="","Unknown",PROPER(TRIM(Raw_Data!C378)))</f>
        <v>Sana Siddiqui</v>
      </c>
      <c r="D378" s="9" t="str">
        <f aca="false">IFERROR(INDEX({"Punjab","Sindh","KPK","Balochistan"},MATCH(UPPER(LEFT(TRIM(Raw_Data!D378),1)),{"P","S","K","B"},0)),IFERROR(INDEX(Data_Dictionary!$G$4:$G$16,MATCH(E378,Data_Dictionary!$F$4:$F$16,0)),"Unassigned"))</f>
        <v>Punjab</v>
      </c>
      <c r="E378" s="9" t="str">
        <f aca="false">IF(TRIM(Raw_Data!E378)="","Unknown",PROPER(TRIM(Raw_Data!E378)))</f>
        <v>Multan</v>
      </c>
      <c r="F378" s="9" t="str">
        <f aca="false">IFERROR(INDEX({"Electronics","Home &amp; Kitchen","Clothing","Groceries","Beauty"},MATCH(UPPER(LEFT(TRIM(Raw_Data!F378),3)),{"ELE","HOM","CLO","GRO","BEA"},0)),"Uncategorised")</f>
        <v>Home &amp; Kitchen</v>
      </c>
      <c r="G378" s="9" t="str">
        <f aca="false">IF(TRIM(Raw_Data!G378)="","Unknown",PROPER(TRIM(Raw_Data!G378)))</f>
        <v>Hand Blender</v>
      </c>
      <c r="H378" s="11" t="n">
        <f aca="false">IFERROR(ABS(VALUE(TRIM(Raw_Data!H378))),"")</f>
        <v>1</v>
      </c>
      <c r="I378" s="12" t="n">
        <f aca="false">IFERROR(VALUE(TRIM(SUBSTITUTE(SUBSTITUTE(SUBSTITUTE(SUBSTITUTE(TRIM(Raw_Data!I378),"PKR",""),"Rs.",""),"Rs",""),",",""))),"")</f>
        <v>3800</v>
      </c>
      <c r="J378" s="13" t="n">
        <f aca="false">IFERROR(IF(TRIM(Raw_Data!J378)="",0,IF(VALUE(TRIM(Raw_Data!J378))&gt;1,VALUE(TRIM(Raw_Data!J378))/100,VALUE(TRIM(Raw_Data!J378)))),0)</f>
        <v>0.05</v>
      </c>
      <c r="K378" s="9" t="str">
        <f aca="false">IF(TRIM(Raw_Data!K378)="","Unassigned",PROPER(TRIM(Raw_Data!K378)))</f>
        <v>Imran Shah</v>
      </c>
      <c r="L378" s="9" t="str">
        <f aca="false">IFERROR(INDEX({"Credit Card","Credit Card","Debit Card","Debit Card","Cash","PayPal"},MATCH(UPPER(LEFT(TRIM(Raw_Data!L378),2)),{"CR","CC","DE","DC","CA","PA"},0)),"Other")</f>
        <v>Debit Card</v>
      </c>
      <c r="M378" s="9" t="str">
        <f aca="false">IFERROR(INDEX({"Completed","Returned","Cancelled","Pending"},MATCH(UPPER(LEFT(TRIM(Raw_Data!M378),3)),{"COM","RET","CAN","PEN"},0)),"Unknown")</f>
        <v>Completed</v>
      </c>
      <c r="N378" s="14" t="n">
        <f aca="false">IF(OR(H378="",I378=""),"",H378*I378)</f>
        <v>3800</v>
      </c>
      <c r="O378" s="14" t="n">
        <f aca="false">IF(N378="","",N378*J378)</f>
        <v>190</v>
      </c>
      <c r="P378" s="14" t="n">
        <f aca="false">IF(N378="","",N378-O378)</f>
        <v>3610</v>
      </c>
      <c r="Q378" s="15" t="n">
        <f aca="false">IF(B378="","",DATE(YEAR(B378),MONTH(B378),1))</f>
        <v>45778</v>
      </c>
      <c r="R378" s="16" t="str">
        <f aca="false">IF(A378="","Invalid - Exclude",IF(COUNTIF($A$2:A378,A378)&gt;1,"Duplicate - Exclude",IF(OR(B378="",H378="",I378=""),"Invalid - Exclude","Valid")))</f>
        <v>Valid</v>
      </c>
      <c r="S378" s="16" t="str">
        <f aca="false">IF(R378="Valid","",IF(R378="Duplicate - Exclude","Repeat of an earlier Order ID",IF(B378="","Date missing or unreadable",IF(H378="","Quantity missing or unreadable",IF(I378="","Unit price missing or unreadable","Order ID missing")))))</f>
        <v/>
      </c>
    </row>
    <row r="379" customFormat="false" ht="15" hidden="false" customHeight="true" outlineLevel="0" collapsed="false">
      <c r="A379" s="17" t="str">
        <f aca="false">UPPER(TRIM(Raw_Data!A379))</f>
        <v>ORD-1360</v>
      </c>
      <c r="B379" s="18" t="n">
        <f aca="false">IFERROR(IF(ISNUMBER(Raw_Data!B379),Raw_Data!B379,IF(ISNUMBER(FIND("/",Raw_Data!B379)),DATE(VALUE(RIGHT(TRIM(Raw_Data!B379),4)),VALUE(MID(TRIM(Raw_Data!B379),4,2)),VALUE(LEFT(TRIM(Raw_Data!B379),2))),IF(MID(TRIM(Raw_Data!B379),5,1)="-",DATE(VALUE(LEFT(TRIM(Raw_Data!B379),4)),VALUE(MID(TRIM(Raw_Data!B379),6,2)),VALUE(RIGHT(TRIM(Raw_Data!B379),2))),DATE(VALUE(RIGHT(TRIM(Raw_Data!B379),4)),MATCH(MID(TRIM(Raw_Data!B379),4,3),{"Jan","Feb","Mar","Apr","May","Jun","Jul","Aug","Sep","Oct","Nov","Dec"},0),VALUE(LEFT(TRIM(Raw_Data!B379),2)))))),"")</f>
        <v>45679</v>
      </c>
      <c r="C379" s="17" t="str">
        <f aca="false">IF(TRIM(Raw_Data!C379)="","Unknown",PROPER(TRIM(Raw_Data!C379)))</f>
        <v>Tariq Qureshi</v>
      </c>
      <c r="D379" s="17" t="str">
        <f aca="false">IFERROR(INDEX({"Punjab","Sindh","KPK","Balochistan"},MATCH(UPPER(LEFT(TRIM(Raw_Data!D379),1)),{"P","S","K","B"},0)),IFERROR(INDEX(Data_Dictionary!$G$4:$G$16,MATCH(E379,Data_Dictionary!$F$4:$F$16,0)),"Unassigned"))</f>
        <v>Punjab</v>
      </c>
      <c r="E379" s="17" t="str">
        <f aca="false">IF(TRIM(Raw_Data!E379)="","Unknown",PROPER(TRIM(Raw_Data!E379)))</f>
        <v>Gujranwala</v>
      </c>
      <c r="F379" s="17" t="str">
        <f aca="false">IFERROR(INDEX({"Electronics","Home &amp; Kitchen","Clothing","Groceries","Beauty"},MATCH(UPPER(LEFT(TRIM(Raw_Data!F379),3)),{"ELE","HOM","CLO","GRO","BEA"},0)),"Uncategorised")</f>
        <v>Clothing</v>
      </c>
      <c r="G379" s="17" t="str">
        <f aca="false">IF(TRIM(Raw_Data!G379)="","Unknown",PROPER(TRIM(Raw_Data!G379)))</f>
        <v>Winter Jacket</v>
      </c>
      <c r="H379" s="19" t="n">
        <f aca="false">IFERROR(ABS(VALUE(TRIM(Raw_Data!H379))),"")</f>
        <v>1</v>
      </c>
      <c r="I379" s="20" t="n">
        <f aca="false">IFERROR(VALUE(TRIM(SUBSTITUTE(SUBSTITUTE(SUBSTITUTE(SUBSTITUTE(TRIM(Raw_Data!I379),"PKR",""),"Rs.",""),"Rs",""),",",""))),"")</f>
        <v>9450</v>
      </c>
      <c r="J379" s="21" t="n">
        <f aca="false">IFERROR(IF(TRIM(Raw_Data!J379)="",0,IF(VALUE(TRIM(Raw_Data!J379))&gt;1,VALUE(TRIM(Raw_Data!J379))/100,VALUE(TRIM(Raw_Data!J379)))),0)</f>
        <v>0.1</v>
      </c>
      <c r="K379" s="17" t="str">
        <f aca="false">IF(TRIM(Raw_Data!K379)="","Unassigned",PROPER(TRIM(Raw_Data!K379)))</f>
        <v>Nimra Aslam</v>
      </c>
      <c r="L379" s="17" t="str">
        <f aca="false">IFERROR(INDEX({"Credit Card","Credit Card","Debit Card","Debit Card","Cash","PayPal"},MATCH(UPPER(LEFT(TRIM(Raw_Data!L379),2)),{"CR","CC","DE","DC","CA","PA"},0)),"Other")</f>
        <v>Debit Card</v>
      </c>
      <c r="M379" s="17" t="str">
        <f aca="false">IFERROR(INDEX({"Completed","Returned","Cancelled","Pending"},MATCH(UPPER(LEFT(TRIM(Raw_Data!M379),3)),{"COM","RET","CAN","PEN"},0)),"Unknown")</f>
        <v>Completed</v>
      </c>
      <c r="N379" s="20" t="n">
        <f aca="false">IF(OR(H379="",I379=""),"",H379*I379)</f>
        <v>9450</v>
      </c>
      <c r="O379" s="20" t="n">
        <f aca="false">IF(N379="","",N379*J379)</f>
        <v>945</v>
      </c>
      <c r="P379" s="20" t="n">
        <f aca="false">IF(N379="","",N379-O379)</f>
        <v>8505</v>
      </c>
      <c r="Q379" s="22" t="n">
        <f aca="false">IF(B379="","",DATE(YEAR(B379),MONTH(B379),1))</f>
        <v>45658</v>
      </c>
      <c r="R379" s="17" t="str">
        <f aca="false">IF(A379="","Invalid - Exclude",IF(COUNTIF($A$2:A379,A379)&gt;1,"Duplicate - Exclude",IF(OR(B379="",H379="",I379=""),"Invalid - Exclude","Valid")))</f>
        <v>Valid</v>
      </c>
      <c r="S379" s="17" t="str">
        <f aca="false">IF(R379="Valid","",IF(R379="Duplicate - Exclude","Repeat of an earlier Order ID",IF(B379="","Date missing or unreadable",IF(H379="","Quantity missing or unreadable",IF(I379="","Unit price missing or unreadable","Order ID missing")))))</f>
        <v/>
      </c>
    </row>
    <row r="380" customFormat="false" ht="15" hidden="false" customHeight="true" outlineLevel="0" collapsed="false">
      <c r="A380" s="9" t="str">
        <f aca="false">UPPER(TRIM(Raw_Data!A380))</f>
        <v>ORD-1361</v>
      </c>
      <c r="B380" s="10" t="n">
        <f aca="false">IFERROR(IF(ISNUMBER(Raw_Data!B380),Raw_Data!B380,IF(ISNUMBER(FIND("/",Raw_Data!B380)),DATE(VALUE(RIGHT(TRIM(Raw_Data!B380),4)),VALUE(MID(TRIM(Raw_Data!B380),4,2)),VALUE(LEFT(TRIM(Raw_Data!B380),2))),IF(MID(TRIM(Raw_Data!B380),5,1)="-",DATE(VALUE(LEFT(TRIM(Raw_Data!B380),4)),VALUE(MID(TRIM(Raw_Data!B380),6,2)),VALUE(RIGHT(TRIM(Raw_Data!B380),2))),DATE(VALUE(RIGHT(TRIM(Raw_Data!B380),4)),MATCH(MID(TRIM(Raw_Data!B380),4,3),{"Jan","Feb","Mar","Apr","May","Jun","Jul","Aug","Sep","Oct","Nov","Dec"},0),VALUE(LEFT(TRIM(Raw_Data!B380),2)))))),"")</f>
        <v>45762</v>
      </c>
      <c r="C380" s="9" t="str">
        <f aca="false">IF(TRIM(Raw_Data!C380)="","Unknown",PROPER(TRIM(Raw_Data!C380)))</f>
        <v>Hamza Hussain</v>
      </c>
      <c r="D380" s="9" t="str">
        <f aca="false">IFERROR(INDEX({"Punjab","Sindh","KPK","Balochistan"},MATCH(UPPER(LEFT(TRIM(Raw_Data!D380),1)),{"P","S","K","B"},0)),IFERROR(INDEX(Data_Dictionary!$G$4:$G$16,MATCH(E380,Data_Dictionary!$F$4:$F$16,0)),"Unassigned"))</f>
        <v>Punjab</v>
      </c>
      <c r="E380" s="9" t="str">
        <f aca="false">IF(TRIM(Raw_Data!E380)="","Unknown",PROPER(TRIM(Raw_Data!E380)))</f>
        <v>Multan</v>
      </c>
      <c r="F380" s="9" t="str">
        <f aca="false">IFERROR(INDEX({"Electronics","Home &amp; Kitchen","Clothing","Groceries","Beauty"},MATCH(UPPER(LEFT(TRIM(Raw_Data!F380),3)),{"ELE","HOM","CLO","GRO","BEA"},0)),"Uncategorised")</f>
        <v>Home &amp; Kitchen</v>
      </c>
      <c r="G380" s="9" t="str">
        <f aca="false">IF(TRIM(Raw_Data!G380)="","Unknown",PROPER(TRIM(Raw_Data!G380)))</f>
        <v>Bedsheet Set</v>
      </c>
      <c r="H380" s="11" t="n">
        <f aca="false">IFERROR(ABS(VALUE(TRIM(Raw_Data!H380))),"")</f>
        <v>4</v>
      </c>
      <c r="I380" s="12" t="n">
        <f aca="false">IFERROR(VALUE(TRIM(SUBSTITUTE(SUBSTITUTE(SUBSTITUTE(SUBSTITUTE(TRIM(Raw_Data!I380),"PKR",""),"Rs.",""),"Rs",""),",",""))),"")</f>
        <v>5300</v>
      </c>
      <c r="J380" s="13" t="n">
        <f aca="false">IFERROR(IF(TRIM(Raw_Data!J380)="",0,IF(VALUE(TRIM(Raw_Data!J380))&gt;1,VALUE(TRIM(Raw_Data!J380))/100,VALUE(TRIM(Raw_Data!J380)))),0)</f>
        <v>0.1</v>
      </c>
      <c r="K380" s="9" t="str">
        <f aca="false">IF(TRIM(Raw_Data!K380)="","Unassigned",PROPER(TRIM(Raw_Data!K380)))</f>
        <v>Faisal Mehmood</v>
      </c>
      <c r="L380" s="9" t="str">
        <f aca="false">IFERROR(INDEX({"Credit Card","Credit Card","Debit Card","Debit Card","Cash","PayPal"},MATCH(UPPER(LEFT(TRIM(Raw_Data!L380),2)),{"CR","CC","DE","DC","CA","PA"},0)),"Other")</f>
        <v>Debit Card</v>
      </c>
      <c r="M380" s="9" t="str">
        <f aca="false">IFERROR(INDEX({"Completed","Returned","Cancelled","Pending"},MATCH(UPPER(LEFT(TRIM(Raw_Data!M380),3)),{"COM","RET","CAN","PEN"},0)),"Unknown")</f>
        <v>Completed</v>
      </c>
      <c r="N380" s="14" t="n">
        <f aca="false">IF(OR(H380="",I380=""),"",H380*I380)</f>
        <v>21200</v>
      </c>
      <c r="O380" s="14" t="n">
        <f aca="false">IF(N380="","",N380*J380)</f>
        <v>2120</v>
      </c>
      <c r="P380" s="14" t="n">
        <f aca="false">IF(N380="","",N380-O380)</f>
        <v>19080</v>
      </c>
      <c r="Q380" s="15" t="n">
        <f aca="false">IF(B380="","",DATE(YEAR(B380),MONTH(B380),1))</f>
        <v>45748</v>
      </c>
      <c r="R380" s="16" t="str">
        <f aca="false">IF(A380="","Invalid - Exclude",IF(COUNTIF($A$2:A380,A380)&gt;1,"Duplicate - Exclude",IF(OR(B380="",H380="",I380=""),"Invalid - Exclude","Valid")))</f>
        <v>Valid</v>
      </c>
      <c r="S380" s="16" t="str">
        <f aca="false">IF(R380="Valid","",IF(R380="Duplicate - Exclude","Repeat of an earlier Order ID",IF(B380="","Date missing or unreadable",IF(H380="","Quantity missing or unreadable",IF(I380="","Unit price missing or unreadable","Order ID missing")))))</f>
        <v/>
      </c>
    </row>
    <row r="381" customFormat="false" ht="15" hidden="false" customHeight="true" outlineLevel="0" collapsed="false">
      <c r="A381" s="17" t="str">
        <f aca="false">UPPER(TRIM(Raw_Data!A381))</f>
        <v>ORD-1362</v>
      </c>
      <c r="B381" s="18" t="n">
        <f aca="false">IFERROR(IF(ISNUMBER(Raw_Data!B381),Raw_Data!B381,IF(ISNUMBER(FIND("/",Raw_Data!B381)),DATE(VALUE(RIGHT(TRIM(Raw_Data!B381),4)),VALUE(MID(TRIM(Raw_Data!B381),4,2)),VALUE(LEFT(TRIM(Raw_Data!B381),2))),IF(MID(TRIM(Raw_Data!B381),5,1)="-",DATE(VALUE(LEFT(TRIM(Raw_Data!B381),4)),VALUE(MID(TRIM(Raw_Data!B381),6,2)),VALUE(RIGHT(TRIM(Raw_Data!B381),2))),DATE(VALUE(RIGHT(TRIM(Raw_Data!B381),4)),MATCH(MID(TRIM(Raw_Data!B381),4,3),{"Jan","Feb","Mar","Apr","May","Jun","Jul","Aug","Sep","Oct","Nov","Dec"},0),VALUE(LEFT(TRIM(Raw_Data!B381),2)))))),"")</f>
        <v>45761</v>
      </c>
      <c r="C381" s="17" t="str">
        <f aca="false">IF(TRIM(Raw_Data!C381)="","Unknown",PROPER(TRIM(Raw_Data!C381)))</f>
        <v>Hina Siddiqui</v>
      </c>
      <c r="D381" s="17" t="str">
        <f aca="false">IFERROR(INDEX({"Punjab","Sindh","KPK","Balochistan"},MATCH(UPPER(LEFT(TRIM(Raw_Data!D381),1)),{"P","S","K","B"},0)),IFERROR(INDEX(Data_Dictionary!$G$4:$G$16,MATCH(E381,Data_Dictionary!$F$4:$F$16,0)),"Unassigned"))</f>
        <v>KPK</v>
      </c>
      <c r="E381" s="17" t="str">
        <f aca="false">IF(TRIM(Raw_Data!E381)="","Unknown",PROPER(TRIM(Raw_Data!E381)))</f>
        <v>Mardan</v>
      </c>
      <c r="F381" s="17" t="str">
        <f aca="false">IFERROR(INDEX({"Electronics","Home &amp; Kitchen","Clothing","Groceries","Beauty"},MATCH(UPPER(LEFT(TRIM(Raw_Data!F381),3)),{"ELE","HOM","CLO","GRO","BEA"},0)),"Uncategorised")</f>
        <v>Clothing</v>
      </c>
      <c r="G381" s="17" t="str">
        <f aca="false">IF(TRIM(Raw_Data!G381)="","Unknown",PROPER(TRIM(Raw_Data!G381)))</f>
        <v>Mens Kurta</v>
      </c>
      <c r="H381" s="19" t="n">
        <f aca="false">IFERROR(ABS(VALUE(TRIM(Raw_Data!H381))),"")</f>
        <v>8</v>
      </c>
      <c r="I381" s="20" t="n">
        <f aca="false">IFERROR(VALUE(TRIM(SUBSTITUTE(SUBSTITUTE(SUBSTITUTE(SUBSTITUTE(TRIM(Raw_Data!I381),"PKR",""),"Rs.",""),"Rs",""),",",""))),"")</f>
        <v>3100</v>
      </c>
      <c r="J381" s="21" t="n">
        <f aca="false">IFERROR(IF(TRIM(Raw_Data!J381)="",0,IF(VALUE(TRIM(Raw_Data!J381))&gt;1,VALUE(TRIM(Raw_Data!J381))/100,VALUE(TRIM(Raw_Data!J381)))),0)</f>
        <v>0.15</v>
      </c>
      <c r="K381" s="17" t="str">
        <f aca="false">IF(TRIM(Raw_Data!K381)="","Unassigned",PROPER(TRIM(Raw_Data!K381)))</f>
        <v>Imran Shah</v>
      </c>
      <c r="L381" s="17" t="str">
        <f aca="false">IFERROR(INDEX({"Credit Card","Credit Card","Debit Card","Debit Card","Cash","PayPal"},MATCH(UPPER(LEFT(TRIM(Raw_Data!L381),2)),{"CR","CC","DE","DC","CA","PA"},0)),"Other")</f>
        <v>PayPal</v>
      </c>
      <c r="M381" s="17" t="str">
        <f aca="false">IFERROR(INDEX({"Completed","Returned","Cancelled","Pending"},MATCH(UPPER(LEFT(TRIM(Raw_Data!M381),3)),{"COM","RET","CAN","PEN"},0)),"Unknown")</f>
        <v>Completed</v>
      </c>
      <c r="N381" s="20" t="n">
        <f aca="false">IF(OR(H381="",I381=""),"",H381*I381)</f>
        <v>24800</v>
      </c>
      <c r="O381" s="20" t="n">
        <f aca="false">IF(N381="","",N381*J381)</f>
        <v>3720</v>
      </c>
      <c r="P381" s="20" t="n">
        <f aca="false">IF(N381="","",N381-O381)</f>
        <v>21080</v>
      </c>
      <c r="Q381" s="22" t="n">
        <f aca="false">IF(B381="","",DATE(YEAR(B381),MONTH(B381),1))</f>
        <v>45748</v>
      </c>
      <c r="R381" s="17" t="str">
        <f aca="false">IF(A381="","Invalid - Exclude",IF(COUNTIF($A$2:A381,A381)&gt;1,"Duplicate - Exclude",IF(OR(B381="",H381="",I381=""),"Invalid - Exclude","Valid")))</f>
        <v>Valid</v>
      </c>
      <c r="S381" s="17" t="str">
        <f aca="false">IF(R381="Valid","",IF(R381="Duplicate - Exclude","Repeat of an earlier Order ID",IF(B381="","Date missing or unreadable",IF(H381="","Quantity missing or unreadable",IF(I381="","Unit price missing or unreadable","Order ID missing")))))</f>
        <v/>
      </c>
    </row>
    <row r="382" customFormat="false" ht="15" hidden="false" customHeight="true" outlineLevel="0" collapsed="false">
      <c r="A382" s="9" t="str">
        <f aca="false">UPPER(TRIM(Raw_Data!A382))</f>
        <v>ORD-1363</v>
      </c>
      <c r="B382" s="10" t="n">
        <f aca="false">IFERROR(IF(ISNUMBER(Raw_Data!B382),Raw_Data!B382,IF(ISNUMBER(FIND("/",Raw_Data!B382)),DATE(VALUE(RIGHT(TRIM(Raw_Data!B382),4)),VALUE(MID(TRIM(Raw_Data!B382),4,2)),VALUE(LEFT(TRIM(Raw_Data!B382),2))),IF(MID(TRIM(Raw_Data!B382),5,1)="-",DATE(VALUE(LEFT(TRIM(Raw_Data!B382),4)),VALUE(MID(TRIM(Raw_Data!B382),6,2)),VALUE(RIGHT(TRIM(Raw_Data!B382),2))),DATE(VALUE(RIGHT(TRIM(Raw_Data!B382),4)),MATCH(MID(TRIM(Raw_Data!B382),4,3),{"Jan","Feb","Mar","Apr","May","Jun","Jul","Aug","Sep","Oct","Nov","Dec"},0),VALUE(LEFT(TRIM(Raw_Data!B382),2)))))),"")</f>
        <v>45745</v>
      </c>
      <c r="C382" s="9" t="str">
        <f aca="false">IF(TRIM(Raw_Data!C382)="","Unknown",PROPER(TRIM(Raw_Data!C382)))</f>
        <v>Unknown</v>
      </c>
      <c r="D382" s="9" t="str">
        <f aca="false">IFERROR(INDEX({"Punjab","Sindh","KPK","Balochistan"},MATCH(UPPER(LEFT(TRIM(Raw_Data!D382),1)),{"P","S","K","B"},0)),IFERROR(INDEX(Data_Dictionary!$G$4:$G$16,MATCH(E382,Data_Dictionary!$F$4:$F$16,0)),"Unassigned"))</f>
        <v>Sindh</v>
      </c>
      <c r="E382" s="9" t="str">
        <f aca="false">IF(TRIM(Raw_Data!E382)="","Unknown",PROPER(TRIM(Raw_Data!E382)))</f>
        <v>Karachi</v>
      </c>
      <c r="F382" s="9" t="str">
        <f aca="false">IFERROR(INDEX({"Electronics","Home &amp; Kitchen","Clothing","Groceries","Beauty"},MATCH(UPPER(LEFT(TRIM(Raw_Data!F382),3)),{"ELE","HOM","CLO","GRO","BEA"},0)),"Uncategorised")</f>
        <v>Electronics</v>
      </c>
      <c r="G382" s="9" t="str">
        <f aca="false">IF(TRIM(Raw_Data!G382)="","Unknown",PROPER(TRIM(Raw_Data!G382)))</f>
        <v>Smart Television 43 Inch</v>
      </c>
      <c r="H382" s="11" t="n">
        <f aca="false">IFERROR(ABS(VALUE(TRIM(Raw_Data!H382))),"")</f>
        <v>2</v>
      </c>
      <c r="I382" s="12" t="n">
        <f aca="false">IFERROR(VALUE(TRIM(SUBSTITUTE(SUBSTITUTE(SUBSTITUTE(SUBSTITUTE(TRIM(Raw_Data!I382),"PKR",""),"Rs.",""),"Rs",""),",",""))),"")</f>
        <v>51800</v>
      </c>
      <c r="J382" s="13" t="n">
        <f aca="false">IFERROR(IF(TRIM(Raw_Data!J382)="",0,IF(VALUE(TRIM(Raw_Data!J382))&gt;1,VALUE(TRIM(Raw_Data!J382))/100,VALUE(TRIM(Raw_Data!J382)))),0)</f>
        <v>0.1</v>
      </c>
      <c r="K382" s="9" t="str">
        <f aca="false">IF(TRIM(Raw_Data!K382)="","Unassigned",PROPER(TRIM(Raw_Data!K382)))</f>
        <v>Nimra Aslam</v>
      </c>
      <c r="L382" s="9" t="str">
        <f aca="false">IFERROR(INDEX({"Credit Card","Credit Card","Debit Card","Debit Card","Cash","PayPal"},MATCH(UPPER(LEFT(TRIM(Raw_Data!L382),2)),{"CR","CC","DE","DC","CA","PA"},0)),"Other")</f>
        <v>Debit Card</v>
      </c>
      <c r="M382" s="9" t="str">
        <f aca="false">IFERROR(INDEX({"Completed","Returned","Cancelled","Pending"},MATCH(UPPER(LEFT(TRIM(Raw_Data!M382),3)),{"COM","RET","CAN","PEN"},0)),"Unknown")</f>
        <v>Completed</v>
      </c>
      <c r="N382" s="14" t="n">
        <f aca="false">IF(OR(H382="",I382=""),"",H382*I382)</f>
        <v>103600</v>
      </c>
      <c r="O382" s="14" t="n">
        <f aca="false">IF(N382="","",N382*J382)</f>
        <v>10360</v>
      </c>
      <c r="P382" s="14" t="n">
        <f aca="false">IF(N382="","",N382-O382)</f>
        <v>93240</v>
      </c>
      <c r="Q382" s="15" t="n">
        <f aca="false">IF(B382="","",DATE(YEAR(B382),MONTH(B382),1))</f>
        <v>45717</v>
      </c>
      <c r="R382" s="16" t="str">
        <f aca="false">IF(A382="","Invalid - Exclude",IF(COUNTIF($A$2:A382,A382)&gt;1,"Duplicate - Exclude",IF(OR(B382="",H382="",I382=""),"Invalid - Exclude","Valid")))</f>
        <v>Valid</v>
      </c>
      <c r="S382" s="16" t="str">
        <f aca="false">IF(R382="Valid","",IF(R382="Duplicate - Exclude","Repeat of an earlier Order ID",IF(B382="","Date missing or unreadable",IF(H382="","Quantity missing or unreadable",IF(I382="","Unit price missing or unreadable","Order ID missing")))))</f>
        <v/>
      </c>
    </row>
    <row r="383" customFormat="false" ht="15" hidden="false" customHeight="true" outlineLevel="0" collapsed="false">
      <c r="A383" s="17" t="str">
        <f aca="false">UPPER(TRIM(Raw_Data!A383))</f>
        <v>ORD-1364</v>
      </c>
      <c r="B383" s="18" t="n">
        <f aca="false">IFERROR(IF(ISNUMBER(Raw_Data!B383),Raw_Data!B383,IF(ISNUMBER(FIND("/",Raw_Data!B383)),DATE(VALUE(RIGHT(TRIM(Raw_Data!B383),4)),VALUE(MID(TRIM(Raw_Data!B383),4,2)),VALUE(LEFT(TRIM(Raw_Data!B383),2))),IF(MID(TRIM(Raw_Data!B383),5,1)="-",DATE(VALUE(LEFT(TRIM(Raw_Data!B383),4)),VALUE(MID(TRIM(Raw_Data!B383),6,2)),VALUE(RIGHT(TRIM(Raw_Data!B383),2))),DATE(VALUE(RIGHT(TRIM(Raw_Data!B383),4)),MATCH(MID(TRIM(Raw_Data!B383),4,3),{"Jan","Feb","Mar","Apr","May","Jun","Jul","Aug","Sep","Oct","Nov","Dec"},0),VALUE(LEFT(TRIM(Raw_Data!B383),2)))))),"")</f>
        <v>45741</v>
      </c>
      <c r="C383" s="17" t="str">
        <f aca="false">IF(TRIM(Raw_Data!C383)="","Unknown",PROPER(TRIM(Raw_Data!C383)))</f>
        <v>Iqra Butt</v>
      </c>
      <c r="D383" s="17" t="str">
        <f aca="false">IFERROR(INDEX({"Punjab","Sindh","KPK","Balochistan"},MATCH(UPPER(LEFT(TRIM(Raw_Data!D383),1)),{"P","S","K","B"},0)),IFERROR(INDEX(Data_Dictionary!$G$4:$G$16,MATCH(E383,Data_Dictionary!$F$4:$F$16,0)),"Unassigned"))</f>
        <v>KPK</v>
      </c>
      <c r="E383" s="17" t="str">
        <f aca="false">IF(TRIM(Raw_Data!E383)="","Unknown",PROPER(TRIM(Raw_Data!E383)))</f>
        <v>Abbottabad</v>
      </c>
      <c r="F383" s="17" t="str">
        <f aca="false">IFERROR(INDEX({"Electronics","Home &amp; Kitchen","Clothing","Groceries","Beauty"},MATCH(UPPER(LEFT(TRIM(Raw_Data!F383),3)),{"ELE","HOM","CLO","GRO","BEA"},0)),"Uncategorised")</f>
        <v>Groceries</v>
      </c>
      <c r="G383" s="17" t="str">
        <f aca="false">IF(TRIM(Raw_Data!G383)="","Unknown",PROPER(TRIM(Raw_Data!G383)))</f>
        <v>Refined Sugar 10 Kg</v>
      </c>
      <c r="H383" s="19" t="n">
        <f aca="false">IFERROR(ABS(VALUE(TRIM(Raw_Data!H383))),"")</f>
        <v>6</v>
      </c>
      <c r="I383" s="20" t="n">
        <f aca="false">IFERROR(VALUE(TRIM(SUBSTITUTE(SUBSTITUTE(SUBSTITUTE(SUBSTITUTE(TRIM(Raw_Data!I383),"PKR",""),"Rs.",""),"Rs",""),",",""))),"")</f>
        <v>1600</v>
      </c>
      <c r="J383" s="21" t="n">
        <f aca="false">IFERROR(IF(TRIM(Raw_Data!J383)="",0,IF(VALUE(TRIM(Raw_Data!J383))&gt;1,VALUE(TRIM(Raw_Data!J383))/100,VALUE(TRIM(Raw_Data!J383)))),0)</f>
        <v>0.05</v>
      </c>
      <c r="K383" s="17" t="str">
        <f aca="false">IF(TRIM(Raw_Data!K383)="","Unassigned",PROPER(TRIM(Raw_Data!K383)))</f>
        <v>Waqar Ahmed</v>
      </c>
      <c r="L383" s="17" t="str">
        <f aca="false">IFERROR(INDEX({"Credit Card","Credit Card","Debit Card","Debit Card","Cash","PayPal"},MATCH(UPPER(LEFT(TRIM(Raw_Data!L383),2)),{"CR","CC","DE","DC","CA","PA"},0)),"Other")</f>
        <v>Debit Card</v>
      </c>
      <c r="M383" s="17" t="str">
        <f aca="false">IFERROR(INDEX({"Completed","Returned","Cancelled","Pending"},MATCH(UPPER(LEFT(TRIM(Raw_Data!M383),3)),{"COM","RET","CAN","PEN"},0)),"Unknown")</f>
        <v>Completed</v>
      </c>
      <c r="N383" s="20" t="n">
        <f aca="false">IF(OR(H383="",I383=""),"",H383*I383)</f>
        <v>9600</v>
      </c>
      <c r="O383" s="20" t="n">
        <f aca="false">IF(N383="","",N383*J383)</f>
        <v>480</v>
      </c>
      <c r="P383" s="20" t="n">
        <f aca="false">IF(N383="","",N383-O383)</f>
        <v>9120</v>
      </c>
      <c r="Q383" s="22" t="n">
        <f aca="false">IF(B383="","",DATE(YEAR(B383),MONTH(B383),1))</f>
        <v>45717</v>
      </c>
      <c r="R383" s="17" t="str">
        <f aca="false">IF(A383="","Invalid - Exclude",IF(COUNTIF($A$2:A383,A383)&gt;1,"Duplicate - Exclude",IF(OR(B383="",H383="",I383=""),"Invalid - Exclude","Valid")))</f>
        <v>Valid</v>
      </c>
      <c r="S383" s="17" t="str">
        <f aca="false">IF(R383="Valid","",IF(R383="Duplicate - Exclude","Repeat of an earlier Order ID",IF(B383="","Date missing or unreadable",IF(H383="","Quantity missing or unreadable",IF(I383="","Unit price missing or unreadable","Order ID missing")))))</f>
        <v/>
      </c>
    </row>
    <row r="384" customFormat="false" ht="15" hidden="false" customHeight="true" outlineLevel="0" collapsed="false">
      <c r="A384" s="9" t="str">
        <f aca="false">UPPER(TRIM(Raw_Data!A384))</f>
        <v>ORD-1365</v>
      </c>
      <c r="B384" s="10" t="n">
        <f aca="false">IFERROR(IF(ISNUMBER(Raw_Data!B384),Raw_Data!B384,IF(ISNUMBER(FIND("/",Raw_Data!B384)),DATE(VALUE(RIGHT(TRIM(Raw_Data!B384),4)),VALUE(MID(TRIM(Raw_Data!B384),4,2)),VALUE(LEFT(TRIM(Raw_Data!B384),2))),IF(MID(TRIM(Raw_Data!B384),5,1)="-",DATE(VALUE(LEFT(TRIM(Raw_Data!B384),4)),VALUE(MID(TRIM(Raw_Data!B384),6,2)),VALUE(RIGHT(TRIM(Raw_Data!B384),2))),DATE(VALUE(RIGHT(TRIM(Raw_Data!B384),4)),MATCH(MID(TRIM(Raw_Data!B384),4,3),{"Jan","Feb","Mar","Apr","May","Jun","Jul","Aug","Sep","Oct","Nov","Dec"},0),VALUE(LEFT(TRIM(Raw_Data!B384),2)))))),"")</f>
        <v>46019</v>
      </c>
      <c r="C384" s="9" t="str">
        <f aca="false">IF(TRIM(Raw_Data!C384)="","Unknown",PROPER(TRIM(Raw_Data!C384)))</f>
        <v>Ahmed Qureshi</v>
      </c>
      <c r="D384" s="9" t="str">
        <f aca="false">IFERROR(INDEX({"Punjab","Sindh","KPK","Balochistan"},MATCH(UPPER(LEFT(TRIM(Raw_Data!D384),1)),{"P","S","K","B"},0)),IFERROR(INDEX(Data_Dictionary!$G$4:$G$16,MATCH(E384,Data_Dictionary!$F$4:$F$16,0)),"Unassigned"))</f>
        <v>Punjab</v>
      </c>
      <c r="E384" s="9" t="str">
        <f aca="false">IF(TRIM(Raw_Data!E384)="","Unknown",PROPER(TRIM(Raw_Data!E384)))</f>
        <v>Faisalabad</v>
      </c>
      <c r="F384" s="9" t="str">
        <f aca="false">IFERROR(INDEX({"Electronics","Home &amp; Kitchen","Clothing","Groceries","Beauty"},MATCH(UPPER(LEFT(TRIM(Raw_Data!F384),3)),{"ELE","HOM","CLO","GRO","BEA"},0)),"Uncategorised")</f>
        <v>Electronics</v>
      </c>
      <c r="G384" s="9" t="str">
        <f aca="false">IF(TRIM(Raw_Data!G384)="","Unknown",PROPER(TRIM(Raw_Data!G384)))</f>
        <v>Smart Watch</v>
      </c>
      <c r="H384" s="11" t="n">
        <f aca="false">IFERROR(ABS(VALUE(TRIM(Raw_Data!H384))),"")</f>
        <v>1</v>
      </c>
      <c r="I384" s="12" t="n">
        <f aca="false">IFERROR(VALUE(TRIM(SUBSTITUTE(SUBSTITUTE(SUBSTITUTE(SUBSTITUTE(TRIM(Raw_Data!I384),"PKR",""),"Rs.",""),"Rs",""),",",""))),"")</f>
        <v>9400</v>
      </c>
      <c r="J384" s="13" t="n">
        <f aca="false">IFERROR(IF(TRIM(Raw_Data!J384)="",0,IF(VALUE(TRIM(Raw_Data!J384))&gt;1,VALUE(TRIM(Raw_Data!J384))/100,VALUE(TRIM(Raw_Data!J384)))),0)</f>
        <v>0.05</v>
      </c>
      <c r="K384" s="9" t="str">
        <f aca="false">IF(TRIM(Raw_Data!K384)="","Unassigned",PROPER(TRIM(Raw_Data!K384)))</f>
        <v>Imran Shah</v>
      </c>
      <c r="L384" s="9" t="str">
        <f aca="false">IFERROR(INDEX({"Credit Card","Credit Card","Debit Card","Debit Card","Cash","PayPal"},MATCH(UPPER(LEFT(TRIM(Raw_Data!L384),2)),{"CR","CC","DE","DC","CA","PA"},0)),"Other")</f>
        <v>Cash</v>
      </c>
      <c r="M384" s="9" t="str">
        <f aca="false">IFERROR(INDEX({"Completed","Returned","Cancelled","Pending"},MATCH(UPPER(LEFT(TRIM(Raw_Data!M384),3)),{"COM","RET","CAN","PEN"},0)),"Unknown")</f>
        <v>Cancelled</v>
      </c>
      <c r="N384" s="14" t="n">
        <f aca="false">IF(OR(H384="",I384=""),"",H384*I384)</f>
        <v>9400</v>
      </c>
      <c r="O384" s="14" t="n">
        <f aca="false">IF(N384="","",N384*J384)</f>
        <v>470</v>
      </c>
      <c r="P384" s="14" t="n">
        <f aca="false">IF(N384="","",N384-O384)</f>
        <v>8930</v>
      </c>
      <c r="Q384" s="15" t="n">
        <f aca="false">IF(B384="","",DATE(YEAR(B384),MONTH(B384),1))</f>
        <v>45992</v>
      </c>
      <c r="R384" s="16" t="str">
        <f aca="false">IF(A384="","Invalid - Exclude",IF(COUNTIF($A$2:A384,A384)&gt;1,"Duplicate - Exclude",IF(OR(B384="",H384="",I384=""),"Invalid - Exclude","Valid")))</f>
        <v>Valid</v>
      </c>
      <c r="S384" s="16" t="str">
        <f aca="false">IF(R384="Valid","",IF(R384="Duplicate - Exclude","Repeat of an earlier Order ID",IF(B384="","Date missing or unreadable",IF(H384="","Quantity missing or unreadable",IF(I384="","Unit price missing or unreadable","Order ID missing")))))</f>
        <v/>
      </c>
    </row>
    <row r="385" customFormat="false" ht="15" hidden="false" customHeight="true" outlineLevel="0" collapsed="false">
      <c r="A385" s="17" t="str">
        <f aca="false">UPPER(TRIM(Raw_Data!A385))</f>
        <v>ORD-1366</v>
      </c>
      <c r="B385" s="18" t="n">
        <f aca="false">IFERROR(IF(ISNUMBER(Raw_Data!B385),Raw_Data!B385,IF(ISNUMBER(FIND("/",Raw_Data!B385)),DATE(VALUE(RIGHT(TRIM(Raw_Data!B385),4)),VALUE(MID(TRIM(Raw_Data!B385),4,2)),VALUE(LEFT(TRIM(Raw_Data!B385),2))),IF(MID(TRIM(Raw_Data!B385),5,1)="-",DATE(VALUE(LEFT(TRIM(Raw_Data!B385),4)),VALUE(MID(TRIM(Raw_Data!B385),6,2)),VALUE(RIGHT(TRIM(Raw_Data!B385),2))),DATE(VALUE(RIGHT(TRIM(Raw_Data!B385),4)),MATCH(MID(TRIM(Raw_Data!B385),4,3),{"Jan","Feb","Mar","Apr","May","Jun","Jul","Aug","Sep","Oct","Nov","Dec"},0),VALUE(LEFT(TRIM(Raw_Data!B385),2)))))),"")</f>
        <v>45895</v>
      </c>
      <c r="C385" s="17" t="str">
        <f aca="false">IF(TRIM(Raw_Data!C385)="","Unknown",PROPER(TRIM(Raw_Data!C385)))</f>
        <v>Unknown</v>
      </c>
      <c r="D385" s="17" t="str">
        <f aca="false">IFERROR(INDEX({"Punjab","Sindh","KPK","Balochistan"},MATCH(UPPER(LEFT(TRIM(Raw_Data!D385),1)),{"P","S","K","B"},0)),IFERROR(INDEX(Data_Dictionary!$G$4:$G$16,MATCH(E385,Data_Dictionary!$F$4:$F$16,0)),"Unassigned"))</f>
        <v>Punjab</v>
      </c>
      <c r="E385" s="17" t="str">
        <f aca="false">IF(TRIM(Raw_Data!E385)="","Unknown",PROPER(TRIM(Raw_Data!E385)))</f>
        <v>Lahore</v>
      </c>
      <c r="F385" s="17" t="str">
        <f aca="false">IFERROR(INDEX({"Electronics","Home &amp; Kitchen","Clothing","Groceries","Beauty"},MATCH(UPPER(LEFT(TRIM(Raw_Data!F385),3)),{"ELE","HOM","CLO","GRO","BEA"},0)),"Uncategorised")</f>
        <v>Electronics</v>
      </c>
      <c r="G385" s="17" t="str">
        <f aca="false">IF(TRIM(Raw_Data!G385)="","Unknown",PROPER(TRIM(Raw_Data!G385)))</f>
        <v>Smart Television 43 Inch</v>
      </c>
      <c r="H385" s="19" t="n">
        <f aca="false">IFERROR(ABS(VALUE(TRIM(Raw_Data!H385))),"")</f>
        <v>2</v>
      </c>
      <c r="I385" s="20" t="n">
        <f aca="false">IFERROR(VALUE(TRIM(SUBSTITUTE(SUBSTITUTE(SUBSTITUTE(SUBSTITUTE(TRIM(Raw_Data!I385),"PKR",""),"Rs.",""),"Rs",""),",",""))),"")</f>
        <v>52850</v>
      </c>
      <c r="J385" s="21" t="n">
        <f aca="false">IFERROR(IF(TRIM(Raw_Data!J385)="",0,IF(VALUE(TRIM(Raw_Data!J385))&gt;1,VALUE(TRIM(Raw_Data!J385))/100,VALUE(TRIM(Raw_Data!J385)))),0)</f>
        <v>0.15</v>
      </c>
      <c r="K385" s="17" t="str">
        <f aca="false">IF(TRIM(Raw_Data!K385)="","Unassigned",PROPER(TRIM(Raw_Data!K385)))</f>
        <v>Nimra Aslam</v>
      </c>
      <c r="L385" s="17" t="str">
        <f aca="false">IFERROR(INDEX({"Credit Card","Credit Card","Debit Card","Debit Card","Cash","PayPal"},MATCH(UPPER(LEFT(TRIM(Raw_Data!L385),2)),{"CR","CC","DE","DC","CA","PA"},0)),"Other")</f>
        <v>Cash</v>
      </c>
      <c r="M385" s="17" t="str">
        <f aca="false">IFERROR(INDEX({"Completed","Returned","Cancelled","Pending"},MATCH(UPPER(LEFT(TRIM(Raw_Data!M385),3)),{"COM","RET","CAN","PEN"},0)),"Unknown")</f>
        <v>Completed</v>
      </c>
      <c r="N385" s="20" t="n">
        <f aca="false">IF(OR(H385="",I385=""),"",H385*I385)</f>
        <v>105700</v>
      </c>
      <c r="O385" s="20" t="n">
        <f aca="false">IF(N385="","",N385*J385)</f>
        <v>15855</v>
      </c>
      <c r="P385" s="20" t="n">
        <f aca="false">IF(N385="","",N385-O385)</f>
        <v>89845</v>
      </c>
      <c r="Q385" s="22" t="n">
        <f aca="false">IF(B385="","",DATE(YEAR(B385),MONTH(B385),1))</f>
        <v>45870</v>
      </c>
      <c r="R385" s="17" t="str">
        <f aca="false">IF(A385="","Invalid - Exclude",IF(COUNTIF($A$2:A385,A385)&gt;1,"Duplicate - Exclude",IF(OR(B385="",H385="",I385=""),"Invalid - Exclude","Valid")))</f>
        <v>Valid</v>
      </c>
      <c r="S385" s="17" t="str">
        <f aca="false">IF(R385="Valid","",IF(R385="Duplicate - Exclude","Repeat of an earlier Order ID",IF(B385="","Date missing or unreadable",IF(H385="","Quantity missing or unreadable",IF(I385="","Unit price missing or unreadable","Order ID missing")))))</f>
        <v/>
      </c>
    </row>
    <row r="386" customFormat="false" ht="15" hidden="false" customHeight="true" outlineLevel="0" collapsed="false">
      <c r="A386" s="9" t="str">
        <f aca="false">UPPER(TRIM(Raw_Data!A386))</f>
        <v>ORD-1367</v>
      </c>
      <c r="B386" s="10" t="n">
        <f aca="false">IFERROR(IF(ISNUMBER(Raw_Data!B386),Raw_Data!B386,IF(ISNUMBER(FIND("/",Raw_Data!B386)),DATE(VALUE(RIGHT(TRIM(Raw_Data!B386),4)),VALUE(MID(TRIM(Raw_Data!B386),4,2)),VALUE(LEFT(TRIM(Raw_Data!B386),2))),IF(MID(TRIM(Raw_Data!B386),5,1)="-",DATE(VALUE(LEFT(TRIM(Raw_Data!B386),4)),VALUE(MID(TRIM(Raw_Data!B386),6,2)),VALUE(RIGHT(TRIM(Raw_Data!B386),2))),DATE(VALUE(RIGHT(TRIM(Raw_Data!B386),4)),MATCH(MID(TRIM(Raw_Data!B386),4,3),{"Jan","Feb","Mar","Apr","May","Jun","Jul","Aug","Sep","Oct","Nov","Dec"},0),VALUE(LEFT(TRIM(Raw_Data!B386),2)))))),"")</f>
        <v>45811</v>
      </c>
      <c r="C386" s="9" t="str">
        <f aca="false">IF(TRIM(Raw_Data!C386)="","Unknown",PROPER(TRIM(Raw_Data!C386)))</f>
        <v>Hina Siddiqui</v>
      </c>
      <c r="D386" s="9" t="str">
        <f aca="false">IFERROR(INDEX({"Punjab","Sindh","KPK","Balochistan"},MATCH(UPPER(LEFT(TRIM(Raw_Data!D386),1)),{"P","S","K","B"},0)),IFERROR(INDEX(Data_Dictionary!$G$4:$G$16,MATCH(E386,Data_Dictionary!$F$4:$F$16,0)),"Unassigned"))</f>
        <v>Punjab</v>
      </c>
      <c r="E386" s="9" t="str">
        <f aca="false">IF(TRIM(Raw_Data!E386)="","Unknown",PROPER(TRIM(Raw_Data!E386)))</f>
        <v>Lahore</v>
      </c>
      <c r="F386" s="9" t="str">
        <f aca="false">IFERROR(INDEX({"Electronics","Home &amp; Kitchen","Clothing","Groceries","Beauty"},MATCH(UPPER(LEFT(TRIM(Raw_Data!F386),3)),{"ELE","HOM","CLO","GRO","BEA"},0)),"Uncategorised")</f>
        <v>Groceries</v>
      </c>
      <c r="G386" s="9" t="str">
        <f aca="false">IF(TRIM(Raw_Data!G386)="","Unknown",PROPER(TRIM(Raw_Data!G386)))</f>
        <v>Refined Sugar 10 Kg</v>
      </c>
      <c r="H386" s="11" t="n">
        <f aca="false">IFERROR(ABS(VALUE(TRIM(Raw_Data!H386))),"")</f>
        <v>3</v>
      </c>
      <c r="I386" s="12" t="str">
        <f aca="false">IFERROR(VALUE(TRIM(SUBSTITUTE(SUBSTITUTE(SUBSTITUTE(SUBSTITUTE(TRIM(Raw_Data!I386),"PKR",""),"Rs.",""),"Rs",""),",",""))),"")</f>
        <v/>
      </c>
      <c r="J386" s="13" t="n">
        <f aca="false">IFERROR(IF(TRIM(Raw_Data!J386)="",0,IF(VALUE(TRIM(Raw_Data!J386))&gt;1,VALUE(TRIM(Raw_Data!J386))/100,VALUE(TRIM(Raw_Data!J386)))),0)</f>
        <v>0</v>
      </c>
      <c r="K386" s="9" t="str">
        <f aca="false">IF(TRIM(Raw_Data!K386)="","Unassigned",PROPER(TRIM(Raw_Data!K386)))</f>
        <v>Waqar Ahmed</v>
      </c>
      <c r="L386" s="9" t="str">
        <f aca="false">IFERROR(INDEX({"Credit Card","Credit Card","Debit Card","Debit Card","Cash","PayPal"},MATCH(UPPER(LEFT(TRIM(Raw_Data!L386),2)),{"CR","CC","DE","DC","CA","PA"},0)),"Other")</f>
        <v>PayPal</v>
      </c>
      <c r="M386" s="9" t="str">
        <f aca="false">IFERROR(INDEX({"Completed","Returned","Cancelled","Pending"},MATCH(UPPER(LEFT(TRIM(Raw_Data!M386),3)),{"COM","RET","CAN","PEN"},0)),"Unknown")</f>
        <v>Returned</v>
      </c>
      <c r="N386" s="14" t="str">
        <f aca="false">IF(OR(H386="",I386=""),"",H386*I386)</f>
        <v/>
      </c>
      <c r="O386" s="14" t="str">
        <f aca="false">IF(N386="","",N386*J386)</f>
        <v/>
      </c>
      <c r="P386" s="14" t="str">
        <f aca="false">IF(N386="","",N386-O386)</f>
        <v/>
      </c>
      <c r="Q386" s="15" t="n">
        <f aca="false">IF(B386="","",DATE(YEAR(B386),MONTH(B386),1))</f>
        <v>45809</v>
      </c>
      <c r="R386" s="16" t="str">
        <f aca="false">IF(A386="","Invalid - Exclude",IF(COUNTIF($A$2:A386,A386)&gt;1,"Duplicate - Exclude",IF(OR(B386="",H386="",I386=""),"Invalid - Exclude","Valid")))</f>
        <v>Invalid - Exclude</v>
      </c>
      <c r="S386" s="16" t="str">
        <f aca="false">IF(R386="Valid","",IF(R386="Duplicate - Exclude","Repeat of an earlier Order ID",IF(B386="","Date missing or unreadable",IF(H386="","Quantity missing or unreadable",IF(I386="","Unit price missing or unreadable","Order ID missing")))))</f>
        <v>Unit price missing or unreadable</v>
      </c>
    </row>
    <row r="387" customFormat="false" ht="15" hidden="false" customHeight="true" outlineLevel="0" collapsed="false">
      <c r="A387" s="17" t="str">
        <f aca="false">UPPER(TRIM(Raw_Data!A387))</f>
        <v>ORD-1368</v>
      </c>
      <c r="B387" s="18" t="n">
        <f aca="false">IFERROR(IF(ISNUMBER(Raw_Data!B387),Raw_Data!B387,IF(ISNUMBER(FIND("/",Raw_Data!B387)),DATE(VALUE(RIGHT(TRIM(Raw_Data!B387),4)),VALUE(MID(TRIM(Raw_Data!B387),4,2)),VALUE(LEFT(TRIM(Raw_Data!B387),2))),IF(MID(TRIM(Raw_Data!B387),5,1)="-",DATE(VALUE(LEFT(TRIM(Raw_Data!B387),4)),VALUE(MID(TRIM(Raw_Data!B387),6,2)),VALUE(RIGHT(TRIM(Raw_Data!B387),2))),DATE(VALUE(RIGHT(TRIM(Raw_Data!B387),4)),MATCH(MID(TRIM(Raw_Data!B387),4,3),{"Jan","Feb","Mar","Apr","May","Jun","Jul","Aug","Sep","Oct","Nov","Dec"},0),VALUE(LEFT(TRIM(Raw_Data!B387),2)))))),"")</f>
        <v>45746</v>
      </c>
      <c r="C387" s="17" t="str">
        <f aca="false">IF(TRIM(Raw_Data!C387)="","Unknown",PROPER(TRIM(Raw_Data!C387)))</f>
        <v>Hina Siddiqui</v>
      </c>
      <c r="D387" s="17" t="str">
        <f aca="false">IFERROR(INDEX({"Punjab","Sindh","KPK","Balochistan"},MATCH(UPPER(LEFT(TRIM(Raw_Data!D387),1)),{"P","S","K","B"},0)),IFERROR(INDEX(Data_Dictionary!$G$4:$G$16,MATCH(E387,Data_Dictionary!$F$4:$F$16,0)),"Unassigned"))</f>
        <v>Punjab</v>
      </c>
      <c r="E387" s="17" t="str">
        <f aca="false">IF(TRIM(Raw_Data!E387)="","Unknown",PROPER(TRIM(Raw_Data!E387)))</f>
        <v>Unknown</v>
      </c>
      <c r="F387" s="17" t="str">
        <f aca="false">IFERROR(INDEX({"Electronics","Home &amp; Kitchen","Clothing","Groceries","Beauty"},MATCH(UPPER(LEFT(TRIM(Raw_Data!F387),3)),{"ELE","HOM","CLO","GRO","BEA"},0)),"Uncategorised")</f>
        <v>Home &amp; Kitchen</v>
      </c>
      <c r="G387" s="17" t="str">
        <f aca="false">IF(TRIM(Raw_Data!G387)="","Unknown",PROPER(TRIM(Raw_Data!G387)))</f>
        <v>Hand Blender</v>
      </c>
      <c r="H387" s="19" t="n">
        <f aca="false">IFERROR(ABS(VALUE(TRIM(Raw_Data!H387))),"")</f>
        <v>2</v>
      </c>
      <c r="I387" s="20" t="n">
        <f aca="false">IFERROR(VALUE(TRIM(SUBSTITUTE(SUBSTITUTE(SUBSTITUTE(SUBSTITUTE(TRIM(Raw_Data!I387),"PKR",""),"Rs.",""),"Rs",""),",",""))),"")</f>
        <v>3950</v>
      </c>
      <c r="J387" s="21" t="n">
        <f aca="false">IFERROR(IF(TRIM(Raw_Data!J387)="",0,IF(VALUE(TRIM(Raw_Data!J387))&gt;1,VALUE(TRIM(Raw_Data!J387))/100,VALUE(TRIM(Raw_Data!J387)))),0)</f>
        <v>0</v>
      </c>
      <c r="K387" s="17" t="str">
        <f aca="false">IF(TRIM(Raw_Data!K387)="","Unassigned",PROPER(TRIM(Raw_Data!K387)))</f>
        <v>Unassigned</v>
      </c>
      <c r="L387" s="17" t="str">
        <f aca="false">IFERROR(INDEX({"Credit Card","Credit Card","Debit Card","Debit Card","Cash","PayPal"},MATCH(UPPER(LEFT(TRIM(Raw_Data!L387),2)),{"CR","CC","DE","DC","CA","PA"},0)),"Other")</f>
        <v>Cash</v>
      </c>
      <c r="M387" s="17" t="str">
        <f aca="false">IFERROR(INDEX({"Completed","Returned","Cancelled","Pending"},MATCH(UPPER(LEFT(TRIM(Raw_Data!M387),3)),{"COM","RET","CAN","PEN"},0)),"Unknown")</f>
        <v>Completed</v>
      </c>
      <c r="N387" s="20" t="n">
        <f aca="false">IF(OR(H387="",I387=""),"",H387*I387)</f>
        <v>7900</v>
      </c>
      <c r="O387" s="20" t="n">
        <f aca="false">IF(N387="","",N387*J387)</f>
        <v>0</v>
      </c>
      <c r="P387" s="20" t="n">
        <f aca="false">IF(N387="","",N387-O387)</f>
        <v>7900</v>
      </c>
      <c r="Q387" s="22" t="n">
        <f aca="false">IF(B387="","",DATE(YEAR(B387),MONTH(B387),1))</f>
        <v>45717</v>
      </c>
      <c r="R387" s="17" t="str">
        <f aca="false">IF(A387="","Invalid - Exclude",IF(COUNTIF($A$2:A387,A387)&gt;1,"Duplicate - Exclude",IF(OR(B387="",H387="",I387=""),"Invalid - Exclude","Valid")))</f>
        <v>Valid</v>
      </c>
      <c r="S387" s="17" t="str">
        <f aca="false">IF(R387="Valid","",IF(R387="Duplicate - Exclude","Repeat of an earlier Order ID",IF(B387="","Date missing or unreadable",IF(H387="","Quantity missing or unreadable",IF(I387="","Unit price missing or unreadable","Order ID missing")))))</f>
        <v/>
      </c>
    </row>
    <row r="388" customFormat="false" ht="15" hidden="false" customHeight="true" outlineLevel="0" collapsed="false">
      <c r="A388" s="9" t="str">
        <f aca="false">UPPER(TRIM(Raw_Data!A388))</f>
        <v>ORD-1073</v>
      </c>
      <c r="B388" s="10" t="n">
        <f aca="false">IFERROR(IF(ISNUMBER(Raw_Data!B388),Raw_Data!B388,IF(ISNUMBER(FIND("/",Raw_Data!B388)),DATE(VALUE(RIGHT(TRIM(Raw_Data!B388),4)),VALUE(MID(TRIM(Raw_Data!B388),4,2)),VALUE(LEFT(TRIM(Raw_Data!B388),2))),IF(MID(TRIM(Raw_Data!B388),5,1)="-",DATE(VALUE(LEFT(TRIM(Raw_Data!B388),4)),VALUE(MID(TRIM(Raw_Data!B388),6,2)),VALUE(RIGHT(TRIM(Raw_Data!B388),2))),DATE(VALUE(RIGHT(TRIM(Raw_Data!B388),4)),MATCH(MID(TRIM(Raw_Data!B388),4,3),{"Jan","Feb","Mar","Apr","May","Jun","Jul","Aug","Sep","Oct","Nov","Dec"},0),VALUE(LEFT(TRIM(Raw_Data!B388),2)))))),"")</f>
        <v>45734</v>
      </c>
      <c r="C388" s="9" t="str">
        <f aca="false">IF(TRIM(Raw_Data!C388)="","Unknown",PROPER(TRIM(Raw_Data!C388)))</f>
        <v>Kashif Khan</v>
      </c>
      <c r="D388" s="9" t="str">
        <f aca="false">IFERROR(INDEX({"Punjab","Sindh","KPK","Balochistan"},MATCH(UPPER(LEFT(TRIM(Raw_Data!D388),1)),{"P","S","K","B"},0)),IFERROR(INDEX(Data_Dictionary!$G$4:$G$16,MATCH(E388,Data_Dictionary!$F$4:$F$16,0)),"Unassigned"))</f>
        <v>Sindh</v>
      </c>
      <c r="E388" s="9" t="str">
        <f aca="false">IF(TRIM(Raw_Data!E388)="","Unknown",PROPER(TRIM(Raw_Data!E388)))</f>
        <v>Hyderabad</v>
      </c>
      <c r="F388" s="9" t="str">
        <f aca="false">IFERROR(INDEX({"Electronics","Home &amp; Kitchen","Clothing","Groceries","Beauty"},MATCH(UPPER(LEFT(TRIM(Raw_Data!F388),3)),{"ELE","HOM","CLO","GRO","BEA"},0)),"Uncategorised")</f>
        <v>Electronics</v>
      </c>
      <c r="G388" s="9" t="str">
        <f aca="false">IF(TRIM(Raw_Data!G388)="","Unknown",PROPER(TRIM(Raw_Data!G388)))</f>
        <v>Wireless Earbuds</v>
      </c>
      <c r="H388" s="11" t="n">
        <f aca="false">IFERROR(ABS(VALUE(TRIM(Raw_Data!H388))),"")</f>
        <v>2</v>
      </c>
      <c r="I388" s="12" t="n">
        <f aca="false">IFERROR(VALUE(TRIM(SUBSTITUTE(SUBSTITUTE(SUBSTITUTE(SUBSTITUTE(TRIM(Raw_Data!I388),"PKR",""),"Rs.",""),"Rs",""),",",""))),"")</f>
        <v>6400</v>
      </c>
      <c r="J388" s="13" t="n">
        <f aca="false">IFERROR(IF(TRIM(Raw_Data!J388)="",0,IF(VALUE(TRIM(Raw_Data!J388))&gt;1,VALUE(TRIM(Raw_Data!J388))/100,VALUE(TRIM(Raw_Data!J388)))),0)</f>
        <v>0</v>
      </c>
      <c r="K388" s="9" t="str">
        <f aca="false">IF(TRIM(Raw_Data!K388)="","Unassigned",PROPER(TRIM(Raw_Data!K388)))</f>
        <v>Imran Shah</v>
      </c>
      <c r="L388" s="9" t="str">
        <f aca="false">IFERROR(INDEX({"Credit Card","Credit Card","Debit Card","Debit Card","Cash","PayPal"},MATCH(UPPER(LEFT(TRIM(Raw_Data!L388),2)),{"CR","CC","DE","DC","CA","PA"},0)),"Other")</f>
        <v>Cash</v>
      </c>
      <c r="M388" s="9" t="str">
        <f aca="false">IFERROR(INDEX({"Completed","Returned","Cancelled","Pending"},MATCH(UPPER(LEFT(TRIM(Raw_Data!M388),3)),{"COM","RET","CAN","PEN"},0)),"Unknown")</f>
        <v>Completed</v>
      </c>
      <c r="N388" s="14" t="n">
        <f aca="false">IF(OR(H388="",I388=""),"",H388*I388)</f>
        <v>12800</v>
      </c>
      <c r="O388" s="14" t="n">
        <f aca="false">IF(N388="","",N388*J388)</f>
        <v>0</v>
      </c>
      <c r="P388" s="14" t="n">
        <f aca="false">IF(N388="","",N388-O388)</f>
        <v>12800</v>
      </c>
      <c r="Q388" s="15" t="n">
        <f aca="false">IF(B388="","",DATE(YEAR(B388),MONTH(B388),1))</f>
        <v>45717</v>
      </c>
      <c r="R388" s="16" t="str">
        <f aca="false">IF(A388="","Invalid - Exclude",IF(COUNTIF($A$2:A388,A388)&gt;1,"Duplicate - Exclude",IF(OR(B388="",H388="",I388=""),"Invalid - Exclude","Valid")))</f>
        <v>Duplicate - Exclude</v>
      </c>
      <c r="S388" s="16" t="str">
        <f aca="false">IF(R388="Valid","",IF(R388="Duplicate - Exclude","Repeat of an earlier Order ID",IF(B388="","Date missing or unreadable",IF(H388="","Quantity missing or unreadable",IF(I388="","Unit price missing or unreadable","Order ID missing")))))</f>
        <v>Repeat of an earlier Order ID</v>
      </c>
    </row>
    <row r="389" customFormat="false" ht="15" hidden="false" customHeight="true" outlineLevel="0" collapsed="false">
      <c r="A389" s="17" t="str">
        <f aca="false">UPPER(TRIM(Raw_Data!A389))</f>
        <v>ORD-1369</v>
      </c>
      <c r="B389" s="18" t="n">
        <f aca="false">IFERROR(IF(ISNUMBER(Raw_Data!B389),Raw_Data!B389,IF(ISNUMBER(FIND("/",Raw_Data!B389)),DATE(VALUE(RIGHT(TRIM(Raw_Data!B389),4)),VALUE(MID(TRIM(Raw_Data!B389),4,2)),VALUE(LEFT(TRIM(Raw_Data!B389),2))),IF(MID(TRIM(Raw_Data!B389),5,1)="-",DATE(VALUE(LEFT(TRIM(Raw_Data!B389),4)),VALUE(MID(TRIM(Raw_Data!B389),6,2)),VALUE(RIGHT(TRIM(Raw_Data!B389),2))),DATE(VALUE(RIGHT(TRIM(Raw_Data!B389),4)),MATCH(MID(TRIM(Raw_Data!B389),4,3),{"Jan","Feb","Mar","Apr","May","Jun","Jul","Aug","Sep","Oct","Nov","Dec"},0),VALUE(LEFT(TRIM(Raw_Data!B389),2)))))),"")</f>
        <v>45955</v>
      </c>
      <c r="C389" s="17" t="str">
        <f aca="false">IF(TRIM(Raw_Data!C389)="","Unknown",PROPER(TRIM(Raw_Data!C389)))</f>
        <v>Ayesha Sheikh</v>
      </c>
      <c r="D389" s="17" t="str">
        <f aca="false">IFERROR(INDEX({"Punjab","Sindh","KPK","Balochistan"},MATCH(UPPER(LEFT(TRIM(Raw_Data!D389),1)),{"P","S","K","B"},0)),IFERROR(INDEX(Data_Dictionary!$G$4:$G$16,MATCH(E389,Data_Dictionary!$F$4:$F$16,0)),"Unassigned"))</f>
        <v>Sindh</v>
      </c>
      <c r="E389" s="17" t="str">
        <f aca="false">IF(TRIM(Raw_Data!E389)="","Unknown",PROPER(TRIM(Raw_Data!E389)))</f>
        <v>Hyderabad</v>
      </c>
      <c r="F389" s="17" t="str">
        <f aca="false">IFERROR(INDEX({"Electronics","Home &amp; Kitchen","Clothing","Groceries","Beauty"},MATCH(UPPER(LEFT(TRIM(Raw_Data!F389),3)),{"ELE","HOM","CLO","GRO","BEA"},0)),"Uncategorised")</f>
        <v>Clothing</v>
      </c>
      <c r="G389" s="17" t="str">
        <f aca="false">IF(TRIM(Raw_Data!G389)="","Unknown",PROPER(TRIM(Raw_Data!G389)))</f>
        <v>Winter Jacket</v>
      </c>
      <c r="H389" s="19" t="str">
        <f aca="false">IFERROR(ABS(VALUE(TRIM(Raw_Data!H389))),"")</f>
        <v/>
      </c>
      <c r="I389" s="20" t="n">
        <f aca="false">IFERROR(VALUE(TRIM(SUBSTITUTE(SUBSTITUTE(SUBSTITUTE(SUBSTITUTE(TRIM(Raw_Data!I389),"PKR",""),"Rs.",""),"Rs",""),",",""))),"")</f>
        <v>9800</v>
      </c>
      <c r="J389" s="21" t="n">
        <f aca="false">IFERROR(IF(TRIM(Raw_Data!J389)="",0,IF(VALUE(TRIM(Raw_Data!J389))&gt;1,VALUE(TRIM(Raw_Data!J389))/100,VALUE(TRIM(Raw_Data!J389)))),0)</f>
        <v>0</v>
      </c>
      <c r="K389" s="17" t="str">
        <f aca="false">IF(TRIM(Raw_Data!K389)="","Unassigned",PROPER(TRIM(Raw_Data!K389)))</f>
        <v>Nimra Aslam</v>
      </c>
      <c r="L389" s="17" t="str">
        <f aca="false">IFERROR(INDEX({"Credit Card","Credit Card","Debit Card","Debit Card","Cash","PayPal"},MATCH(UPPER(LEFT(TRIM(Raw_Data!L389),2)),{"CR","CC","DE","DC","CA","PA"},0)),"Other")</f>
        <v>Credit Card</v>
      </c>
      <c r="M389" s="17" t="str">
        <f aca="false">IFERROR(INDEX({"Completed","Returned","Cancelled","Pending"},MATCH(UPPER(LEFT(TRIM(Raw_Data!M389),3)),{"COM","RET","CAN","PEN"},0)),"Unknown")</f>
        <v>Completed</v>
      </c>
      <c r="N389" s="20" t="str">
        <f aca="false">IF(OR(H389="",I389=""),"",H389*I389)</f>
        <v/>
      </c>
      <c r="O389" s="20" t="str">
        <f aca="false">IF(N389="","",N389*J389)</f>
        <v/>
      </c>
      <c r="P389" s="20" t="str">
        <f aca="false">IF(N389="","",N389-O389)</f>
        <v/>
      </c>
      <c r="Q389" s="22" t="n">
        <f aca="false">IF(B389="","",DATE(YEAR(B389),MONTH(B389),1))</f>
        <v>45931</v>
      </c>
      <c r="R389" s="17" t="str">
        <f aca="false">IF(A389="","Invalid - Exclude",IF(COUNTIF($A$2:A389,A389)&gt;1,"Duplicate - Exclude",IF(OR(B389="",H389="",I389=""),"Invalid - Exclude","Valid")))</f>
        <v>Invalid - Exclude</v>
      </c>
      <c r="S389" s="17" t="str">
        <f aca="false">IF(R389="Valid","",IF(R389="Duplicate - Exclude","Repeat of an earlier Order ID",IF(B389="","Date missing or unreadable",IF(H389="","Quantity missing or unreadable",IF(I389="","Unit price missing or unreadable","Order ID missing")))))</f>
        <v>Quantity missing or unreadable</v>
      </c>
    </row>
    <row r="390" customFormat="false" ht="15" hidden="false" customHeight="true" outlineLevel="0" collapsed="false">
      <c r="A390" s="9" t="str">
        <f aca="false">UPPER(TRIM(Raw_Data!A390))</f>
        <v>ORD-1370</v>
      </c>
      <c r="B390" s="10" t="n">
        <f aca="false">IFERROR(IF(ISNUMBER(Raw_Data!B390),Raw_Data!B390,IF(ISNUMBER(FIND("/",Raw_Data!B390)),DATE(VALUE(RIGHT(TRIM(Raw_Data!B390),4)),VALUE(MID(TRIM(Raw_Data!B390),4,2)),VALUE(LEFT(TRIM(Raw_Data!B390),2))),IF(MID(TRIM(Raw_Data!B390),5,1)="-",DATE(VALUE(LEFT(TRIM(Raw_Data!B390),4)),VALUE(MID(TRIM(Raw_Data!B390),6,2)),VALUE(RIGHT(TRIM(Raw_Data!B390),2))),DATE(VALUE(RIGHT(TRIM(Raw_Data!B390),4)),MATCH(MID(TRIM(Raw_Data!B390),4,3),{"Jan","Feb","Mar","Apr","May","Jun","Jul","Aug","Sep","Oct","Nov","Dec"},0),VALUE(LEFT(TRIM(Raw_Data!B390),2)))))),"")</f>
        <v>45705</v>
      </c>
      <c r="C390" s="9" t="str">
        <f aca="false">IF(TRIM(Raw_Data!C390)="","Unknown",PROPER(TRIM(Raw_Data!C390)))</f>
        <v>Sana Siddiqui</v>
      </c>
      <c r="D390" s="9" t="str">
        <f aca="false">IFERROR(INDEX({"Punjab","Sindh","KPK","Balochistan"},MATCH(UPPER(LEFT(TRIM(Raw_Data!D390),1)),{"P","S","K","B"},0)),IFERROR(INDEX(Data_Dictionary!$G$4:$G$16,MATCH(E390,Data_Dictionary!$F$4:$F$16,0)),"Unassigned"))</f>
        <v>Balochistan</v>
      </c>
      <c r="E390" s="9" t="str">
        <f aca="false">IF(TRIM(Raw_Data!E390)="","Unknown",PROPER(TRIM(Raw_Data!E390)))</f>
        <v>Quetta</v>
      </c>
      <c r="F390" s="9" t="str">
        <f aca="false">IFERROR(INDEX({"Electronics","Home &amp; Kitchen","Clothing","Groceries","Beauty"},MATCH(UPPER(LEFT(TRIM(Raw_Data!F390),3)),{"ELE","HOM","CLO","GRO","BEA"},0)),"Uncategorised")</f>
        <v>Clothing</v>
      </c>
      <c r="G390" s="9" t="str">
        <f aca="false">IF(TRIM(Raw_Data!G390)="","Unknown",PROPER(TRIM(Raw_Data!G390)))</f>
        <v>Lawn Suit 3 Piece</v>
      </c>
      <c r="H390" s="11" t="n">
        <f aca="false">IFERROR(ABS(VALUE(TRIM(Raw_Data!H390))),"")</f>
        <v>2</v>
      </c>
      <c r="I390" s="12" t="n">
        <f aca="false">IFERROR(VALUE(TRIM(SUBSTITUTE(SUBSTITUTE(SUBSTITUTE(SUBSTITUTE(TRIM(Raw_Data!I390),"PKR",""),"Rs.",""),"Rs",""),",",""))),"")</f>
        <v>6650</v>
      </c>
      <c r="J390" s="13" t="n">
        <f aca="false">IFERROR(IF(TRIM(Raw_Data!J390)="",0,IF(VALUE(TRIM(Raw_Data!J390))&gt;1,VALUE(TRIM(Raw_Data!J390))/100,VALUE(TRIM(Raw_Data!J390)))),0)</f>
        <v>0</v>
      </c>
      <c r="K390" s="9" t="str">
        <f aca="false">IF(TRIM(Raw_Data!K390)="","Unassigned",PROPER(TRIM(Raw_Data!K390)))</f>
        <v>Nimra Aslam</v>
      </c>
      <c r="L390" s="9" t="str">
        <f aca="false">IFERROR(INDEX({"Credit Card","Credit Card","Debit Card","Debit Card","Cash","PayPal"},MATCH(UPPER(LEFT(TRIM(Raw_Data!L390),2)),{"CR","CC","DE","DC","CA","PA"},0)),"Other")</f>
        <v>Debit Card</v>
      </c>
      <c r="M390" s="9" t="str">
        <f aca="false">IFERROR(INDEX({"Completed","Returned","Cancelled","Pending"},MATCH(UPPER(LEFT(TRIM(Raw_Data!M390),3)),{"COM","RET","CAN","PEN"},0)),"Unknown")</f>
        <v>Completed</v>
      </c>
      <c r="N390" s="14" t="n">
        <f aca="false">IF(OR(H390="",I390=""),"",H390*I390)</f>
        <v>13300</v>
      </c>
      <c r="O390" s="14" t="n">
        <f aca="false">IF(N390="","",N390*J390)</f>
        <v>0</v>
      </c>
      <c r="P390" s="14" t="n">
        <f aca="false">IF(N390="","",N390-O390)</f>
        <v>13300</v>
      </c>
      <c r="Q390" s="15" t="n">
        <f aca="false">IF(B390="","",DATE(YEAR(B390),MONTH(B390),1))</f>
        <v>45689</v>
      </c>
      <c r="R390" s="16" t="str">
        <f aca="false">IF(A390="","Invalid - Exclude",IF(COUNTIF($A$2:A390,A390)&gt;1,"Duplicate - Exclude",IF(OR(B390="",H390="",I390=""),"Invalid - Exclude","Valid")))</f>
        <v>Valid</v>
      </c>
      <c r="S390" s="16" t="str">
        <f aca="false">IF(R390="Valid","",IF(R390="Duplicate - Exclude","Repeat of an earlier Order ID",IF(B390="","Date missing or unreadable",IF(H390="","Quantity missing or unreadable",IF(I390="","Unit price missing or unreadable","Order ID missing")))))</f>
        <v/>
      </c>
    </row>
    <row r="391" customFormat="false" ht="15" hidden="false" customHeight="true" outlineLevel="0" collapsed="false">
      <c r="A391" s="17" t="str">
        <f aca="false">UPPER(TRIM(Raw_Data!A391))</f>
        <v>ORD-1305</v>
      </c>
      <c r="B391" s="18" t="n">
        <f aca="false">IFERROR(IF(ISNUMBER(Raw_Data!B391),Raw_Data!B391,IF(ISNUMBER(FIND("/",Raw_Data!B391)),DATE(VALUE(RIGHT(TRIM(Raw_Data!B391),4)),VALUE(MID(TRIM(Raw_Data!B391),4,2)),VALUE(LEFT(TRIM(Raw_Data!B391),2))),IF(MID(TRIM(Raw_Data!B391),5,1)="-",DATE(VALUE(LEFT(TRIM(Raw_Data!B391),4)),VALUE(MID(TRIM(Raw_Data!B391),6,2)),VALUE(RIGHT(TRIM(Raw_Data!B391),2))),DATE(VALUE(RIGHT(TRIM(Raw_Data!B391),4)),MATCH(MID(TRIM(Raw_Data!B391),4,3),{"Jan","Feb","Mar","Apr","May","Jun","Jul","Aug","Sep","Oct","Nov","Dec"},0),VALUE(LEFT(TRIM(Raw_Data!B391),2)))))),"")</f>
        <v>45891</v>
      </c>
      <c r="C391" s="17" t="str">
        <f aca="false">IF(TRIM(Raw_Data!C391)="","Unknown",PROPER(TRIM(Raw_Data!C391)))</f>
        <v>Noor Sheikh</v>
      </c>
      <c r="D391" s="17" t="str">
        <f aca="false">IFERROR(INDEX({"Punjab","Sindh","KPK","Balochistan"},MATCH(UPPER(LEFT(TRIM(Raw_Data!D391),1)),{"P","S","K","B"},0)),IFERROR(INDEX(Data_Dictionary!$G$4:$G$16,MATCH(E391,Data_Dictionary!$F$4:$F$16,0)),"Unassigned"))</f>
        <v>Punjab</v>
      </c>
      <c r="E391" s="17" t="str">
        <f aca="false">IF(TRIM(Raw_Data!E391)="","Unknown",PROPER(TRIM(Raw_Data!E391)))</f>
        <v>Gujranwala</v>
      </c>
      <c r="F391" s="17" t="str">
        <f aca="false">IFERROR(INDEX({"Electronics","Home &amp; Kitchen","Clothing","Groceries","Beauty"},MATCH(UPPER(LEFT(TRIM(Raw_Data!F391),3)),{"ELE","HOM","CLO","GRO","BEA"},0)),"Uncategorised")</f>
        <v>Home &amp; Kitchen</v>
      </c>
      <c r="G391" s="17" t="str">
        <f aca="false">IF(TRIM(Raw_Data!G391)="","Unknown",PROPER(TRIM(Raw_Data!G391)))</f>
        <v>Air Fryer</v>
      </c>
      <c r="H391" s="19" t="str">
        <f aca="false">IFERROR(ABS(VALUE(TRIM(Raw_Data!H391))),"")</f>
        <v/>
      </c>
      <c r="I391" s="20" t="n">
        <f aca="false">IFERROR(VALUE(TRIM(SUBSTITUTE(SUBSTITUTE(SUBSTITUTE(SUBSTITUTE(TRIM(Raw_Data!I391),"PKR",""),"Rs.",""),"Rs",""),",",""))),"")</f>
        <v>17850</v>
      </c>
      <c r="J391" s="21" t="n">
        <f aca="false">IFERROR(IF(TRIM(Raw_Data!J391)="",0,IF(VALUE(TRIM(Raw_Data!J391))&gt;1,VALUE(TRIM(Raw_Data!J391))/100,VALUE(TRIM(Raw_Data!J391)))),0)</f>
        <v>0</v>
      </c>
      <c r="K391" s="17" t="str">
        <f aca="false">IF(TRIM(Raw_Data!K391)="","Unassigned",PROPER(TRIM(Raw_Data!K391)))</f>
        <v>Zoya Tariq</v>
      </c>
      <c r="L391" s="17" t="str">
        <f aca="false">IFERROR(INDEX({"Credit Card","Credit Card","Debit Card","Debit Card","Cash","PayPal"},MATCH(UPPER(LEFT(TRIM(Raw_Data!L391),2)),{"CR","CC","DE","DC","CA","PA"},0)),"Other")</f>
        <v>Cash</v>
      </c>
      <c r="M391" s="17" t="str">
        <f aca="false">IFERROR(INDEX({"Completed","Returned","Cancelled","Pending"},MATCH(UPPER(LEFT(TRIM(Raw_Data!M391),3)),{"COM","RET","CAN","PEN"},0)),"Unknown")</f>
        <v>Completed</v>
      </c>
      <c r="N391" s="20" t="str">
        <f aca="false">IF(OR(H391="",I391=""),"",H391*I391)</f>
        <v/>
      </c>
      <c r="O391" s="20" t="str">
        <f aca="false">IF(N391="","",N391*J391)</f>
        <v/>
      </c>
      <c r="P391" s="20" t="str">
        <f aca="false">IF(N391="","",N391-O391)</f>
        <v/>
      </c>
      <c r="Q391" s="22" t="n">
        <f aca="false">IF(B391="","",DATE(YEAR(B391),MONTH(B391),1))</f>
        <v>45870</v>
      </c>
      <c r="R391" s="17" t="str">
        <f aca="false">IF(A391="","Invalid - Exclude",IF(COUNTIF($A$2:A391,A391)&gt;1,"Duplicate - Exclude",IF(OR(B391="",H391="",I391=""),"Invalid - Exclude","Valid")))</f>
        <v>Duplicate - Exclude</v>
      </c>
      <c r="S391" s="17" t="str">
        <f aca="false">IF(R391="Valid","",IF(R391="Duplicate - Exclude","Repeat of an earlier Order ID",IF(B391="","Date missing or unreadable",IF(H391="","Quantity missing or unreadable",IF(I391="","Unit price missing or unreadable","Order ID missing")))))</f>
        <v>Repeat of an earlier Order ID</v>
      </c>
    </row>
    <row r="392" customFormat="false" ht="15" hidden="false" customHeight="true" outlineLevel="0" collapsed="false">
      <c r="A392" s="9" t="str">
        <f aca="false">UPPER(TRIM(Raw_Data!A392))</f>
        <v>ORD-1371</v>
      </c>
      <c r="B392" s="10" t="n">
        <f aca="false">IFERROR(IF(ISNUMBER(Raw_Data!B392),Raw_Data!B392,IF(ISNUMBER(FIND("/",Raw_Data!B392)),DATE(VALUE(RIGHT(TRIM(Raw_Data!B392),4)),VALUE(MID(TRIM(Raw_Data!B392),4,2)),VALUE(LEFT(TRIM(Raw_Data!B392),2))),IF(MID(TRIM(Raw_Data!B392),5,1)="-",DATE(VALUE(LEFT(TRIM(Raw_Data!B392),4)),VALUE(MID(TRIM(Raw_Data!B392),6,2)),VALUE(RIGHT(TRIM(Raw_Data!B392),2))),DATE(VALUE(RIGHT(TRIM(Raw_Data!B392),4)),MATCH(MID(TRIM(Raw_Data!B392),4,3),{"Jan","Feb","Mar","Apr","May","Jun","Jul","Aug","Sep","Oct","Nov","Dec"},0),VALUE(LEFT(TRIM(Raw_Data!B392),2)))))),"")</f>
        <v>45750</v>
      </c>
      <c r="C392" s="9" t="str">
        <f aca="false">IF(TRIM(Raw_Data!C392)="","Unknown",PROPER(TRIM(Raw_Data!C392)))</f>
        <v>Omar Raza</v>
      </c>
      <c r="D392" s="9" t="str">
        <f aca="false">IFERROR(INDEX({"Punjab","Sindh","KPK","Balochistan"},MATCH(UPPER(LEFT(TRIM(Raw_Data!D392),1)),{"P","S","K","B"},0)),IFERROR(INDEX(Data_Dictionary!$G$4:$G$16,MATCH(E392,Data_Dictionary!$F$4:$F$16,0)),"Unassigned"))</f>
        <v>Balochistan</v>
      </c>
      <c r="E392" s="9" t="str">
        <f aca="false">IF(TRIM(Raw_Data!E392)="","Unknown",PROPER(TRIM(Raw_Data!E392)))</f>
        <v>Gwadar</v>
      </c>
      <c r="F392" s="9" t="str">
        <f aca="false">IFERROR(INDEX({"Electronics","Home &amp; Kitchen","Clothing","Groceries","Beauty"},MATCH(UPPER(LEFT(TRIM(Raw_Data!F392),3)),{"ELE","HOM","CLO","GRO","BEA"},0)),"Uncategorised")</f>
        <v>Electronics</v>
      </c>
      <c r="G392" s="9" t="str">
        <f aca="false">IF(TRIM(Raw_Data!G392)="","Unknown",PROPER(TRIM(Raw_Data!G392)))</f>
        <v>Wireless Earbuds</v>
      </c>
      <c r="H392" s="11" t="n">
        <f aca="false">IFERROR(ABS(VALUE(TRIM(Raw_Data!H392))),"")</f>
        <v>5</v>
      </c>
      <c r="I392" s="12" t="n">
        <f aca="false">IFERROR(VALUE(TRIM(SUBSTITUTE(SUBSTITUTE(SUBSTITUTE(SUBSTITUTE(TRIM(Raw_Data!I392),"PKR",""),"Rs.",""),"Rs",""),",",""))),"")</f>
        <v>6350</v>
      </c>
      <c r="J392" s="13" t="n">
        <f aca="false">IFERROR(IF(TRIM(Raw_Data!J392)="",0,IF(VALUE(TRIM(Raw_Data!J392))&gt;1,VALUE(TRIM(Raw_Data!J392))/100,VALUE(TRIM(Raw_Data!J392)))),0)</f>
        <v>0.15</v>
      </c>
      <c r="K392" s="9" t="str">
        <f aca="false">IF(TRIM(Raw_Data!K392)="","Unassigned",PROPER(TRIM(Raw_Data!K392)))</f>
        <v>Imran Shah</v>
      </c>
      <c r="L392" s="9" t="str">
        <f aca="false">IFERROR(INDEX({"Credit Card","Credit Card","Debit Card","Debit Card","Cash","PayPal"},MATCH(UPPER(LEFT(TRIM(Raw_Data!L392),2)),{"CR","CC","DE","DC","CA","PA"},0)),"Other")</f>
        <v>Credit Card</v>
      </c>
      <c r="M392" s="9" t="str">
        <f aca="false">IFERROR(INDEX({"Completed","Returned","Cancelled","Pending"},MATCH(UPPER(LEFT(TRIM(Raw_Data!M392),3)),{"COM","RET","CAN","PEN"},0)),"Unknown")</f>
        <v>Completed</v>
      </c>
      <c r="N392" s="14" t="n">
        <f aca="false">IF(OR(H392="",I392=""),"",H392*I392)</f>
        <v>31750</v>
      </c>
      <c r="O392" s="14" t="n">
        <f aca="false">IF(N392="","",N392*J392)</f>
        <v>4762.5</v>
      </c>
      <c r="P392" s="14" t="n">
        <f aca="false">IF(N392="","",N392-O392)</f>
        <v>26987.5</v>
      </c>
      <c r="Q392" s="15" t="n">
        <f aca="false">IF(B392="","",DATE(YEAR(B392),MONTH(B392),1))</f>
        <v>45748</v>
      </c>
      <c r="R392" s="16" t="str">
        <f aca="false">IF(A392="","Invalid - Exclude",IF(COUNTIF($A$2:A392,A392)&gt;1,"Duplicate - Exclude",IF(OR(B392="",H392="",I392=""),"Invalid - Exclude","Valid")))</f>
        <v>Valid</v>
      </c>
      <c r="S392" s="16" t="str">
        <f aca="false">IF(R392="Valid","",IF(R392="Duplicate - Exclude","Repeat of an earlier Order ID",IF(B392="","Date missing or unreadable",IF(H392="","Quantity missing or unreadable",IF(I392="","Unit price missing or unreadable","Order ID missing")))))</f>
        <v/>
      </c>
    </row>
    <row r="393" customFormat="false" ht="15" hidden="false" customHeight="true" outlineLevel="0" collapsed="false">
      <c r="A393" s="17" t="str">
        <f aca="false">UPPER(TRIM(Raw_Data!A393))</f>
        <v>ORD-1372</v>
      </c>
      <c r="B393" s="18" t="n">
        <f aca="false">IFERROR(IF(ISNUMBER(Raw_Data!B393),Raw_Data!B393,IF(ISNUMBER(FIND("/",Raw_Data!B393)),DATE(VALUE(RIGHT(TRIM(Raw_Data!B393),4)),VALUE(MID(TRIM(Raw_Data!B393),4,2)),VALUE(LEFT(TRIM(Raw_Data!B393),2))),IF(MID(TRIM(Raw_Data!B393),5,1)="-",DATE(VALUE(LEFT(TRIM(Raw_Data!B393),4)),VALUE(MID(TRIM(Raw_Data!B393),6,2)),VALUE(RIGHT(TRIM(Raw_Data!B393),2))),DATE(VALUE(RIGHT(TRIM(Raw_Data!B393),4)),MATCH(MID(TRIM(Raw_Data!B393),4,3),{"Jan","Feb","Mar","Apr","May","Jun","Jul","Aug","Sep","Oct","Nov","Dec"},0),VALUE(LEFT(TRIM(Raw_Data!B393),2)))))),"")</f>
        <v>45684</v>
      </c>
      <c r="C393" s="17" t="str">
        <f aca="false">IF(TRIM(Raw_Data!C393)="","Unknown",PROPER(TRIM(Raw_Data!C393)))</f>
        <v>Usman Chaudhry</v>
      </c>
      <c r="D393" s="17" t="str">
        <f aca="false">IFERROR(INDEX({"Punjab","Sindh","KPK","Balochistan"},MATCH(UPPER(LEFT(TRIM(Raw_Data!D393),1)),{"P","S","K","B"},0)),IFERROR(INDEX(Data_Dictionary!$G$4:$G$16,MATCH(E393,Data_Dictionary!$F$4:$F$16,0)),"Unassigned"))</f>
        <v>Punjab</v>
      </c>
      <c r="E393" s="17" t="str">
        <f aca="false">IF(TRIM(Raw_Data!E393)="","Unknown",PROPER(TRIM(Raw_Data!E393)))</f>
        <v>Lahore</v>
      </c>
      <c r="F393" s="17" t="str">
        <f aca="false">IFERROR(INDEX({"Electronics","Home &amp; Kitchen","Clothing","Groceries","Beauty"},MATCH(UPPER(LEFT(TRIM(Raw_Data!F393),3)),{"ELE","HOM","CLO","GRO","BEA"},0)),"Uncategorised")</f>
        <v>Home &amp; Kitchen</v>
      </c>
      <c r="G393" s="17" t="str">
        <f aca="false">IF(TRIM(Raw_Data!G393)="","Unknown",PROPER(TRIM(Raw_Data!G393)))</f>
        <v>Bedsheet Set</v>
      </c>
      <c r="H393" s="19" t="n">
        <f aca="false">IFERROR(ABS(VALUE(TRIM(Raw_Data!H393))),"")</f>
        <v>5</v>
      </c>
      <c r="I393" s="20" t="n">
        <f aca="false">IFERROR(VALUE(TRIM(SUBSTITUTE(SUBSTITUTE(SUBSTITUTE(SUBSTITUTE(TRIM(Raw_Data!I393),"PKR",""),"Rs.",""),"Rs",""),",",""))),"")</f>
        <v>5450</v>
      </c>
      <c r="J393" s="21" t="n">
        <f aca="false">IFERROR(IF(TRIM(Raw_Data!J393)="",0,IF(VALUE(TRIM(Raw_Data!J393))&gt;1,VALUE(TRIM(Raw_Data!J393))/100,VALUE(TRIM(Raw_Data!J393)))),0)</f>
        <v>0</v>
      </c>
      <c r="K393" s="17" t="str">
        <f aca="false">IF(TRIM(Raw_Data!K393)="","Unassigned",PROPER(TRIM(Raw_Data!K393)))</f>
        <v>Sadia Noor</v>
      </c>
      <c r="L393" s="17" t="str">
        <f aca="false">IFERROR(INDEX({"Credit Card","Credit Card","Debit Card","Debit Card","Cash","PayPal"},MATCH(UPPER(LEFT(TRIM(Raw_Data!L393),2)),{"CR","CC","DE","DC","CA","PA"},0)),"Other")</f>
        <v>Cash</v>
      </c>
      <c r="M393" s="17" t="str">
        <f aca="false">IFERROR(INDEX({"Completed","Returned","Cancelled","Pending"},MATCH(UPPER(LEFT(TRIM(Raw_Data!M393),3)),{"COM","RET","CAN","PEN"},0)),"Unknown")</f>
        <v>Completed</v>
      </c>
      <c r="N393" s="20" t="n">
        <f aca="false">IF(OR(H393="",I393=""),"",H393*I393)</f>
        <v>27250</v>
      </c>
      <c r="O393" s="20" t="n">
        <f aca="false">IF(N393="","",N393*J393)</f>
        <v>0</v>
      </c>
      <c r="P393" s="20" t="n">
        <f aca="false">IF(N393="","",N393-O393)</f>
        <v>27250</v>
      </c>
      <c r="Q393" s="22" t="n">
        <f aca="false">IF(B393="","",DATE(YEAR(B393),MONTH(B393),1))</f>
        <v>45658</v>
      </c>
      <c r="R393" s="17" t="str">
        <f aca="false">IF(A393="","Invalid - Exclude",IF(COUNTIF($A$2:A393,A393)&gt;1,"Duplicate - Exclude",IF(OR(B393="",H393="",I393=""),"Invalid - Exclude","Valid")))</f>
        <v>Valid</v>
      </c>
      <c r="S393" s="17" t="str">
        <f aca="false">IF(R393="Valid","",IF(R393="Duplicate - Exclude","Repeat of an earlier Order ID",IF(B393="","Date missing or unreadable",IF(H393="","Quantity missing or unreadable",IF(I393="","Unit price missing or unreadable","Order ID missing")))))</f>
        <v/>
      </c>
    </row>
    <row r="394" customFormat="false" ht="15" hidden="false" customHeight="true" outlineLevel="0" collapsed="false">
      <c r="A394" s="9" t="str">
        <f aca="false">UPPER(TRIM(Raw_Data!A394))</f>
        <v>ORD-1373</v>
      </c>
      <c r="B394" s="10" t="n">
        <f aca="false">IFERROR(IF(ISNUMBER(Raw_Data!B394),Raw_Data!B394,IF(ISNUMBER(FIND("/",Raw_Data!B394)),DATE(VALUE(RIGHT(TRIM(Raw_Data!B394),4)),VALUE(MID(TRIM(Raw_Data!B394),4,2)),VALUE(LEFT(TRIM(Raw_Data!B394),2))),IF(MID(TRIM(Raw_Data!B394),5,1)="-",DATE(VALUE(LEFT(TRIM(Raw_Data!B394),4)),VALUE(MID(TRIM(Raw_Data!B394),6,2)),VALUE(RIGHT(TRIM(Raw_Data!B394),2))),DATE(VALUE(RIGHT(TRIM(Raw_Data!B394),4)),MATCH(MID(TRIM(Raw_Data!B394),4,3),{"Jan","Feb","Mar","Apr","May","Jun","Jul","Aug","Sep","Oct","Nov","Dec"},0),VALUE(LEFT(TRIM(Raw_Data!B394),2)))))),"")</f>
        <v>45742</v>
      </c>
      <c r="C394" s="9" t="str">
        <f aca="false">IF(TRIM(Raw_Data!C394)="","Unknown",PROPER(TRIM(Raw_Data!C394)))</f>
        <v>Fatima Qureshi</v>
      </c>
      <c r="D394" s="9" t="str">
        <f aca="false">IFERROR(INDEX({"Punjab","Sindh","KPK","Balochistan"},MATCH(UPPER(LEFT(TRIM(Raw_Data!D394),1)),{"P","S","K","B"},0)),IFERROR(INDEX(Data_Dictionary!$G$4:$G$16,MATCH(E394,Data_Dictionary!$F$4:$F$16,0)),"Unassigned"))</f>
        <v>Punjab</v>
      </c>
      <c r="E394" s="9" t="str">
        <f aca="false">IF(TRIM(Raw_Data!E394)="","Unknown",PROPER(TRIM(Raw_Data!E394)))</f>
        <v>Rawalpindi</v>
      </c>
      <c r="F394" s="9" t="str">
        <f aca="false">IFERROR(INDEX({"Electronics","Home &amp; Kitchen","Clothing","Groceries","Beauty"},MATCH(UPPER(LEFT(TRIM(Raw_Data!F394),3)),{"ELE","HOM","CLO","GRO","BEA"},0)),"Uncategorised")</f>
        <v>Clothing</v>
      </c>
      <c r="G394" s="9" t="str">
        <f aca="false">IF(TRIM(Raw_Data!G394)="","Unknown",PROPER(TRIM(Raw_Data!G394)))</f>
        <v>Winter Jacket</v>
      </c>
      <c r="H394" s="11" t="n">
        <f aca="false">IFERROR(ABS(VALUE(TRIM(Raw_Data!H394))),"")</f>
        <v>6</v>
      </c>
      <c r="I394" s="12" t="n">
        <f aca="false">IFERROR(VALUE(TRIM(SUBSTITUTE(SUBSTITUTE(SUBSTITUTE(SUBSTITUTE(TRIM(Raw_Data!I394),"PKR",""),"Rs.",""),"Rs",""),",",""))),"")</f>
        <v>9400</v>
      </c>
      <c r="J394" s="13" t="n">
        <f aca="false">IFERROR(IF(TRIM(Raw_Data!J394)="",0,IF(VALUE(TRIM(Raw_Data!J394))&gt;1,VALUE(TRIM(Raw_Data!J394))/100,VALUE(TRIM(Raw_Data!J394)))),0)</f>
        <v>0</v>
      </c>
      <c r="K394" s="9" t="str">
        <f aca="false">IF(TRIM(Raw_Data!K394)="","Unassigned",PROPER(TRIM(Raw_Data!K394)))</f>
        <v>Faisal Mehmood</v>
      </c>
      <c r="L394" s="9" t="str">
        <f aca="false">IFERROR(INDEX({"Credit Card","Credit Card","Debit Card","Debit Card","Cash","PayPal"},MATCH(UPPER(LEFT(TRIM(Raw_Data!L394),2)),{"CR","CC","DE","DC","CA","PA"},0)),"Other")</f>
        <v>Cash</v>
      </c>
      <c r="M394" s="9" t="str">
        <f aca="false">IFERROR(INDEX({"Completed","Returned","Cancelled","Pending"},MATCH(UPPER(LEFT(TRIM(Raw_Data!M394),3)),{"COM","RET","CAN","PEN"},0)),"Unknown")</f>
        <v>Completed</v>
      </c>
      <c r="N394" s="14" t="n">
        <f aca="false">IF(OR(H394="",I394=""),"",H394*I394)</f>
        <v>56400</v>
      </c>
      <c r="O394" s="14" t="n">
        <f aca="false">IF(N394="","",N394*J394)</f>
        <v>0</v>
      </c>
      <c r="P394" s="14" t="n">
        <f aca="false">IF(N394="","",N394-O394)</f>
        <v>56400</v>
      </c>
      <c r="Q394" s="15" t="n">
        <f aca="false">IF(B394="","",DATE(YEAR(B394),MONTH(B394),1))</f>
        <v>45717</v>
      </c>
      <c r="R394" s="16" t="str">
        <f aca="false">IF(A394="","Invalid - Exclude",IF(COUNTIF($A$2:A394,A394)&gt;1,"Duplicate - Exclude",IF(OR(B394="",H394="",I394=""),"Invalid - Exclude","Valid")))</f>
        <v>Valid</v>
      </c>
      <c r="S394" s="16" t="str">
        <f aca="false">IF(R394="Valid","",IF(R394="Duplicate - Exclude","Repeat of an earlier Order ID",IF(B394="","Date missing or unreadable",IF(H394="","Quantity missing or unreadable",IF(I394="","Unit price missing or unreadable","Order ID missing")))))</f>
        <v/>
      </c>
    </row>
    <row r="395" customFormat="false" ht="15" hidden="false" customHeight="true" outlineLevel="0" collapsed="false">
      <c r="A395" s="17" t="str">
        <f aca="false">UPPER(TRIM(Raw_Data!A395))</f>
        <v>ORD-1374</v>
      </c>
      <c r="B395" s="18" t="n">
        <f aca="false">IFERROR(IF(ISNUMBER(Raw_Data!B395),Raw_Data!B395,IF(ISNUMBER(FIND("/",Raw_Data!B395)),DATE(VALUE(RIGHT(TRIM(Raw_Data!B395),4)),VALUE(MID(TRIM(Raw_Data!B395),4,2)),VALUE(LEFT(TRIM(Raw_Data!B395),2))),IF(MID(TRIM(Raw_Data!B395),5,1)="-",DATE(VALUE(LEFT(TRIM(Raw_Data!B395),4)),VALUE(MID(TRIM(Raw_Data!B395),6,2)),VALUE(RIGHT(TRIM(Raw_Data!B395),2))),DATE(VALUE(RIGHT(TRIM(Raw_Data!B395),4)),MATCH(MID(TRIM(Raw_Data!B395),4,3),{"Jan","Feb","Mar","Apr","May","Jun","Jul","Aug","Sep","Oct","Nov","Dec"},0),VALUE(LEFT(TRIM(Raw_Data!B395),2)))))),"")</f>
        <v>45768</v>
      </c>
      <c r="C395" s="17" t="str">
        <f aca="false">IF(TRIM(Raw_Data!C395)="","Unknown",PROPER(TRIM(Raw_Data!C395)))</f>
        <v>Bilal Hussain</v>
      </c>
      <c r="D395" s="17" t="str">
        <f aca="false">IFERROR(INDEX({"Punjab","Sindh","KPK","Balochistan"},MATCH(UPPER(LEFT(TRIM(Raw_Data!D395),1)),{"P","S","K","B"},0)),IFERROR(INDEX(Data_Dictionary!$G$4:$G$16,MATCH(E395,Data_Dictionary!$F$4:$F$16,0)),"Unassigned"))</f>
        <v>Punjab</v>
      </c>
      <c r="E395" s="17" t="str">
        <f aca="false">IF(TRIM(Raw_Data!E395)="","Unknown",PROPER(TRIM(Raw_Data!E395)))</f>
        <v>Faisalabad</v>
      </c>
      <c r="F395" s="17" t="str">
        <f aca="false">IFERROR(INDEX({"Electronics","Home &amp; Kitchen","Clothing","Groceries","Beauty"},MATCH(UPPER(LEFT(TRIM(Raw_Data!F395),3)),{"ELE","HOM","CLO","GRO","BEA"},0)),"Uncategorised")</f>
        <v>Electronics</v>
      </c>
      <c r="G395" s="17" t="str">
        <f aca="false">IF(TRIM(Raw_Data!G395)="","Unknown",PROPER(TRIM(Raw_Data!G395)))</f>
        <v>Phone Charger</v>
      </c>
      <c r="H395" s="19" t="n">
        <f aca="false">IFERROR(ABS(VALUE(TRIM(Raw_Data!H395))),"")</f>
        <v>5</v>
      </c>
      <c r="I395" s="20" t="n">
        <f aca="false">IFERROR(VALUE(TRIM(SUBSTITUTE(SUBSTITUTE(SUBSTITUTE(SUBSTITUTE(TRIM(Raw_Data!I395),"PKR",""),"Rs.",""),"Rs",""),",",""))),"")</f>
        <v>1200</v>
      </c>
      <c r="J395" s="21" t="n">
        <f aca="false">IFERROR(IF(TRIM(Raw_Data!J395)="",0,IF(VALUE(TRIM(Raw_Data!J395))&gt;1,VALUE(TRIM(Raw_Data!J395))/100,VALUE(TRIM(Raw_Data!J395)))),0)</f>
        <v>0.2</v>
      </c>
      <c r="K395" s="17" t="str">
        <f aca="false">IF(TRIM(Raw_Data!K395)="","Unassigned",PROPER(TRIM(Raw_Data!K395)))</f>
        <v>Nimra Aslam</v>
      </c>
      <c r="L395" s="17" t="str">
        <f aca="false">IFERROR(INDEX({"Credit Card","Credit Card","Debit Card","Debit Card","Cash","PayPal"},MATCH(UPPER(LEFT(TRIM(Raw_Data!L395),2)),{"CR","CC","DE","DC","CA","PA"},0)),"Other")</f>
        <v>Cash</v>
      </c>
      <c r="M395" s="17" t="str">
        <f aca="false">IFERROR(INDEX({"Completed","Returned","Cancelled","Pending"},MATCH(UPPER(LEFT(TRIM(Raw_Data!M395),3)),{"COM","RET","CAN","PEN"},0)),"Unknown")</f>
        <v>Completed</v>
      </c>
      <c r="N395" s="20" t="n">
        <f aca="false">IF(OR(H395="",I395=""),"",H395*I395)</f>
        <v>6000</v>
      </c>
      <c r="O395" s="20" t="n">
        <f aca="false">IF(N395="","",N395*J395)</f>
        <v>1200</v>
      </c>
      <c r="P395" s="20" t="n">
        <f aca="false">IF(N395="","",N395-O395)</f>
        <v>4800</v>
      </c>
      <c r="Q395" s="22" t="n">
        <f aca="false">IF(B395="","",DATE(YEAR(B395),MONTH(B395),1))</f>
        <v>45748</v>
      </c>
      <c r="R395" s="17" t="str">
        <f aca="false">IF(A395="","Invalid - Exclude",IF(COUNTIF($A$2:A395,A395)&gt;1,"Duplicate - Exclude",IF(OR(B395="",H395="",I395=""),"Invalid - Exclude","Valid")))</f>
        <v>Valid</v>
      </c>
      <c r="S395" s="17" t="str">
        <f aca="false">IF(R395="Valid","",IF(R395="Duplicate - Exclude","Repeat of an earlier Order ID",IF(B395="","Date missing or unreadable",IF(H395="","Quantity missing or unreadable",IF(I395="","Unit price missing or unreadable","Order ID missing")))))</f>
        <v/>
      </c>
    </row>
    <row r="396" customFormat="false" ht="15" hidden="false" customHeight="true" outlineLevel="0" collapsed="false">
      <c r="A396" s="9" t="str">
        <f aca="false">UPPER(TRIM(Raw_Data!A396))</f>
        <v>ORD-1375</v>
      </c>
      <c r="B396" s="10" t="n">
        <f aca="false">IFERROR(IF(ISNUMBER(Raw_Data!B396),Raw_Data!B396,IF(ISNUMBER(FIND("/",Raw_Data!B396)),DATE(VALUE(RIGHT(TRIM(Raw_Data!B396),4)),VALUE(MID(TRIM(Raw_Data!B396),4,2)),VALUE(LEFT(TRIM(Raw_Data!B396),2))),IF(MID(TRIM(Raw_Data!B396),5,1)="-",DATE(VALUE(LEFT(TRIM(Raw_Data!B396),4)),VALUE(MID(TRIM(Raw_Data!B396),6,2)),VALUE(RIGHT(TRIM(Raw_Data!B396),2))),DATE(VALUE(RIGHT(TRIM(Raw_Data!B396),4)),MATCH(MID(TRIM(Raw_Data!B396),4,3),{"Jan","Feb","Mar","Apr","May","Jun","Jul","Aug","Sep","Oct","Nov","Dec"},0),VALUE(LEFT(TRIM(Raw_Data!B396),2)))))),"")</f>
        <v>45914</v>
      </c>
      <c r="C396" s="9" t="str">
        <f aca="false">IF(TRIM(Raw_Data!C396)="","Unknown",PROPER(TRIM(Raw_Data!C396)))</f>
        <v>Hassan Iqbal</v>
      </c>
      <c r="D396" s="9" t="str">
        <f aca="false">IFERROR(INDEX({"Punjab","Sindh","KPK","Balochistan"},MATCH(UPPER(LEFT(TRIM(Raw_Data!D396),1)),{"P","S","K","B"},0)),IFERROR(INDEX(Data_Dictionary!$G$4:$G$16,MATCH(E396,Data_Dictionary!$F$4:$F$16,0)),"Unassigned"))</f>
        <v>Sindh</v>
      </c>
      <c r="E396" s="9" t="str">
        <f aca="false">IF(TRIM(Raw_Data!E396)="","Unknown",PROPER(TRIM(Raw_Data!E396)))</f>
        <v>Hyderabad</v>
      </c>
      <c r="F396" s="9" t="str">
        <f aca="false">IFERROR(INDEX({"Electronics","Home &amp; Kitchen","Clothing","Groceries","Beauty"},MATCH(UPPER(LEFT(TRIM(Raw_Data!F396),3)),{"ELE","HOM","CLO","GRO","BEA"},0)),"Uncategorised")</f>
        <v>Electronics</v>
      </c>
      <c r="G396" s="9" t="str">
        <f aca="false">IF(TRIM(Raw_Data!G396)="","Unknown",PROPER(TRIM(Raw_Data!G396)))</f>
        <v>Smart Television 43 Inch</v>
      </c>
      <c r="H396" s="11" t="n">
        <f aca="false">IFERROR(ABS(VALUE(TRIM(Raw_Data!H396))),"")</f>
        <v>4</v>
      </c>
      <c r="I396" s="12" t="n">
        <f aca="false">IFERROR(VALUE(TRIM(SUBSTITUTE(SUBSTITUTE(SUBSTITUTE(SUBSTITUTE(TRIM(Raw_Data!I396),"PKR",""),"Rs.",""),"Rs",""),",",""))),"")</f>
        <v>52950</v>
      </c>
      <c r="J396" s="13" t="n">
        <f aca="false">IFERROR(IF(TRIM(Raw_Data!J396)="",0,IF(VALUE(TRIM(Raw_Data!J396))&gt;1,VALUE(TRIM(Raw_Data!J396))/100,VALUE(TRIM(Raw_Data!J396)))),0)</f>
        <v>0</v>
      </c>
      <c r="K396" s="9" t="str">
        <f aca="false">IF(TRIM(Raw_Data!K396)="","Unassigned",PROPER(TRIM(Raw_Data!K396)))</f>
        <v>Faisal Mehmood</v>
      </c>
      <c r="L396" s="9" t="str">
        <f aca="false">IFERROR(INDEX({"Credit Card","Credit Card","Debit Card","Debit Card","Cash","PayPal"},MATCH(UPPER(LEFT(TRIM(Raw_Data!L396),2)),{"CR","CC","DE","DC","CA","PA"},0)),"Other")</f>
        <v>Debit Card</v>
      </c>
      <c r="M396" s="9" t="str">
        <f aca="false">IFERROR(INDEX({"Completed","Returned","Cancelled","Pending"},MATCH(UPPER(LEFT(TRIM(Raw_Data!M396),3)),{"COM","RET","CAN","PEN"},0)),"Unknown")</f>
        <v>Completed</v>
      </c>
      <c r="N396" s="14" t="n">
        <f aca="false">IF(OR(H396="",I396=""),"",H396*I396)</f>
        <v>211800</v>
      </c>
      <c r="O396" s="14" t="n">
        <f aca="false">IF(N396="","",N396*J396)</f>
        <v>0</v>
      </c>
      <c r="P396" s="14" t="n">
        <f aca="false">IF(N396="","",N396-O396)</f>
        <v>211800</v>
      </c>
      <c r="Q396" s="15" t="n">
        <f aca="false">IF(B396="","",DATE(YEAR(B396),MONTH(B396),1))</f>
        <v>45901</v>
      </c>
      <c r="R396" s="16" t="str">
        <f aca="false">IF(A396="","Invalid - Exclude",IF(COUNTIF($A$2:A396,A396)&gt;1,"Duplicate - Exclude",IF(OR(B396="",H396="",I396=""),"Invalid - Exclude","Valid")))</f>
        <v>Valid</v>
      </c>
      <c r="S396" s="16" t="str">
        <f aca="false">IF(R396="Valid","",IF(R396="Duplicate - Exclude","Repeat of an earlier Order ID",IF(B396="","Date missing or unreadable",IF(H396="","Quantity missing or unreadable",IF(I396="","Unit price missing or unreadable","Order ID missing")))))</f>
        <v/>
      </c>
    </row>
    <row r="397" customFormat="false" ht="15" hidden="false" customHeight="true" outlineLevel="0" collapsed="false">
      <c r="A397" s="17" t="str">
        <f aca="false">UPPER(TRIM(Raw_Data!A397))</f>
        <v>ORD-1376</v>
      </c>
      <c r="B397" s="18" t="n">
        <f aca="false">IFERROR(IF(ISNUMBER(Raw_Data!B397),Raw_Data!B397,IF(ISNUMBER(FIND("/",Raw_Data!B397)),DATE(VALUE(RIGHT(TRIM(Raw_Data!B397),4)),VALUE(MID(TRIM(Raw_Data!B397),4,2)),VALUE(LEFT(TRIM(Raw_Data!B397),2))),IF(MID(TRIM(Raw_Data!B397),5,1)="-",DATE(VALUE(LEFT(TRIM(Raw_Data!B397),4)),VALUE(MID(TRIM(Raw_Data!B397),6,2)),VALUE(RIGHT(TRIM(Raw_Data!B397),2))),DATE(VALUE(RIGHT(TRIM(Raw_Data!B397),4)),MATCH(MID(TRIM(Raw_Data!B397),4,3),{"Jan","Feb","Mar","Apr","May","Jun","Jul","Aug","Sep","Oct","Nov","Dec"},0),VALUE(LEFT(TRIM(Raw_Data!B397),2)))))),"")</f>
        <v>45860</v>
      </c>
      <c r="C397" s="17" t="str">
        <f aca="false">IF(TRIM(Raw_Data!C397)="","Unknown",PROPER(TRIM(Raw_Data!C397)))</f>
        <v>Bilal Hussain</v>
      </c>
      <c r="D397" s="17" t="str">
        <f aca="false">IFERROR(INDEX({"Punjab","Sindh","KPK","Balochistan"},MATCH(UPPER(LEFT(TRIM(Raw_Data!D397),1)),{"P","S","K","B"},0)),IFERROR(INDEX(Data_Dictionary!$G$4:$G$16,MATCH(E397,Data_Dictionary!$F$4:$F$16,0)),"Unassigned"))</f>
        <v>Sindh</v>
      </c>
      <c r="E397" s="17" t="str">
        <f aca="false">IF(TRIM(Raw_Data!E397)="","Unknown",PROPER(TRIM(Raw_Data!E397)))</f>
        <v>Hyderabad</v>
      </c>
      <c r="F397" s="17" t="str">
        <f aca="false">IFERROR(INDEX({"Electronics","Home &amp; Kitchen","Clothing","Groceries","Beauty"},MATCH(UPPER(LEFT(TRIM(Raw_Data!F397),3)),{"ELE","HOM","CLO","GRO","BEA"},0)),"Uncategorised")</f>
        <v>Beauty</v>
      </c>
      <c r="G397" s="17" t="str">
        <f aca="false">IF(TRIM(Raw_Data!G397)="","Unknown",PROPER(TRIM(Raw_Data!G397)))</f>
        <v>Hair Dryer</v>
      </c>
      <c r="H397" s="19" t="n">
        <f aca="false">IFERROR(ABS(VALUE(TRIM(Raw_Data!H397))),"")</f>
        <v>3</v>
      </c>
      <c r="I397" s="20" t="n">
        <f aca="false">IFERROR(VALUE(TRIM(SUBSTITUTE(SUBSTITUTE(SUBSTITUTE(SUBSTITUTE(TRIM(Raw_Data!I397),"PKR",""),"Rs.",""),"Rs",""),",",""))),"")</f>
        <v>4300</v>
      </c>
      <c r="J397" s="21" t="n">
        <f aca="false">IFERROR(IF(TRIM(Raw_Data!J397)="",0,IF(VALUE(TRIM(Raw_Data!J397))&gt;1,VALUE(TRIM(Raw_Data!J397))/100,VALUE(TRIM(Raw_Data!J397)))),0)</f>
        <v>0.05</v>
      </c>
      <c r="K397" s="17" t="str">
        <f aca="false">IF(TRIM(Raw_Data!K397)="","Unassigned",PROPER(TRIM(Raw_Data!K397)))</f>
        <v>Waqar Ahmed</v>
      </c>
      <c r="L397" s="17" t="str">
        <f aca="false">IFERROR(INDEX({"Credit Card","Credit Card","Debit Card","Debit Card","Cash","PayPal"},MATCH(UPPER(LEFT(TRIM(Raw_Data!L397),2)),{"CR","CC","DE","DC","CA","PA"},0)),"Other")</f>
        <v>Credit Card</v>
      </c>
      <c r="M397" s="17" t="str">
        <f aca="false">IFERROR(INDEX({"Completed","Returned","Cancelled","Pending"},MATCH(UPPER(LEFT(TRIM(Raw_Data!M397),3)),{"COM","RET","CAN","PEN"},0)),"Unknown")</f>
        <v>Completed</v>
      </c>
      <c r="N397" s="20" t="n">
        <f aca="false">IF(OR(H397="",I397=""),"",H397*I397)</f>
        <v>12900</v>
      </c>
      <c r="O397" s="20" t="n">
        <f aca="false">IF(N397="","",N397*J397)</f>
        <v>645</v>
      </c>
      <c r="P397" s="20" t="n">
        <f aca="false">IF(N397="","",N397-O397)</f>
        <v>12255</v>
      </c>
      <c r="Q397" s="22" t="n">
        <f aca="false">IF(B397="","",DATE(YEAR(B397),MONTH(B397),1))</f>
        <v>45839</v>
      </c>
      <c r="R397" s="17" t="str">
        <f aca="false">IF(A397="","Invalid - Exclude",IF(COUNTIF($A$2:A397,A397)&gt;1,"Duplicate - Exclude",IF(OR(B397="",H397="",I397=""),"Invalid - Exclude","Valid")))</f>
        <v>Valid</v>
      </c>
      <c r="S397" s="17" t="str">
        <f aca="false">IF(R397="Valid","",IF(R397="Duplicate - Exclude","Repeat of an earlier Order ID",IF(B397="","Date missing or unreadable",IF(H397="","Quantity missing or unreadable",IF(I397="","Unit price missing or unreadable","Order ID missing")))))</f>
        <v/>
      </c>
    </row>
    <row r="398" customFormat="false" ht="15" hidden="false" customHeight="true" outlineLevel="0" collapsed="false">
      <c r="A398" s="9" t="str">
        <f aca="false">UPPER(TRIM(Raw_Data!A398))</f>
        <v>ORD-1377</v>
      </c>
      <c r="B398" s="10" t="n">
        <f aca="false">IFERROR(IF(ISNUMBER(Raw_Data!B398),Raw_Data!B398,IF(ISNUMBER(FIND("/",Raw_Data!B398)),DATE(VALUE(RIGHT(TRIM(Raw_Data!B398),4)),VALUE(MID(TRIM(Raw_Data!B398),4,2)),VALUE(LEFT(TRIM(Raw_Data!B398),2))),IF(MID(TRIM(Raw_Data!B398),5,1)="-",DATE(VALUE(LEFT(TRIM(Raw_Data!B398),4)),VALUE(MID(TRIM(Raw_Data!B398),6,2)),VALUE(RIGHT(TRIM(Raw_Data!B398),2))),DATE(VALUE(RIGHT(TRIM(Raw_Data!B398),4)),MATCH(MID(TRIM(Raw_Data!B398),4,3),{"Jan","Feb","Mar","Apr","May","Jun","Jul","Aug","Sep","Oct","Nov","Dec"},0),VALUE(LEFT(TRIM(Raw_Data!B398),2)))))),"")</f>
        <v>45923</v>
      </c>
      <c r="C398" s="9" t="str">
        <f aca="false">IF(TRIM(Raw_Data!C398)="","Unknown",PROPER(TRIM(Raw_Data!C398)))</f>
        <v>Sana Siddiqui</v>
      </c>
      <c r="D398" s="9" t="str">
        <f aca="false">IFERROR(INDEX({"Punjab","Sindh","KPK","Balochistan"},MATCH(UPPER(LEFT(TRIM(Raw_Data!D398),1)),{"P","S","K","B"},0)),IFERROR(INDEX(Data_Dictionary!$G$4:$G$16,MATCH(E398,Data_Dictionary!$F$4:$F$16,0)),"Unassigned"))</f>
        <v>Sindh</v>
      </c>
      <c r="E398" s="9" t="str">
        <f aca="false">IF(TRIM(Raw_Data!E398)="","Unknown",PROPER(TRIM(Raw_Data!E398)))</f>
        <v>Karachi</v>
      </c>
      <c r="F398" s="9" t="str">
        <f aca="false">IFERROR(INDEX({"Electronics","Home &amp; Kitchen","Clothing","Groceries","Beauty"},MATCH(UPPER(LEFT(TRIM(Raw_Data!F398),3)),{"ELE","HOM","CLO","GRO","BEA"},0)),"Uncategorised")</f>
        <v>Groceries</v>
      </c>
      <c r="G398" s="9" t="str">
        <f aca="false">IF(TRIM(Raw_Data!G398)="","Unknown",PROPER(TRIM(Raw_Data!G398)))</f>
        <v>Cooking Oil 5 Litre</v>
      </c>
      <c r="H398" s="11" t="n">
        <f aca="false">IFERROR(ABS(VALUE(TRIM(Raw_Data!H398))),"")</f>
        <v>4</v>
      </c>
      <c r="I398" s="12" t="n">
        <f aca="false">IFERROR(VALUE(TRIM(SUBSTITUTE(SUBSTITUTE(SUBSTITUTE(SUBSTITUTE(TRIM(Raw_Data!I398),"PKR",""),"Rs.",""),"Rs",""),",",""))),"")</f>
        <v>2300</v>
      </c>
      <c r="J398" s="13" t="n">
        <f aca="false">IFERROR(IF(TRIM(Raw_Data!J398)="",0,IF(VALUE(TRIM(Raw_Data!J398))&gt;1,VALUE(TRIM(Raw_Data!J398))/100,VALUE(TRIM(Raw_Data!J398)))),0)</f>
        <v>0.15</v>
      </c>
      <c r="K398" s="9" t="str">
        <f aca="false">IF(TRIM(Raw_Data!K398)="","Unassigned",PROPER(TRIM(Raw_Data!K398)))</f>
        <v>Zoya Tariq</v>
      </c>
      <c r="L398" s="9" t="str">
        <f aca="false">IFERROR(INDEX({"Credit Card","Credit Card","Debit Card","Debit Card","Cash","PayPal"},MATCH(UPPER(LEFT(TRIM(Raw_Data!L398),2)),{"CR","CC","DE","DC","CA","PA"},0)),"Other")</f>
        <v>PayPal</v>
      </c>
      <c r="M398" s="9" t="str">
        <f aca="false">IFERROR(INDEX({"Completed","Returned","Cancelled","Pending"},MATCH(UPPER(LEFT(TRIM(Raw_Data!M398),3)),{"COM","RET","CAN","PEN"},0)),"Unknown")</f>
        <v>Completed</v>
      </c>
      <c r="N398" s="14" t="n">
        <f aca="false">IF(OR(H398="",I398=""),"",H398*I398)</f>
        <v>9200</v>
      </c>
      <c r="O398" s="14" t="n">
        <f aca="false">IF(N398="","",N398*J398)</f>
        <v>1380</v>
      </c>
      <c r="P398" s="14" t="n">
        <f aca="false">IF(N398="","",N398-O398)</f>
        <v>7820</v>
      </c>
      <c r="Q398" s="15" t="n">
        <f aca="false">IF(B398="","",DATE(YEAR(B398),MONTH(B398),1))</f>
        <v>45901</v>
      </c>
      <c r="R398" s="16" t="str">
        <f aca="false">IF(A398="","Invalid - Exclude",IF(COUNTIF($A$2:A398,A398)&gt;1,"Duplicate - Exclude",IF(OR(B398="",H398="",I398=""),"Invalid - Exclude","Valid")))</f>
        <v>Valid</v>
      </c>
      <c r="S398" s="16" t="str">
        <f aca="false">IF(R398="Valid","",IF(R398="Duplicate - Exclude","Repeat of an earlier Order ID",IF(B398="","Date missing or unreadable",IF(H398="","Quantity missing or unreadable",IF(I398="","Unit price missing or unreadable","Order ID missing")))))</f>
        <v/>
      </c>
    </row>
    <row r="399" customFormat="false" ht="15" hidden="false" customHeight="true" outlineLevel="0" collapsed="false">
      <c r="A399" s="17" t="str">
        <f aca="false">UPPER(TRIM(Raw_Data!A399))</f>
        <v>ORD-1378</v>
      </c>
      <c r="B399" s="18" t="str">
        <f aca="false">IFERROR(IF(ISNUMBER(Raw_Data!B399),Raw_Data!B399,IF(ISNUMBER(FIND("/",Raw_Data!B399)),DATE(VALUE(RIGHT(TRIM(Raw_Data!B399),4)),VALUE(MID(TRIM(Raw_Data!B399),4,2)),VALUE(LEFT(TRIM(Raw_Data!B399),2))),IF(MID(TRIM(Raw_Data!B399),5,1)="-",DATE(VALUE(LEFT(TRIM(Raw_Data!B399),4)),VALUE(MID(TRIM(Raw_Data!B399),6,2)),VALUE(RIGHT(TRIM(Raw_Data!B399),2))),DATE(VALUE(RIGHT(TRIM(Raw_Data!B399),4)),MATCH(MID(TRIM(Raw_Data!B399),4,3),{"Jan","Feb","Mar","Apr","May","Jun","Jul","Aug","Sep","Oct","Nov","Dec"},0),VALUE(LEFT(TRIM(Raw_Data!B399),2)))))),"")</f>
        <v/>
      </c>
      <c r="C399" s="17" t="str">
        <f aca="false">IF(TRIM(Raw_Data!C399)="","Unknown",PROPER(TRIM(Raw_Data!C399)))</f>
        <v>Ali Butt</v>
      </c>
      <c r="D399" s="17" t="str">
        <f aca="false">IFERROR(INDEX({"Punjab","Sindh","KPK","Balochistan"},MATCH(UPPER(LEFT(TRIM(Raw_Data!D399),1)),{"P","S","K","B"},0)),IFERROR(INDEX(Data_Dictionary!$G$4:$G$16,MATCH(E399,Data_Dictionary!$F$4:$F$16,0)),"Unassigned"))</f>
        <v>Punjab</v>
      </c>
      <c r="E399" s="17" t="str">
        <f aca="false">IF(TRIM(Raw_Data!E399)="","Unknown",PROPER(TRIM(Raw_Data!E399)))</f>
        <v>Faisalabad</v>
      </c>
      <c r="F399" s="17" t="str">
        <f aca="false">IFERROR(INDEX({"Electronics","Home &amp; Kitchen","Clothing","Groceries","Beauty"},MATCH(UPPER(LEFT(TRIM(Raw_Data!F399),3)),{"ELE","HOM","CLO","GRO","BEA"},0)),"Uncategorised")</f>
        <v>Groceries</v>
      </c>
      <c r="G399" s="17" t="str">
        <f aca="false">IF(TRIM(Raw_Data!G399)="","Unknown",PROPER(TRIM(Raw_Data!G399)))</f>
        <v>Cooking Oil 5 Litre</v>
      </c>
      <c r="H399" s="19" t="n">
        <f aca="false">IFERROR(ABS(VALUE(TRIM(Raw_Data!H399))),"")</f>
        <v>4</v>
      </c>
      <c r="I399" s="20" t="n">
        <f aca="false">IFERROR(VALUE(TRIM(SUBSTITUTE(SUBSTITUTE(SUBSTITUTE(SUBSTITUTE(TRIM(Raw_Data!I399),"PKR",""),"Rs.",""),"Rs",""),",",""))),"")</f>
        <v>2400</v>
      </c>
      <c r="J399" s="21" t="n">
        <f aca="false">IFERROR(IF(TRIM(Raw_Data!J399)="",0,IF(VALUE(TRIM(Raw_Data!J399))&gt;1,VALUE(TRIM(Raw_Data!J399))/100,VALUE(TRIM(Raw_Data!J399)))),0)</f>
        <v>0.15</v>
      </c>
      <c r="K399" s="17" t="str">
        <f aca="false">IF(TRIM(Raw_Data!K399)="","Unassigned",PROPER(TRIM(Raw_Data!K399)))</f>
        <v>Zoya Tariq</v>
      </c>
      <c r="L399" s="17" t="str">
        <f aca="false">IFERROR(INDEX({"Credit Card","Credit Card","Debit Card","Debit Card","Cash","PayPal"},MATCH(UPPER(LEFT(TRIM(Raw_Data!L399),2)),{"CR","CC","DE","DC","CA","PA"},0)),"Other")</f>
        <v>Debit Card</v>
      </c>
      <c r="M399" s="17" t="str">
        <f aca="false">IFERROR(INDEX({"Completed","Returned","Cancelled","Pending"},MATCH(UPPER(LEFT(TRIM(Raw_Data!M399),3)),{"COM","RET","CAN","PEN"},0)),"Unknown")</f>
        <v>Pending</v>
      </c>
      <c r="N399" s="20" t="n">
        <f aca="false">IF(OR(H399="",I399=""),"",H399*I399)</f>
        <v>9600</v>
      </c>
      <c r="O399" s="20" t="n">
        <f aca="false">IF(N399="","",N399*J399)</f>
        <v>1440</v>
      </c>
      <c r="P399" s="20" t="n">
        <f aca="false">IF(N399="","",N399-O399)</f>
        <v>8160</v>
      </c>
      <c r="Q399" s="22" t="str">
        <f aca="false">IF(B399="","",DATE(YEAR(B399),MONTH(B399),1))</f>
        <v/>
      </c>
      <c r="R399" s="17" t="str">
        <f aca="false">IF(A399="","Invalid - Exclude",IF(COUNTIF($A$2:A399,A399)&gt;1,"Duplicate - Exclude",IF(OR(B399="",H399="",I399=""),"Invalid - Exclude","Valid")))</f>
        <v>Invalid - Exclude</v>
      </c>
      <c r="S399" s="17" t="str">
        <f aca="false">IF(R399="Valid","",IF(R399="Duplicate - Exclude","Repeat of an earlier Order ID",IF(B399="","Date missing or unreadable",IF(H399="","Quantity missing or unreadable",IF(I399="","Unit price missing or unreadable","Order ID missing")))))</f>
        <v>Date missing or unreadable</v>
      </c>
    </row>
    <row r="400" customFormat="false" ht="15" hidden="false" customHeight="true" outlineLevel="0" collapsed="false">
      <c r="A400" s="9" t="str">
        <f aca="false">UPPER(TRIM(Raw_Data!A400))</f>
        <v>ORD-1379</v>
      </c>
      <c r="B400" s="10" t="n">
        <f aca="false">IFERROR(IF(ISNUMBER(Raw_Data!B400),Raw_Data!B400,IF(ISNUMBER(FIND("/",Raw_Data!B400)),DATE(VALUE(RIGHT(TRIM(Raw_Data!B400),4)),VALUE(MID(TRIM(Raw_Data!B400),4,2)),VALUE(LEFT(TRIM(Raw_Data!B400),2))),IF(MID(TRIM(Raw_Data!B400),5,1)="-",DATE(VALUE(LEFT(TRIM(Raw_Data!B400),4)),VALUE(MID(TRIM(Raw_Data!B400),6,2)),VALUE(RIGHT(TRIM(Raw_Data!B400),2))),DATE(VALUE(RIGHT(TRIM(Raw_Data!B400),4)),MATCH(MID(TRIM(Raw_Data!B400),4,3),{"Jan","Feb","Mar","Apr","May","Jun","Jul","Aug","Sep","Oct","Nov","Dec"},0),VALUE(LEFT(TRIM(Raw_Data!B400),2)))))),"")</f>
        <v>45888</v>
      </c>
      <c r="C400" s="9" t="str">
        <f aca="false">IF(TRIM(Raw_Data!C400)="","Unknown",PROPER(TRIM(Raw_Data!C400)))</f>
        <v>Usman Mirza</v>
      </c>
      <c r="D400" s="9" t="str">
        <f aca="false">IFERROR(INDEX({"Punjab","Sindh","KPK","Balochistan"},MATCH(UPPER(LEFT(TRIM(Raw_Data!D400),1)),{"P","S","K","B"},0)),IFERROR(INDEX(Data_Dictionary!$G$4:$G$16,MATCH(E400,Data_Dictionary!$F$4:$F$16,0)),"Unassigned"))</f>
        <v>Punjab</v>
      </c>
      <c r="E400" s="9" t="str">
        <f aca="false">IF(TRIM(Raw_Data!E400)="","Unknown",PROPER(TRIM(Raw_Data!E400)))</f>
        <v>Lahore</v>
      </c>
      <c r="F400" s="9" t="str">
        <f aca="false">IFERROR(INDEX({"Electronics","Home &amp; Kitchen","Clothing","Groceries","Beauty"},MATCH(UPPER(LEFT(TRIM(Raw_Data!F400),3)),{"ELE","HOM","CLO","GRO","BEA"},0)),"Uncategorised")</f>
        <v>Beauty</v>
      </c>
      <c r="G400" s="9" t="str">
        <f aca="false">IF(TRIM(Raw_Data!G400)="","Unknown",PROPER(TRIM(Raw_Data!G400)))</f>
        <v>Perfume Spray</v>
      </c>
      <c r="H400" s="11" t="n">
        <f aca="false">IFERROR(ABS(VALUE(TRIM(Raw_Data!H400))),"")</f>
        <v>8</v>
      </c>
      <c r="I400" s="12" t="n">
        <f aca="false">IFERROR(VALUE(TRIM(SUBSTITUTE(SUBSTITUTE(SUBSTITUTE(SUBSTITUTE(TRIM(Raw_Data!I400),"PKR",""),"Rs.",""),"Rs",""),",",""))),"")</f>
        <v>3900</v>
      </c>
      <c r="J400" s="13" t="n">
        <f aca="false">IFERROR(IF(TRIM(Raw_Data!J400)="",0,IF(VALUE(TRIM(Raw_Data!J400))&gt;1,VALUE(TRIM(Raw_Data!J400))/100,VALUE(TRIM(Raw_Data!J400)))),0)</f>
        <v>0</v>
      </c>
      <c r="K400" s="9" t="str">
        <f aca="false">IF(TRIM(Raw_Data!K400)="","Unassigned",PROPER(TRIM(Raw_Data!K400)))</f>
        <v>Zoya Tariq</v>
      </c>
      <c r="L400" s="9" t="str">
        <f aca="false">IFERROR(INDEX({"Credit Card","Credit Card","Debit Card","Debit Card","Cash","PayPal"},MATCH(UPPER(LEFT(TRIM(Raw_Data!L400),2)),{"CR","CC","DE","DC","CA","PA"},0)),"Other")</f>
        <v>Credit Card</v>
      </c>
      <c r="M400" s="9" t="str">
        <f aca="false">IFERROR(INDEX({"Completed","Returned","Cancelled","Pending"},MATCH(UPPER(LEFT(TRIM(Raw_Data!M400),3)),{"COM","RET","CAN","PEN"},0)),"Unknown")</f>
        <v>Completed</v>
      </c>
      <c r="N400" s="14" t="n">
        <f aca="false">IF(OR(H400="",I400=""),"",H400*I400)</f>
        <v>31200</v>
      </c>
      <c r="O400" s="14" t="n">
        <f aca="false">IF(N400="","",N400*J400)</f>
        <v>0</v>
      </c>
      <c r="P400" s="14" t="n">
        <f aca="false">IF(N400="","",N400-O400)</f>
        <v>31200</v>
      </c>
      <c r="Q400" s="15" t="n">
        <f aca="false">IF(B400="","",DATE(YEAR(B400),MONTH(B400),1))</f>
        <v>45870</v>
      </c>
      <c r="R400" s="16" t="str">
        <f aca="false">IF(A400="","Invalid - Exclude",IF(COUNTIF($A$2:A400,A400)&gt;1,"Duplicate - Exclude",IF(OR(B400="",H400="",I400=""),"Invalid - Exclude","Valid")))</f>
        <v>Valid</v>
      </c>
      <c r="S400" s="16" t="str">
        <f aca="false">IF(R400="Valid","",IF(R400="Duplicate - Exclude","Repeat of an earlier Order ID",IF(B400="","Date missing or unreadable",IF(H400="","Quantity missing or unreadable",IF(I400="","Unit price missing or unreadable","Order ID missing")))))</f>
        <v/>
      </c>
    </row>
    <row r="401" customFormat="false" ht="15" hidden="false" customHeight="true" outlineLevel="0" collapsed="false">
      <c r="A401" s="17" t="str">
        <f aca="false">UPPER(TRIM(Raw_Data!A401))</f>
        <v>ORD-1380</v>
      </c>
      <c r="B401" s="18" t="n">
        <f aca="false">IFERROR(IF(ISNUMBER(Raw_Data!B401),Raw_Data!B401,IF(ISNUMBER(FIND("/",Raw_Data!B401)),DATE(VALUE(RIGHT(TRIM(Raw_Data!B401),4)),VALUE(MID(TRIM(Raw_Data!B401),4,2)),VALUE(LEFT(TRIM(Raw_Data!B401),2))),IF(MID(TRIM(Raw_Data!B401),5,1)="-",DATE(VALUE(LEFT(TRIM(Raw_Data!B401),4)),VALUE(MID(TRIM(Raw_Data!B401),6,2)),VALUE(RIGHT(TRIM(Raw_Data!B401),2))),DATE(VALUE(RIGHT(TRIM(Raw_Data!B401),4)),MATCH(MID(TRIM(Raw_Data!B401),4,3),{"Jan","Feb","Mar","Apr","May","Jun","Jul","Aug","Sep","Oct","Nov","Dec"},0),VALUE(LEFT(TRIM(Raw_Data!B401),2)))))),"")</f>
        <v>45723</v>
      </c>
      <c r="C401" s="17" t="str">
        <f aca="false">IF(TRIM(Raw_Data!C401)="","Unknown",PROPER(TRIM(Raw_Data!C401)))</f>
        <v>Unknown</v>
      </c>
      <c r="D401" s="17" t="str">
        <f aca="false">IFERROR(INDEX({"Punjab","Sindh","KPK","Balochistan"},MATCH(UPPER(LEFT(TRIM(Raw_Data!D401),1)),{"P","S","K","B"},0)),IFERROR(INDEX(Data_Dictionary!$G$4:$G$16,MATCH(E401,Data_Dictionary!$F$4:$F$16,0)),"Unassigned"))</f>
        <v>Punjab</v>
      </c>
      <c r="E401" s="17" t="str">
        <f aca="false">IF(TRIM(Raw_Data!E401)="","Unknown",PROPER(TRIM(Raw_Data!E401)))</f>
        <v>Multan</v>
      </c>
      <c r="F401" s="17" t="str">
        <f aca="false">IFERROR(INDEX({"Electronics","Home &amp; Kitchen","Clothing","Groceries","Beauty"},MATCH(UPPER(LEFT(TRIM(Raw_Data!F401),3)),{"ELE","HOM","CLO","GRO","BEA"},0)),"Uncategorised")</f>
        <v>Clothing</v>
      </c>
      <c r="G401" s="17" t="str">
        <f aca="false">IF(TRIM(Raw_Data!G401)="","Unknown",PROPER(TRIM(Raw_Data!G401)))</f>
        <v>Winter Jacket</v>
      </c>
      <c r="H401" s="19" t="n">
        <f aca="false">IFERROR(ABS(VALUE(TRIM(Raw_Data!H401))),"")</f>
        <v>2</v>
      </c>
      <c r="I401" s="20" t="n">
        <f aca="false">IFERROR(VALUE(TRIM(SUBSTITUTE(SUBSTITUTE(SUBSTITUTE(SUBSTITUTE(TRIM(Raw_Data!I401),"PKR",""),"Rs.",""),"Rs",""),",",""))),"")</f>
        <v>10200</v>
      </c>
      <c r="J401" s="21" t="n">
        <f aca="false">IFERROR(IF(TRIM(Raw_Data!J401)="",0,IF(VALUE(TRIM(Raw_Data!J401))&gt;1,VALUE(TRIM(Raw_Data!J401))/100,VALUE(TRIM(Raw_Data!J401)))),0)</f>
        <v>0.1</v>
      </c>
      <c r="K401" s="17" t="str">
        <f aca="false">IF(TRIM(Raw_Data!K401)="","Unassigned",PROPER(TRIM(Raw_Data!K401)))</f>
        <v>Zoya Tariq</v>
      </c>
      <c r="L401" s="17" t="str">
        <f aca="false">IFERROR(INDEX({"Credit Card","Credit Card","Debit Card","Debit Card","Cash","PayPal"},MATCH(UPPER(LEFT(TRIM(Raw_Data!L401),2)),{"CR","CC","DE","DC","CA","PA"},0)),"Other")</f>
        <v>PayPal</v>
      </c>
      <c r="M401" s="17" t="str">
        <f aca="false">IFERROR(INDEX({"Completed","Returned","Cancelled","Pending"},MATCH(UPPER(LEFT(TRIM(Raw_Data!M401),3)),{"COM","RET","CAN","PEN"},0)),"Unknown")</f>
        <v>Completed</v>
      </c>
      <c r="N401" s="20" t="n">
        <f aca="false">IF(OR(H401="",I401=""),"",H401*I401)</f>
        <v>20400</v>
      </c>
      <c r="O401" s="20" t="n">
        <f aca="false">IF(N401="","",N401*J401)</f>
        <v>2040</v>
      </c>
      <c r="P401" s="20" t="n">
        <f aca="false">IF(N401="","",N401-O401)</f>
        <v>18360</v>
      </c>
      <c r="Q401" s="22" t="n">
        <f aca="false">IF(B401="","",DATE(YEAR(B401),MONTH(B401),1))</f>
        <v>45717</v>
      </c>
      <c r="R401" s="17" t="str">
        <f aca="false">IF(A401="","Invalid - Exclude",IF(COUNTIF($A$2:A401,A401)&gt;1,"Duplicate - Exclude",IF(OR(B401="",H401="",I401=""),"Invalid - Exclude","Valid")))</f>
        <v>Valid</v>
      </c>
      <c r="S401" s="17" t="str">
        <f aca="false">IF(R401="Valid","",IF(R401="Duplicate - Exclude","Repeat of an earlier Order ID",IF(B401="","Date missing or unreadable",IF(H401="","Quantity missing or unreadable",IF(I401="","Unit price missing or unreadable","Order ID missing")))))</f>
        <v/>
      </c>
    </row>
  </sheetData>
  <autoFilter ref="A1:S401"/>
  <conditionalFormatting sqref="R2:R401">
    <cfRule type="expression" priority="2" aboveAverage="0" equalAverage="0" bottom="0" percent="0" rank="0" text="" dxfId="15">
      <formula>$R2="Valid"</formula>
    </cfRule>
    <cfRule type="expression" priority="3" aboveAverage="0" equalAverage="0" bottom="0" percent="0" rank="0" text="" dxfId="16">
      <formula>LEFT($R2,3)="Dup"</formula>
    </cfRule>
    <cfRule type="expression" priority="4" aboveAverage="0" equalAverage="0" bottom="0" percent="0" rank="0" text="" dxfId="17">
      <formula>LEFT($R2,3)="Inv"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48"/>
    <col collapsed="false" customWidth="true" hidden="false" outlineLevel="0" max="4" min="4" style="1" width="52"/>
    <col collapsed="false" customWidth="true" hidden="false" outlineLevel="0" max="5" min="5" style="1" width="3"/>
    <col collapsed="false" customWidth="true" hidden="false" outlineLevel="0" max="7" min="6" style="1" width="14"/>
  </cols>
  <sheetData>
    <row r="1" customFormat="false" ht="15" hidden="false" customHeight="true" outlineLevel="0" collapsed="false">
      <c r="A1" s="23" t="s">
        <v>1349</v>
      </c>
      <c r="F1" s="23" t="s">
        <v>1350</v>
      </c>
    </row>
    <row r="3" customFormat="false" ht="15" hidden="false" customHeight="true" outlineLevel="0" collapsed="false">
      <c r="A3" s="23" t="s">
        <v>1351</v>
      </c>
      <c r="B3" s="23" t="s">
        <v>1352</v>
      </c>
      <c r="C3" s="23" t="s">
        <v>1353</v>
      </c>
      <c r="D3" s="23" t="s">
        <v>1354</v>
      </c>
      <c r="F3" s="23" t="s">
        <v>1335</v>
      </c>
      <c r="G3" s="23" t="s">
        <v>1334</v>
      </c>
    </row>
    <row r="4" customFormat="false" ht="15" hidden="false" customHeight="true" outlineLevel="0" collapsed="false">
      <c r="A4" s="24" t="s">
        <v>1331</v>
      </c>
      <c r="B4" s="24" t="s">
        <v>1355</v>
      </c>
      <c r="C4" s="24" t="s">
        <v>1356</v>
      </c>
      <c r="D4" s="24" t="s">
        <v>1357</v>
      </c>
      <c r="F4" s="25" t="s">
        <v>99</v>
      </c>
      <c r="G4" s="25" t="s">
        <v>161</v>
      </c>
    </row>
    <row r="5" customFormat="false" ht="23.25" hidden="false" customHeight="true" outlineLevel="0" collapsed="false">
      <c r="A5" s="24" t="s">
        <v>1332</v>
      </c>
      <c r="B5" s="24" t="s">
        <v>1358</v>
      </c>
      <c r="C5" s="24" t="s">
        <v>1359</v>
      </c>
      <c r="D5" s="24" t="s">
        <v>1360</v>
      </c>
      <c r="F5" s="25" t="s">
        <v>108</v>
      </c>
      <c r="G5" s="25" t="s">
        <v>161</v>
      </c>
    </row>
    <row r="6" customFormat="false" ht="15" hidden="false" customHeight="true" outlineLevel="0" collapsed="false">
      <c r="A6" s="24" t="s">
        <v>1333</v>
      </c>
      <c r="B6" s="24" t="s">
        <v>1355</v>
      </c>
      <c r="C6" s="24" t="s">
        <v>1361</v>
      </c>
      <c r="D6" s="24" t="s">
        <v>1362</v>
      </c>
      <c r="F6" s="25" t="s">
        <v>81</v>
      </c>
      <c r="G6" s="25" t="s">
        <v>161</v>
      </c>
    </row>
    <row r="7" customFormat="false" ht="23.25" hidden="false" customHeight="true" outlineLevel="0" collapsed="false">
      <c r="A7" s="24" t="s">
        <v>1334</v>
      </c>
      <c r="B7" s="24" t="s">
        <v>1355</v>
      </c>
      <c r="C7" s="24" t="s">
        <v>1363</v>
      </c>
      <c r="D7" s="24" t="s">
        <v>1364</v>
      </c>
      <c r="F7" s="25" t="s">
        <v>221</v>
      </c>
      <c r="G7" s="25" t="s">
        <v>161</v>
      </c>
    </row>
    <row r="8" customFormat="false" ht="15" hidden="false" customHeight="true" outlineLevel="0" collapsed="false">
      <c r="A8" s="24" t="s">
        <v>1335</v>
      </c>
      <c r="B8" s="24" t="s">
        <v>1355</v>
      </c>
      <c r="C8" s="24" t="s">
        <v>1361</v>
      </c>
      <c r="D8" s="24" t="s">
        <v>1362</v>
      </c>
      <c r="F8" s="25" t="s">
        <v>197</v>
      </c>
      <c r="G8" s="25" t="s">
        <v>161</v>
      </c>
    </row>
    <row r="9" customFormat="false" ht="15" hidden="false" customHeight="true" outlineLevel="0" collapsed="false">
      <c r="A9" s="24" t="s">
        <v>5</v>
      </c>
      <c r="B9" s="24" t="s">
        <v>1355</v>
      </c>
      <c r="C9" s="24" t="s">
        <v>1365</v>
      </c>
      <c r="D9" s="24" t="s">
        <v>1366</v>
      </c>
      <c r="F9" s="25" t="s">
        <v>38</v>
      </c>
      <c r="G9" s="25" t="s">
        <v>90</v>
      </c>
    </row>
    <row r="10" customFormat="false" ht="15" hidden="false" customHeight="true" outlineLevel="0" collapsed="false">
      <c r="A10" s="24" t="s">
        <v>1336</v>
      </c>
      <c r="B10" s="24" t="s">
        <v>1355</v>
      </c>
      <c r="C10" s="24" t="s">
        <v>1367</v>
      </c>
      <c r="D10" s="24" t="s">
        <v>1368</v>
      </c>
      <c r="F10" s="25" t="s">
        <v>49</v>
      </c>
      <c r="G10" s="25" t="s">
        <v>90</v>
      </c>
    </row>
    <row r="11" customFormat="false" ht="15" hidden="false" customHeight="true" outlineLevel="0" collapsed="false">
      <c r="A11" s="24" t="s">
        <v>1337</v>
      </c>
      <c r="B11" s="24" t="s">
        <v>1369</v>
      </c>
      <c r="C11" s="24" t="s">
        <v>1370</v>
      </c>
      <c r="D11" s="24" t="s">
        <v>1371</v>
      </c>
      <c r="F11" s="25" t="s">
        <v>453</v>
      </c>
      <c r="G11" s="25" t="s">
        <v>90</v>
      </c>
    </row>
    <row r="12" customFormat="false" ht="23.25" hidden="false" customHeight="true" outlineLevel="0" collapsed="false">
      <c r="A12" s="24" t="s">
        <v>1338</v>
      </c>
      <c r="B12" s="24" t="s">
        <v>1369</v>
      </c>
      <c r="C12" s="24" t="s">
        <v>1372</v>
      </c>
      <c r="D12" s="24" t="s">
        <v>1373</v>
      </c>
      <c r="F12" s="25" t="s">
        <v>16</v>
      </c>
      <c r="G12" s="25" t="s">
        <v>129</v>
      </c>
    </row>
    <row r="13" customFormat="false" ht="15" hidden="false" customHeight="true" outlineLevel="0" collapsed="false">
      <c r="A13" s="24" t="s">
        <v>1339</v>
      </c>
      <c r="B13" s="24" t="s">
        <v>1374</v>
      </c>
      <c r="C13" s="24" t="s">
        <v>1375</v>
      </c>
      <c r="D13" s="24" t="s">
        <v>1376</v>
      </c>
      <c r="F13" s="25" t="s">
        <v>130</v>
      </c>
      <c r="G13" s="25" t="s">
        <v>129</v>
      </c>
    </row>
    <row r="14" customFormat="false" ht="15" hidden="false" customHeight="true" outlineLevel="0" collapsed="false">
      <c r="A14" s="24" t="s">
        <v>1340</v>
      </c>
      <c r="B14" s="24" t="s">
        <v>1355</v>
      </c>
      <c r="C14" s="24" t="s">
        <v>1361</v>
      </c>
      <c r="D14" s="24" t="s">
        <v>1377</v>
      </c>
      <c r="F14" s="25" t="s">
        <v>246</v>
      </c>
      <c r="G14" s="25" t="s">
        <v>129</v>
      </c>
    </row>
    <row r="15" customFormat="false" ht="15" hidden="false" customHeight="true" outlineLevel="0" collapsed="false">
      <c r="A15" s="24" t="s">
        <v>1341</v>
      </c>
      <c r="B15" s="24" t="s">
        <v>1355</v>
      </c>
      <c r="C15" s="24" t="s">
        <v>1378</v>
      </c>
      <c r="D15" s="24" t="s">
        <v>1379</v>
      </c>
      <c r="F15" s="25" t="s">
        <v>237</v>
      </c>
      <c r="G15" s="25" t="s">
        <v>647</v>
      </c>
    </row>
    <row r="16" customFormat="false" ht="15" hidden="false" customHeight="true" outlineLevel="0" collapsed="false">
      <c r="A16" s="24" t="s">
        <v>1342</v>
      </c>
      <c r="B16" s="24" t="s">
        <v>1355</v>
      </c>
      <c r="C16" s="24" t="s">
        <v>1380</v>
      </c>
      <c r="D16" s="24" t="s">
        <v>1381</v>
      </c>
      <c r="F16" s="25" t="s">
        <v>570</v>
      </c>
      <c r="G16" s="25" t="s">
        <v>647</v>
      </c>
    </row>
    <row r="17" customFormat="false" ht="15" hidden="false" customHeight="true" outlineLevel="0" collapsed="false">
      <c r="A17" s="24" t="s">
        <v>1343</v>
      </c>
      <c r="B17" s="24" t="s">
        <v>1369</v>
      </c>
      <c r="C17" s="24" t="s">
        <v>1382</v>
      </c>
      <c r="D17" s="24" t="s">
        <v>1383</v>
      </c>
    </row>
    <row r="18" customFormat="false" ht="15" hidden="false" customHeight="true" outlineLevel="0" collapsed="false">
      <c r="A18" s="24" t="s">
        <v>1344</v>
      </c>
      <c r="B18" s="24" t="s">
        <v>1369</v>
      </c>
      <c r="C18" s="24" t="s">
        <v>1382</v>
      </c>
      <c r="D18" s="24" t="s">
        <v>1384</v>
      </c>
    </row>
    <row r="19" customFormat="false" ht="15" hidden="false" customHeight="true" outlineLevel="0" collapsed="false">
      <c r="A19" s="24" t="s">
        <v>1345</v>
      </c>
      <c r="B19" s="24" t="s">
        <v>1369</v>
      </c>
      <c r="C19" s="24" t="s">
        <v>1382</v>
      </c>
      <c r="D19" s="24" t="s">
        <v>1385</v>
      </c>
    </row>
    <row r="20" customFormat="false" ht="15" hidden="false" customHeight="true" outlineLevel="0" collapsed="false">
      <c r="A20" s="24" t="s">
        <v>1346</v>
      </c>
      <c r="B20" s="24" t="s">
        <v>1358</v>
      </c>
      <c r="C20" s="24" t="s">
        <v>1382</v>
      </c>
      <c r="D20" s="24" t="s">
        <v>1386</v>
      </c>
    </row>
    <row r="21" customFormat="false" ht="15" hidden="false" customHeight="true" outlineLevel="0" collapsed="false">
      <c r="A21" s="24" t="s">
        <v>1347</v>
      </c>
      <c r="B21" s="24" t="s">
        <v>1355</v>
      </c>
      <c r="C21" s="24" t="s">
        <v>1382</v>
      </c>
      <c r="D21" s="24" t="s">
        <v>1387</v>
      </c>
    </row>
    <row r="22" customFormat="false" ht="15" hidden="false" customHeight="true" outlineLevel="0" collapsed="false">
      <c r="A22" s="24" t="s">
        <v>1348</v>
      </c>
      <c r="B22" s="24" t="s">
        <v>1355</v>
      </c>
      <c r="C22" s="24" t="s">
        <v>1382</v>
      </c>
      <c r="D22" s="24" t="s">
        <v>1388</v>
      </c>
    </row>
    <row r="25" customFormat="false" ht="15" hidden="false" customHeight="true" outlineLevel="0" collapsed="false">
      <c r="A25" s="23" t="s">
        <v>1389</v>
      </c>
    </row>
    <row r="26" customFormat="false" ht="15" hidden="false" customHeight="true" outlineLevel="0" collapsed="false">
      <c r="A26" s="25" t="s">
        <v>1390</v>
      </c>
      <c r="C26" s="26" t="n">
        <f aca="false">COUNTA(Raw_Data!A2:A401)</f>
        <v>400</v>
      </c>
    </row>
    <row r="27" customFormat="false" ht="15" hidden="false" customHeight="true" outlineLevel="0" collapsed="false">
      <c r="A27" s="25" t="s">
        <v>1391</v>
      </c>
      <c r="C27" s="26" t="n">
        <f aca="false">COUNTIF(Clean_Data!R2:R401,"Valid")</f>
        <v>349</v>
      </c>
    </row>
    <row r="28" customFormat="false" ht="15" hidden="false" customHeight="true" outlineLevel="0" collapsed="false">
      <c r="A28" s="25" t="s">
        <v>1392</v>
      </c>
      <c r="C28" s="26" t="n">
        <f aca="false">COUNTIF(Clean_Data!R2:R401,"Duplicate*")</f>
        <v>20</v>
      </c>
    </row>
    <row r="29" customFormat="false" ht="15" hidden="false" customHeight="true" outlineLevel="0" collapsed="false">
      <c r="A29" s="25" t="s">
        <v>1393</v>
      </c>
      <c r="C29" s="26" t="n">
        <f aca="false">COUNTIF(Clean_Data!R2:R401,"Invalid*")</f>
        <v>31</v>
      </c>
    </row>
    <row r="30" customFormat="false" ht="15" hidden="false" customHeight="true" outlineLevel="0" collapsed="false">
      <c r="A30" s="25" t="s">
        <v>1394</v>
      </c>
      <c r="C30" s="26" t="n">
        <f aca="false">SUMPRODUCT((TRIM(Raw_Data!D2:D401)="")*(Clean_Data!D2:D401&lt;&gt;"Unassigned"))</f>
        <v>23</v>
      </c>
    </row>
    <row r="31" customFormat="false" ht="15" hidden="false" customHeight="true" outlineLevel="0" collapsed="false">
      <c r="A31" s="25" t="s">
        <v>1395</v>
      </c>
      <c r="C31" s="26" t="n">
        <f aca="false">SUMPRODUCT(--(LEFT(TRIM(Raw_Data!H2:H401),1)="-"))</f>
        <v>6</v>
      </c>
    </row>
    <row r="32" customFormat="false" ht="15" hidden="false" customHeight="true" outlineLevel="0" collapsed="false">
      <c r="A32" s="25" t="s">
        <v>1396</v>
      </c>
      <c r="C32" s="26" t="n">
        <f aca="false">SUMIFS(Clean_Data!P2:P401,Clean_Data!R2:R401,"Valid")</f>
        <v>8688112.5</v>
      </c>
    </row>
    <row r="35" customFormat="false" ht="15" hidden="false" customHeight="true" outlineLevel="0" collapsed="false">
      <c r="A35" s="23" t="s">
        <v>1397</v>
      </c>
    </row>
    <row r="36" customFormat="false" ht="15" hidden="false" customHeight="true" outlineLevel="0" collapsed="false">
      <c r="A36" s="25" t="s">
        <v>1398</v>
      </c>
    </row>
    <row r="37" customFormat="false" ht="15" hidden="false" customHeight="true" outlineLevel="0" collapsed="false">
      <c r="A37" s="25" t="s">
        <v>1399</v>
      </c>
    </row>
    <row r="38" customFormat="false" ht="15" hidden="false" customHeight="true" outlineLevel="0" collapsed="false">
      <c r="A38" s="25" t="s">
        <v>1400</v>
      </c>
    </row>
    <row r="39" customFormat="false" ht="15" hidden="false" customHeight="true" outlineLevel="0" collapsed="false">
      <c r="A39" s="25" t="s">
        <v>1401</v>
      </c>
    </row>
    <row r="40" customFormat="false" ht="15" hidden="false" customHeight="true" outlineLevel="0" collapsed="false">
      <c r="A40" s="25" t="s">
        <v>1402</v>
      </c>
    </row>
    <row r="41" customFormat="false" ht="15" hidden="false" customHeight="true" outlineLevel="0" collapsed="false">
      <c r="A41" s="25" t="s">
        <v>1403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2026-10-10T17:18:38Z</dcterms:created>
  <dc:creator>Khushbakhat</dc:creator>
  <dc:description/>
  <dc:language>en-US</dc:language>
  <cp:lastModifiedBy/>
  <dcterms:modified xsi:type="dcterms:W3CDTF">2026-10-10T17:19:53Z</dcterms:modified>
  <cp:revision>0</cp:revision>
  <dc:subject/>
  <dc:title>Retail Sales &amp; Regional Performance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